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drawings/drawing3.xml" ContentType="application/vnd.openxmlformats-officedocument.drawing+xml"/>
  <Override PartName="/xl/slicers/slicer1.xml" ContentType="application/vnd.ms-excel.slicer+xml"/>
  <Override PartName="/xl/drawings/drawing4.xml" ContentType="application/vnd.openxmlformats-officedocument.drawing+xml"/>
  <Override PartName="/xl/slicers/slicer2.xml" ContentType="application/vnd.ms-excel.slicer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eed\Downloads\3.semester(milad)\"/>
    </mc:Choice>
  </mc:AlternateContent>
  <xr:revisionPtr revIDLastSave="0" documentId="13_ncr:1_{8E38C90A-79ED-4405-82ED-3C619D3E0D4F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Forside" sheetId="4" r:id="rId1"/>
    <sheet name="Maksimal afbryder" sheetId="6" r:id="rId2"/>
    <sheet name="Tavle dim" sheetId="10" r:id="rId3"/>
    <sheet name="Sikringer" sheetId="1" r:id="rId4"/>
    <sheet name="Kabler" sheetId="9" r:id="rId5"/>
    <sheet name="Lister og genveje" sheetId="5" r:id="rId6"/>
  </sheets>
  <definedNames>
    <definedName name="MAfuld">'Lister og genveje'!$D$1:$I$1</definedName>
    <definedName name="maksimal100">'Lister og genveje'!$E$9:$E$17</definedName>
    <definedName name="maksimal100a">'Lister og genveje'!$E$9:$E$17</definedName>
    <definedName name="maksimal100b">'Lister og genveje'!$E$9:$E$17</definedName>
    <definedName name="maksimal160">'Lister og genveje'!$F$9:$F$17</definedName>
    <definedName name="maksimal160a">'Lister og genveje'!$F$9:$F$17</definedName>
    <definedName name="maksimal160b">'Lister og genveje'!$F$9:$F$17</definedName>
    <definedName name="maksimal250a">'Lister og genveje'!$G$9:$G$17</definedName>
    <definedName name="maksimal250b">'Lister og genveje'!$H$9:$H$17</definedName>
    <definedName name="maksimal40">'Lister og genveje'!$D$9:$D$17</definedName>
    <definedName name="maksimal400">'Lister og genveje'!$I$9:$I$17</definedName>
    <definedName name="maksimal400a">'Lister og genveje'!$I$9:$I$17</definedName>
    <definedName name="maksimal400b">'Lister og genveje'!$I$9:$I$17</definedName>
    <definedName name="maksimal40a">'Lister og genveje'!$D$9:$D$17</definedName>
    <definedName name="maksimal40b">'Lister og genveje'!$D$9:$D$17</definedName>
    <definedName name="maksimal630">'Lister og genveje'!$J$9:$J$17</definedName>
    <definedName name="maksimal630A">'Lister og genveje'!$J$9:$J$17</definedName>
    <definedName name="maksimal630b">'Lister og genveje'!$J$9:$J$17</definedName>
    <definedName name="MAlille">'Lister og genveje'!$D$1:$H$1</definedName>
    <definedName name="NSX100MA">'Maksimal afbryder'!#REF!</definedName>
    <definedName name="NSX160MA">'Maksimal afbryder'!$M$41:$M$43</definedName>
    <definedName name="NSX250MA">'Maksimal afbryder'!$M$44:$M$49</definedName>
    <definedName name="NSX400MA">'Maksimal afbryder'!$M$50:$M$54</definedName>
    <definedName name="NSX630MA">'Maksimal afbryder'!$M$55:$M$59</definedName>
    <definedName name="PE_">#REF!</definedName>
    <definedName name="R_">#REF!</definedName>
    <definedName name="TID_" localSheetId="2">#REF!</definedName>
    <definedName name="TID_">#REF!</definedName>
    <definedName name="Udsnitsværktøj_Antal_ledere">#N/A</definedName>
    <definedName name="Udsnitsværktøj_Automatsikring">#N/A</definedName>
    <definedName name="Udsnitsværktøj_Kabel_type">#N/A</definedName>
    <definedName name="Udsnitsværktøj_Kurve">#N/A</definedName>
    <definedName name="Udsnitsværktøj_Leder_type">#N/A</definedName>
    <definedName name="Udsnitsværktøj_mærkestrøm">#N/A</definedName>
    <definedName name="Udsnitsværktøj_Poler">#N/A</definedName>
    <definedName name="Udsnitsværktøj_Sikringens_størrelse___A">#N/A</definedName>
    <definedName name="Udsnitsværktøj_Sikrings_typen">#N/A</definedName>
    <definedName name="Udsnitsværktøj_Standart">#N/A</definedName>
    <definedName name="Udsnitsværktøj_Tværsnit">#N/A</definedName>
    <definedName name="X_">#REF!</definedName>
  </definedNames>
  <calcPr calcId="191029"/>
  <pivotCaches>
    <pivotCache cacheId="3" r:id="rId7"/>
    <pivotCache cacheId="4" r:id="rId8"/>
    <pivotCache cacheId="5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7" i="10" l="1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M7" i="6" l="1"/>
  <c r="AE80" i="5"/>
  <c r="AD120" i="5"/>
  <c r="AE120" i="5" s="1"/>
  <c r="AD126" i="5"/>
  <c r="AE126" i="5" s="1"/>
  <c r="AD125" i="5"/>
  <c r="AE125" i="5" s="1"/>
  <c r="AD124" i="5"/>
  <c r="AE124" i="5" s="1"/>
  <c r="AD123" i="5"/>
  <c r="AE123" i="5" s="1"/>
  <c r="AD119" i="5"/>
  <c r="AE119" i="5" s="1"/>
  <c r="AD118" i="5"/>
  <c r="AE118" i="5" s="1"/>
  <c r="AD117" i="5"/>
  <c r="AE117" i="5" s="1"/>
  <c r="AD116" i="5"/>
  <c r="AE116" i="5" s="1"/>
  <c r="AD122" i="5"/>
  <c r="AE122" i="5" s="1"/>
  <c r="AD121" i="5"/>
  <c r="AE121" i="5" s="1"/>
  <c r="D15" i="10" l="1"/>
  <c r="N46" i="10"/>
  <c r="Q47" i="10"/>
  <c r="D17" i="10"/>
  <c r="M68" i="10" s="1"/>
  <c r="N47" i="10"/>
  <c r="N48" i="10"/>
  <c r="N49" i="10"/>
  <c r="N50" i="10"/>
  <c r="D21" i="10"/>
  <c r="N51" i="10"/>
  <c r="N52" i="10"/>
  <c r="N53" i="10"/>
  <c r="N54" i="10"/>
  <c r="B29" i="9"/>
  <c r="B28" i="9"/>
  <c r="B27" i="9"/>
  <c r="I16" i="1"/>
  <c r="I14" i="1"/>
  <c r="I15" i="1"/>
  <c r="A17" i="1"/>
  <c r="G20" i="1"/>
  <c r="G18" i="1"/>
  <c r="G17" i="1"/>
  <c r="G16" i="1"/>
  <c r="G15" i="1"/>
  <c r="G14" i="1"/>
  <c r="T776" i="5"/>
  <c r="S776" i="5"/>
  <c r="R776" i="5"/>
  <c r="Q776" i="5"/>
  <c r="T775" i="5"/>
  <c r="S775" i="5"/>
  <c r="R775" i="5"/>
  <c r="Q775" i="5"/>
  <c r="T774" i="5"/>
  <c r="S774" i="5"/>
  <c r="R774" i="5"/>
  <c r="Q774" i="5"/>
  <c r="T773" i="5"/>
  <c r="S773" i="5"/>
  <c r="R773" i="5"/>
  <c r="Q773" i="5"/>
  <c r="T772" i="5"/>
  <c r="S772" i="5"/>
  <c r="R772" i="5"/>
  <c r="Q772" i="5"/>
  <c r="T771" i="5"/>
  <c r="S771" i="5"/>
  <c r="R771" i="5"/>
  <c r="Q771" i="5"/>
  <c r="T770" i="5"/>
  <c r="S770" i="5"/>
  <c r="R770" i="5"/>
  <c r="Q770" i="5"/>
  <c r="T769" i="5"/>
  <c r="S769" i="5"/>
  <c r="R769" i="5"/>
  <c r="Q769" i="5"/>
  <c r="T768" i="5"/>
  <c r="S768" i="5"/>
  <c r="R768" i="5"/>
  <c r="Q768" i="5"/>
  <c r="T767" i="5"/>
  <c r="S767" i="5"/>
  <c r="R767" i="5"/>
  <c r="Q767" i="5"/>
  <c r="T766" i="5"/>
  <c r="S766" i="5"/>
  <c r="R766" i="5"/>
  <c r="Q766" i="5"/>
  <c r="T765" i="5"/>
  <c r="S765" i="5"/>
  <c r="R765" i="5"/>
  <c r="Q765" i="5"/>
  <c r="T764" i="5"/>
  <c r="S764" i="5"/>
  <c r="R764" i="5"/>
  <c r="Q764" i="5"/>
  <c r="T763" i="5"/>
  <c r="S763" i="5"/>
  <c r="R763" i="5"/>
  <c r="Q763" i="5"/>
  <c r="T762" i="5"/>
  <c r="S762" i="5"/>
  <c r="R762" i="5"/>
  <c r="Q762" i="5"/>
  <c r="T761" i="5"/>
  <c r="S761" i="5"/>
  <c r="R761" i="5"/>
  <c r="Q761" i="5"/>
  <c r="T760" i="5"/>
  <c r="S760" i="5"/>
  <c r="R760" i="5"/>
  <c r="Q760" i="5"/>
  <c r="T759" i="5"/>
  <c r="S759" i="5"/>
  <c r="R759" i="5"/>
  <c r="Q759" i="5"/>
  <c r="T758" i="5"/>
  <c r="S758" i="5"/>
  <c r="R758" i="5"/>
  <c r="Q758" i="5"/>
  <c r="T757" i="5"/>
  <c r="S757" i="5"/>
  <c r="R757" i="5"/>
  <c r="Q757" i="5"/>
  <c r="T756" i="5"/>
  <c r="S756" i="5"/>
  <c r="R756" i="5"/>
  <c r="Q756" i="5"/>
  <c r="T755" i="5"/>
  <c r="S755" i="5"/>
  <c r="R755" i="5"/>
  <c r="Q755" i="5"/>
  <c r="T754" i="5"/>
  <c r="S754" i="5"/>
  <c r="R754" i="5"/>
  <c r="Q754" i="5"/>
  <c r="T753" i="5"/>
  <c r="S753" i="5"/>
  <c r="R753" i="5"/>
  <c r="Q753" i="5"/>
  <c r="T752" i="5"/>
  <c r="S752" i="5"/>
  <c r="R752" i="5"/>
  <c r="Q752" i="5"/>
  <c r="T751" i="5"/>
  <c r="S751" i="5"/>
  <c r="R751" i="5"/>
  <c r="Q751" i="5"/>
  <c r="T750" i="5"/>
  <c r="S750" i="5"/>
  <c r="R750" i="5"/>
  <c r="Q750" i="5"/>
  <c r="T749" i="5"/>
  <c r="S749" i="5"/>
  <c r="R749" i="5"/>
  <c r="Q749" i="5"/>
  <c r="T748" i="5"/>
  <c r="S748" i="5"/>
  <c r="R748" i="5"/>
  <c r="Q748" i="5"/>
  <c r="T747" i="5"/>
  <c r="S747" i="5"/>
  <c r="R747" i="5"/>
  <c r="Q747" i="5"/>
  <c r="T746" i="5"/>
  <c r="S746" i="5"/>
  <c r="R746" i="5"/>
  <c r="Q746" i="5"/>
  <c r="T745" i="5"/>
  <c r="S745" i="5"/>
  <c r="R745" i="5"/>
  <c r="Q745" i="5"/>
  <c r="T744" i="5"/>
  <c r="S744" i="5"/>
  <c r="R744" i="5"/>
  <c r="Q744" i="5"/>
  <c r="T743" i="5"/>
  <c r="S743" i="5"/>
  <c r="R743" i="5"/>
  <c r="Q743" i="5"/>
  <c r="T742" i="5"/>
  <c r="S742" i="5"/>
  <c r="R742" i="5"/>
  <c r="Q742" i="5"/>
  <c r="T741" i="5"/>
  <c r="S741" i="5"/>
  <c r="R741" i="5"/>
  <c r="Q741" i="5"/>
  <c r="T740" i="5"/>
  <c r="S740" i="5"/>
  <c r="R740" i="5"/>
  <c r="Q740" i="5"/>
  <c r="T739" i="5"/>
  <c r="S739" i="5"/>
  <c r="R739" i="5"/>
  <c r="Q739" i="5"/>
  <c r="T738" i="5"/>
  <c r="S738" i="5"/>
  <c r="R738" i="5"/>
  <c r="Q738" i="5"/>
  <c r="T737" i="5"/>
  <c r="S737" i="5"/>
  <c r="R737" i="5"/>
  <c r="Q737" i="5"/>
  <c r="T736" i="5"/>
  <c r="S736" i="5"/>
  <c r="R736" i="5"/>
  <c r="Q736" i="5"/>
  <c r="T735" i="5"/>
  <c r="S735" i="5"/>
  <c r="R735" i="5"/>
  <c r="Q735" i="5"/>
  <c r="T734" i="5"/>
  <c r="S734" i="5"/>
  <c r="R734" i="5"/>
  <c r="Q734" i="5"/>
  <c r="T733" i="5"/>
  <c r="S733" i="5"/>
  <c r="R733" i="5"/>
  <c r="Q733" i="5"/>
  <c r="T732" i="5"/>
  <c r="S732" i="5"/>
  <c r="R732" i="5"/>
  <c r="Q732" i="5"/>
  <c r="T731" i="5"/>
  <c r="S731" i="5"/>
  <c r="R731" i="5"/>
  <c r="P731" i="5"/>
  <c r="Q731" i="5" s="1"/>
  <c r="T730" i="5"/>
  <c r="S730" i="5"/>
  <c r="R730" i="5"/>
  <c r="P730" i="5"/>
  <c r="Q730" i="5" s="1"/>
  <c r="T729" i="5"/>
  <c r="S729" i="5"/>
  <c r="R729" i="5"/>
  <c r="P729" i="5"/>
  <c r="Q729" i="5" s="1"/>
  <c r="T728" i="5"/>
  <c r="S728" i="5"/>
  <c r="R728" i="5"/>
  <c r="P728" i="5"/>
  <c r="Q728" i="5" s="1"/>
  <c r="T727" i="5"/>
  <c r="S727" i="5"/>
  <c r="R727" i="5"/>
  <c r="P727" i="5"/>
  <c r="Q727" i="5" s="1"/>
  <c r="T726" i="5"/>
  <c r="S726" i="5"/>
  <c r="R726" i="5"/>
  <c r="P726" i="5"/>
  <c r="Q726" i="5" s="1"/>
  <c r="T725" i="5"/>
  <c r="S725" i="5"/>
  <c r="R725" i="5"/>
  <c r="P725" i="5"/>
  <c r="Q725" i="5" s="1"/>
  <c r="T724" i="5"/>
  <c r="S724" i="5"/>
  <c r="R724" i="5"/>
  <c r="P724" i="5"/>
  <c r="Q724" i="5" s="1"/>
  <c r="T723" i="5"/>
  <c r="S723" i="5"/>
  <c r="R723" i="5"/>
  <c r="P723" i="5"/>
  <c r="Q723" i="5" s="1"/>
  <c r="T722" i="5"/>
  <c r="S722" i="5"/>
  <c r="R722" i="5"/>
  <c r="P722" i="5"/>
  <c r="Q722" i="5" s="1"/>
  <c r="T721" i="5"/>
  <c r="S721" i="5"/>
  <c r="R721" i="5"/>
  <c r="P721" i="5"/>
  <c r="Q721" i="5" s="1"/>
  <c r="T720" i="5"/>
  <c r="S720" i="5"/>
  <c r="R720" i="5"/>
  <c r="P720" i="5"/>
  <c r="Q720" i="5" s="1"/>
  <c r="T719" i="5"/>
  <c r="S719" i="5"/>
  <c r="R719" i="5"/>
  <c r="P719" i="5"/>
  <c r="Q719" i="5" s="1"/>
  <c r="T718" i="5"/>
  <c r="S718" i="5"/>
  <c r="R718" i="5"/>
  <c r="P718" i="5"/>
  <c r="Q718" i="5" s="1"/>
  <c r="T717" i="5"/>
  <c r="S717" i="5"/>
  <c r="R717" i="5"/>
  <c r="P717" i="5"/>
  <c r="Q717" i="5" s="1"/>
  <c r="T716" i="5"/>
  <c r="S716" i="5"/>
  <c r="R716" i="5"/>
  <c r="P716" i="5"/>
  <c r="Q716" i="5" s="1"/>
  <c r="T715" i="5"/>
  <c r="S715" i="5"/>
  <c r="R715" i="5"/>
  <c r="P715" i="5"/>
  <c r="Q715" i="5" s="1"/>
  <c r="T714" i="5"/>
  <c r="S714" i="5"/>
  <c r="R714" i="5"/>
  <c r="P714" i="5"/>
  <c r="Q714" i="5" s="1"/>
  <c r="T713" i="5"/>
  <c r="S713" i="5"/>
  <c r="R713" i="5"/>
  <c r="P713" i="5"/>
  <c r="Q713" i="5" s="1"/>
  <c r="T712" i="5"/>
  <c r="S712" i="5"/>
  <c r="R712" i="5"/>
  <c r="P712" i="5"/>
  <c r="Q712" i="5" s="1"/>
  <c r="T711" i="5"/>
  <c r="S711" i="5"/>
  <c r="R711" i="5"/>
  <c r="P711" i="5"/>
  <c r="Q711" i="5" s="1"/>
  <c r="T710" i="5"/>
  <c r="S710" i="5"/>
  <c r="R710" i="5"/>
  <c r="P710" i="5"/>
  <c r="Q710" i="5" s="1"/>
  <c r="T709" i="5"/>
  <c r="S709" i="5"/>
  <c r="R709" i="5"/>
  <c r="P709" i="5"/>
  <c r="Q709" i="5" s="1"/>
  <c r="T708" i="5"/>
  <c r="S708" i="5"/>
  <c r="R708" i="5"/>
  <c r="P708" i="5"/>
  <c r="Q708" i="5" s="1"/>
  <c r="T707" i="5"/>
  <c r="S707" i="5"/>
  <c r="R707" i="5"/>
  <c r="P707" i="5"/>
  <c r="Q707" i="5" s="1"/>
  <c r="T706" i="5"/>
  <c r="S706" i="5"/>
  <c r="R706" i="5"/>
  <c r="P706" i="5"/>
  <c r="Q706" i="5" s="1"/>
  <c r="T705" i="5"/>
  <c r="S705" i="5"/>
  <c r="R705" i="5"/>
  <c r="P705" i="5"/>
  <c r="Q705" i="5" s="1"/>
  <c r="T704" i="5"/>
  <c r="S704" i="5"/>
  <c r="R704" i="5"/>
  <c r="P704" i="5"/>
  <c r="Q704" i="5" s="1"/>
  <c r="T703" i="5"/>
  <c r="S703" i="5"/>
  <c r="R703" i="5"/>
  <c r="P703" i="5"/>
  <c r="Q703" i="5" s="1"/>
  <c r="T702" i="5"/>
  <c r="S702" i="5"/>
  <c r="R702" i="5"/>
  <c r="P702" i="5"/>
  <c r="Q702" i="5" s="1"/>
  <c r="T701" i="5"/>
  <c r="S701" i="5"/>
  <c r="R701" i="5"/>
  <c r="P701" i="5"/>
  <c r="Q701" i="5" s="1"/>
  <c r="T700" i="5"/>
  <c r="S700" i="5"/>
  <c r="R700" i="5"/>
  <c r="P700" i="5"/>
  <c r="Q700" i="5" s="1"/>
  <c r="T699" i="5"/>
  <c r="S699" i="5"/>
  <c r="R699" i="5"/>
  <c r="P699" i="5"/>
  <c r="Q699" i="5" s="1"/>
  <c r="T698" i="5"/>
  <c r="S698" i="5"/>
  <c r="R698" i="5"/>
  <c r="P698" i="5"/>
  <c r="Q698" i="5" s="1"/>
  <c r="T697" i="5"/>
  <c r="S697" i="5"/>
  <c r="R697" i="5"/>
  <c r="P697" i="5"/>
  <c r="Q697" i="5" s="1"/>
  <c r="T696" i="5"/>
  <c r="S696" i="5"/>
  <c r="R696" i="5"/>
  <c r="P696" i="5"/>
  <c r="Q696" i="5" s="1"/>
  <c r="T695" i="5"/>
  <c r="S695" i="5"/>
  <c r="R695" i="5"/>
  <c r="P695" i="5"/>
  <c r="Q695" i="5" s="1"/>
  <c r="T694" i="5"/>
  <c r="S694" i="5"/>
  <c r="R694" i="5"/>
  <c r="P694" i="5"/>
  <c r="Q694" i="5" s="1"/>
  <c r="T693" i="5"/>
  <c r="S693" i="5"/>
  <c r="R693" i="5"/>
  <c r="P693" i="5"/>
  <c r="Q693" i="5" s="1"/>
  <c r="T692" i="5"/>
  <c r="S692" i="5"/>
  <c r="R692" i="5"/>
  <c r="P692" i="5"/>
  <c r="Q692" i="5" s="1"/>
  <c r="T691" i="5"/>
  <c r="S691" i="5"/>
  <c r="R691" i="5"/>
  <c r="P691" i="5"/>
  <c r="Q691" i="5" s="1"/>
  <c r="T690" i="5"/>
  <c r="S690" i="5"/>
  <c r="R690" i="5"/>
  <c r="P690" i="5"/>
  <c r="Q690" i="5" s="1"/>
  <c r="T689" i="5"/>
  <c r="S689" i="5"/>
  <c r="R689" i="5"/>
  <c r="P689" i="5"/>
  <c r="Q689" i="5" s="1"/>
  <c r="T688" i="5"/>
  <c r="S688" i="5"/>
  <c r="R688" i="5"/>
  <c r="P688" i="5"/>
  <c r="Q688" i="5" s="1"/>
  <c r="T687" i="5"/>
  <c r="S687" i="5"/>
  <c r="R687" i="5"/>
  <c r="P687" i="5"/>
  <c r="Q687" i="5" s="1"/>
  <c r="T598" i="5"/>
  <c r="T599" i="5"/>
  <c r="T600" i="5"/>
  <c r="T601" i="5"/>
  <c r="T602" i="5"/>
  <c r="T603" i="5"/>
  <c r="T604" i="5"/>
  <c r="T605" i="5"/>
  <c r="T606" i="5"/>
  <c r="T607" i="5"/>
  <c r="T608" i="5"/>
  <c r="T609" i="5"/>
  <c r="T610" i="5"/>
  <c r="T611" i="5"/>
  <c r="T612" i="5"/>
  <c r="T613" i="5"/>
  <c r="T614" i="5"/>
  <c r="T615" i="5"/>
  <c r="T616" i="5"/>
  <c r="T617" i="5"/>
  <c r="T618" i="5"/>
  <c r="T619" i="5"/>
  <c r="T620" i="5"/>
  <c r="T621" i="5"/>
  <c r="T622" i="5"/>
  <c r="T623" i="5"/>
  <c r="T624" i="5"/>
  <c r="T625" i="5"/>
  <c r="T626" i="5"/>
  <c r="T627" i="5"/>
  <c r="T628" i="5"/>
  <c r="T629" i="5"/>
  <c r="T630" i="5"/>
  <c r="T631" i="5"/>
  <c r="T632" i="5"/>
  <c r="T633" i="5"/>
  <c r="T634" i="5"/>
  <c r="T635" i="5"/>
  <c r="T636" i="5"/>
  <c r="T637" i="5"/>
  <c r="T638" i="5"/>
  <c r="T639" i="5"/>
  <c r="T640" i="5"/>
  <c r="T641" i="5"/>
  <c r="T642" i="5"/>
  <c r="T643" i="5"/>
  <c r="T644" i="5"/>
  <c r="T645" i="5"/>
  <c r="T646" i="5"/>
  <c r="T647" i="5"/>
  <c r="T648" i="5"/>
  <c r="T649" i="5"/>
  <c r="T650" i="5"/>
  <c r="T651" i="5"/>
  <c r="T652" i="5"/>
  <c r="T653" i="5"/>
  <c r="T654" i="5"/>
  <c r="T655" i="5"/>
  <c r="T656" i="5"/>
  <c r="T657" i="5"/>
  <c r="T658" i="5"/>
  <c r="T659" i="5"/>
  <c r="T660" i="5"/>
  <c r="T661" i="5"/>
  <c r="T662" i="5"/>
  <c r="T663" i="5"/>
  <c r="T664" i="5"/>
  <c r="T665" i="5"/>
  <c r="T666" i="5"/>
  <c r="T667" i="5"/>
  <c r="T668" i="5"/>
  <c r="T669" i="5"/>
  <c r="T670" i="5"/>
  <c r="T671" i="5"/>
  <c r="T672" i="5"/>
  <c r="T673" i="5"/>
  <c r="T674" i="5"/>
  <c r="T675" i="5"/>
  <c r="T676" i="5"/>
  <c r="T677" i="5"/>
  <c r="T678" i="5"/>
  <c r="T679" i="5"/>
  <c r="T680" i="5"/>
  <c r="T681" i="5"/>
  <c r="T682" i="5"/>
  <c r="T683" i="5"/>
  <c r="T684" i="5"/>
  <c r="T685" i="5"/>
  <c r="T686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P598" i="5"/>
  <c r="Q598" i="5" s="1"/>
  <c r="P599" i="5"/>
  <c r="Q599" i="5" s="1"/>
  <c r="P600" i="5"/>
  <c r="Q600" i="5" s="1"/>
  <c r="P601" i="5"/>
  <c r="Q601" i="5" s="1"/>
  <c r="P602" i="5"/>
  <c r="Q602" i="5" s="1"/>
  <c r="P603" i="5"/>
  <c r="Q603" i="5" s="1"/>
  <c r="P604" i="5"/>
  <c r="Q604" i="5" s="1"/>
  <c r="P605" i="5"/>
  <c r="Q605" i="5" s="1"/>
  <c r="P606" i="5"/>
  <c r="Q606" i="5" s="1"/>
  <c r="P607" i="5"/>
  <c r="Q607" i="5" s="1"/>
  <c r="P608" i="5"/>
  <c r="Q608" i="5" s="1"/>
  <c r="P609" i="5"/>
  <c r="Q609" i="5" s="1"/>
  <c r="P610" i="5"/>
  <c r="Q610" i="5" s="1"/>
  <c r="P611" i="5"/>
  <c r="Q611" i="5" s="1"/>
  <c r="P612" i="5"/>
  <c r="Q612" i="5" s="1"/>
  <c r="P613" i="5"/>
  <c r="Q613" i="5" s="1"/>
  <c r="P614" i="5"/>
  <c r="Q614" i="5" s="1"/>
  <c r="P615" i="5"/>
  <c r="Q615" i="5" s="1"/>
  <c r="P616" i="5"/>
  <c r="Q616" i="5" s="1"/>
  <c r="P617" i="5"/>
  <c r="Q617" i="5" s="1"/>
  <c r="P618" i="5"/>
  <c r="Q618" i="5" s="1"/>
  <c r="P619" i="5"/>
  <c r="Q619" i="5" s="1"/>
  <c r="P620" i="5"/>
  <c r="Q620" i="5" s="1"/>
  <c r="P621" i="5"/>
  <c r="Q621" i="5" s="1"/>
  <c r="P622" i="5"/>
  <c r="Q622" i="5" s="1"/>
  <c r="P623" i="5"/>
  <c r="Q623" i="5" s="1"/>
  <c r="P624" i="5"/>
  <c r="Q624" i="5" s="1"/>
  <c r="P625" i="5"/>
  <c r="Q625" i="5" s="1"/>
  <c r="P626" i="5"/>
  <c r="Q626" i="5" s="1"/>
  <c r="P627" i="5"/>
  <c r="Q627" i="5" s="1"/>
  <c r="P628" i="5"/>
  <c r="Q628" i="5" s="1"/>
  <c r="P629" i="5"/>
  <c r="Q629" i="5" s="1"/>
  <c r="P630" i="5"/>
  <c r="Q630" i="5" s="1"/>
  <c r="P631" i="5"/>
  <c r="Q631" i="5" s="1"/>
  <c r="P632" i="5"/>
  <c r="Q632" i="5" s="1"/>
  <c r="P633" i="5"/>
  <c r="Q633" i="5" s="1"/>
  <c r="P634" i="5"/>
  <c r="Q634" i="5" s="1"/>
  <c r="P635" i="5"/>
  <c r="Q635" i="5" s="1"/>
  <c r="P636" i="5"/>
  <c r="Q636" i="5" s="1"/>
  <c r="P637" i="5"/>
  <c r="Q637" i="5" s="1"/>
  <c r="P638" i="5"/>
  <c r="Q638" i="5" s="1"/>
  <c r="P639" i="5"/>
  <c r="Q639" i="5" s="1"/>
  <c r="P640" i="5"/>
  <c r="Q640" i="5" s="1"/>
  <c r="P641" i="5"/>
  <c r="Q641" i="5" s="1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T597" i="5"/>
  <c r="S597" i="5"/>
  <c r="R597" i="5"/>
  <c r="P597" i="5"/>
  <c r="Q597" i="5" s="1"/>
  <c r="M27" i="5"/>
  <c r="P27" i="5"/>
  <c r="R27" i="5"/>
  <c r="S27" i="5"/>
  <c r="A13" i="1"/>
  <c r="W9" i="6"/>
  <c r="V11" i="6" s="1"/>
  <c r="N9" i="6"/>
  <c r="A2" i="6"/>
  <c r="L7" i="6" s="1"/>
  <c r="S10" i="6"/>
  <c r="D7" i="10"/>
  <c r="N37" i="10"/>
  <c r="Q36" i="10"/>
  <c r="D6" i="10"/>
  <c r="H6" i="10"/>
  <c r="N36" i="10" s="1"/>
  <c r="D8" i="10"/>
  <c r="N38" i="10"/>
  <c r="Q39" i="10"/>
  <c r="D9" i="10" s="1"/>
  <c r="N39" i="10"/>
  <c r="Q40" i="10"/>
  <c r="D10" i="10"/>
  <c r="N40" i="10"/>
  <c r="Q41" i="10"/>
  <c r="D11" i="10"/>
  <c r="N41" i="10"/>
  <c r="Q42" i="10"/>
  <c r="D12" i="10"/>
  <c r="N42" i="10"/>
  <c r="Q43" i="10"/>
  <c r="D13" i="10" s="1"/>
  <c r="N43" i="10"/>
  <c r="Q44" i="10"/>
  <c r="D14" i="10" s="1"/>
  <c r="N44" i="10"/>
  <c r="Q45" i="10"/>
  <c r="N45" i="10"/>
  <c r="O66" i="10" s="1"/>
  <c r="Q46" i="10"/>
  <c r="D16" i="10" s="1"/>
  <c r="Q48" i="10"/>
  <c r="D18" i="10" s="1"/>
  <c r="Q49" i="10"/>
  <c r="D19" i="10" s="1"/>
  <c r="Q50" i="10"/>
  <c r="D20" i="10" s="1"/>
  <c r="Q51" i="10"/>
  <c r="Q52" i="10"/>
  <c r="D22" i="10" s="1"/>
  <c r="Q53" i="10"/>
  <c r="D23" i="10" s="1"/>
  <c r="Q54" i="10"/>
  <c r="D24" i="10" s="1"/>
  <c r="A15" i="1"/>
  <c r="A14" i="1"/>
  <c r="AD105" i="5"/>
  <c r="AE105" i="5" s="1"/>
  <c r="AD106" i="5"/>
  <c r="AE106" i="5" s="1"/>
  <c r="AD107" i="5"/>
  <c r="AE107" i="5" s="1"/>
  <c r="AD108" i="5"/>
  <c r="AE108" i="5" s="1"/>
  <c r="AD109" i="5"/>
  <c r="AE109" i="5" s="1"/>
  <c r="AD110" i="5"/>
  <c r="AE110" i="5" s="1"/>
  <c r="AD111" i="5"/>
  <c r="AE111" i="5" s="1"/>
  <c r="AD112" i="5"/>
  <c r="AE112" i="5" s="1"/>
  <c r="AD113" i="5"/>
  <c r="AE113" i="5" s="1"/>
  <c r="AD114" i="5"/>
  <c r="AE114" i="5" s="1"/>
  <c r="AD115" i="5"/>
  <c r="AE115" i="5" s="1"/>
  <c r="AD104" i="5"/>
  <c r="AE104" i="5" s="1"/>
  <c r="AA162" i="5"/>
  <c r="D18" i="6"/>
  <c r="C27" i="6"/>
  <c r="F20" i="5"/>
  <c r="H21" i="5"/>
  <c r="Q38" i="10"/>
  <c r="Q37" i="10"/>
  <c r="P36" i="10"/>
  <c r="O36" i="10"/>
  <c r="P86" i="10"/>
  <c r="P87" i="10"/>
  <c r="N86" i="10"/>
  <c r="N87" i="10"/>
  <c r="L86" i="10"/>
  <c r="L87" i="10"/>
  <c r="X11" i="6"/>
  <c r="W11" i="6"/>
  <c r="R313" i="5"/>
  <c r="S313" i="5"/>
  <c r="R314" i="5"/>
  <c r="S314" i="5"/>
  <c r="R315" i="5"/>
  <c r="S315" i="5"/>
  <c r="R316" i="5"/>
  <c r="S316" i="5"/>
  <c r="R317" i="5"/>
  <c r="S317" i="5"/>
  <c r="R318" i="5"/>
  <c r="S318" i="5"/>
  <c r="R319" i="5"/>
  <c r="S319" i="5"/>
  <c r="R320" i="5"/>
  <c r="S320" i="5"/>
  <c r="R321" i="5"/>
  <c r="S321" i="5"/>
  <c r="R322" i="5"/>
  <c r="S322" i="5"/>
  <c r="R323" i="5"/>
  <c r="S323" i="5"/>
  <c r="R324" i="5"/>
  <c r="S324" i="5"/>
  <c r="R325" i="5"/>
  <c r="S325" i="5"/>
  <c r="R326" i="5"/>
  <c r="S326" i="5"/>
  <c r="R327" i="5"/>
  <c r="S327" i="5"/>
  <c r="R328" i="5"/>
  <c r="S328" i="5"/>
  <c r="R329" i="5"/>
  <c r="S329" i="5"/>
  <c r="R330" i="5"/>
  <c r="S330" i="5"/>
  <c r="R331" i="5"/>
  <c r="S331" i="5"/>
  <c r="R332" i="5"/>
  <c r="S332" i="5"/>
  <c r="R333" i="5"/>
  <c r="S333" i="5"/>
  <c r="R334" i="5"/>
  <c r="S334" i="5"/>
  <c r="R335" i="5"/>
  <c r="S335" i="5"/>
  <c r="R336" i="5"/>
  <c r="S336" i="5"/>
  <c r="R337" i="5"/>
  <c r="S337" i="5"/>
  <c r="R338" i="5"/>
  <c r="S338" i="5"/>
  <c r="R339" i="5"/>
  <c r="S339" i="5"/>
  <c r="R340" i="5"/>
  <c r="S340" i="5"/>
  <c r="R341" i="5"/>
  <c r="S341" i="5"/>
  <c r="R342" i="5"/>
  <c r="S342" i="5"/>
  <c r="R343" i="5"/>
  <c r="S343" i="5"/>
  <c r="R344" i="5"/>
  <c r="S344" i="5"/>
  <c r="R345" i="5"/>
  <c r="S345" i="5"/>
  <c r="R346" i="5"/>
  <c r="S346" i="5"/>
  <c r="R347" i="5"/>
  <c r="S347" i="5"/>
  <c r="R348" i="5"/>
  <c r="S348" i="5"/>
  <c r="R349" i="5"/>
  <c r="S349" i="5"/>
  <c r="R350" i="5"/>
  <c r="S350" i="5"/>
  <c r="R351" i="5"/>
  <c r="S351" i="5"/>
  <c r="R352" i="5"/>
  <c r="S352" i="5"/>
  <c r="R353" i="5"/>
  <c r="S353" i="5"/>
  <c r="R354" i="5"/>
  <c r="S354" i="5"/>
  <c r="R355" i="5"/>
  <c r="S355" i="5"/>
  <c r="R356" i="5"/>
  <c r="S356" i="5"/>
  <c r="R357" i="5"/>
  <c r="S357" i="5"/>
  <c r="R358" i="5"/>
  <c r="S358" i="5"/>
  <c r="R359" i="5"/>
  <c r="S359" i="5"/>
  <c r="R360" i="5"/>
  <c r="S360" i="5"/>
  <c r="R361" i="5"/>
  <c r="S361" i="5"/>
  <c r="R362" i="5"/>
  <c r="S362" i="5"/>
  <c r="R363" i="5"/>
  <c r="S363" i="5"/>
  <c r="R364" i="5"/>
  <c r="S364" i="5"/>
  <c r="R365" i="5"/>
  <c r="S365" i="5"/>
  <c r="R366" i="5"/>
  <c r="S366" i="5"/>
  <c r="R367" i="5"/>
  <c r="S367" i="5"/>
  <c r="R368" i="5"/>
  <c r="S368" i="5"/>
  <c r="R369" i="5"/>
  <c r="S369" i="5"/>
  <c r="R370" i="5"/>
  <c r="S370" i="5"/>
  <c r="R371" i="5"/>
  <c r="S371" i="5"/>
  <c r="R372" i="5"/>
  <c r="S372" i="5"/>
  <c r="R373" i="5"/>
  <c r="S373" i="5"/>
  <c r="R374" i="5"/>
  <c r="S374" i="5"/>
  <c r="R375" i="5"/>
  <c r="S375" i="5"/>
  <c r="R376" i="5"/>
  <c r="S376" i="5"/>
  <c r="R377" i="5"/>
  <c r="S377" i="5"/>
  <c r="R378" i="5"/>
  <c r="S378" i="5"/>
  <c r="R379" i="5"/>
  <c r="S379" i="5"/>
  <c r="R380" i="5"/>
  <c r="S380" i="5"/>
  <c r="R381" i="5"/>
  <c r="S381" i="5"/>
  <c r="R382" i="5"/>
  <c r="S382" i="5"/>
  <c r="R383" i="5"/>
  <c r="S383" i="5"/>
  <c r="R384" i="5"/>
  <c r="S384" i="5"/>
  <c r="R385" i="5"/>
  <c r="S385" i="5"/>
  <c r="R386" i="5"/>
  <c r="S386" i="5"/>
  <c r="R387" i="5"/>
  <c r="S387" i="5"/>
  <c r="R388" i="5"/>
  <c r="S388" i="5"/>
  <c r="R389" i="5"/>
  <c r="S389" i="5"/>
  <c r="R390" i="5"/>
  <c r="S390" i="5"/>
  <c r="R391" i="5"/>
  <c r="S391" i="5"/>
  <c r="R392" i="5"/>
  <c r="S392" i="5"/>
  <c r="R393" i="5"/>
  <c r="S393" i="5"/>
  <c r="R394" i="5"/>
  <c r="S394" i="5"/>
  <c r="R395" i="5"/>
  <c r="S395" i="5"/>
  <c r="R396" i="5"/>
  <c r="S396" i="5"/>
  <c r="R397" i="5"/>
  <c r="S397" i="5"/>
  <c r="R398" i="5"/>
  <c r="S398" i="5"/>
  <c r="R399" i="5"/>
  <c r="S399" i="5"/>
  <c r="R400" i="5"/>
  <c r="S400" i="5"/>
  <c r="R401" i="5"/>
  <c r="S401" i="5"/>
  <c r="R402" i="5"/>
  <c r="S402" i="5"/>
  <c r="R403" i="5"/>
  <c r="S403" i="5"/>
  <c r="R404" i="5"/>
  <c r="S404" i="5"/>
  <c r="R405" i="5"/>
  <c r="S405" i="5"/>
  <c r="R406" i="5"/>
  <c r="S406" i="5"/>
  <c r="R407" i="5"/>
  <c r="S407" i="5"/>
  <c r="R408" i="5"/>
  <c r="S408" i="5"/>
  <c r="R409" i="5"/>
  <c r="S409" i="5"/>
  <c r="R410" i="5"/>
  <c r="S410" i="5"/>
  <c r="R411" i="5"/>
  <c r="S411" i="5"/>
  <c r="R412" i="5"/>
  <c r="S412" i="5"/>
  <c r="R413" i="5"/>
  <c r="S413" i="5"/>
  <c r="R414" i="5"/>
  <c r="S414" i="5"/>
  <c r="R415" i="5"/>
  <c r="S415" i="5"/>
  <c r="R416" i="5"/>
  <c r="S416" i="5"/>
  <c r="R417" i="5"/>
  <c r="S417" i="5"/>
  <c r="R418" i="5"/>
  <c r="S418" i="5"/>
  <c r="R419" i="5"/>
  <c r="S419" i="5"/>
  <c r="R420" i="5"/>
  <c r="S420" i="5"/>
  <c r="R421" i="5"/>
  <c r="S421" i="5"/>
  <c r="R422" i="5"/>
  <c r="S422" i="5"/>
  <c r="R423" i="5"/>
  <c r="S423" i="5"/>
  <c r="R424" i="5"/>
  <c r="S424" i="5"/>
  <c r="R425" i="5"/>
  <c r="S425" i="5"/>
  <c r="R426" i="5"/>
  <c r="S426" i="5"/>
  <c r="R427" i="5"/>
  <c r="S427" i="5"/>
  <c r="R428" i="5"/>
  <c r="S428" i="5"/>
  <c r="R429" i="5"/>
  <c r="S429" i="5"/>
  <c r="R430" i="5"/>
  <c r="S430" i="5"/>
  <c r="R431" i="5"/>
  <c r="S431" i="5"/>
  <c r="R432" i="5"/>
  <c r="S432" i="5"/>
  <c r="R433" i="5"/>
  <c r="S433" i="5"/>
  <c r="R434" i="5"/>
  <c r="S434" i="5"/>
  <c r="R435" i="5"/>
  <c r="S435" i="5"/>
  <c r="R436" i="5"/>
  <c r="S436" i="5"/>
  <c r="R437" i="5"/>
  <c r="S437" i="5"/>
  <c r="R438" i="5"/>
  <c r="S438" i="5"/>
  <c r="R439" i="5"/>
  <c r="S439" i="5"/>
  <c r="R440" i="5"/>
  <c r="S440" i="5"/>
  <c r="R441" i="5"/>
  <c r="S441" i="5"/>
  <c r="R442" i="5"/>
  <c r="S442" i="5"/>
  <c r="R443" i="5"/>
  <c r="S443" i="5"/>
  <c r="R444" i="5"/>
  <c r="S444" i="5"/>
  <c r="R445" i="5"/>
  <c r="S445" i="5"/>
  <c r="R446" i="5"/>
  <c r="S446" i="5"/>
  <c r="R447" i="5"/>
  <c r="S447" i="5"/>
  <c r="R448" i="5"/>
  <c r="S448" i="5"/>
  <c r="R449" i="5"/>
  <c r="S449" i="5"/>
  <c r="R450" i="5"/>
  <c r="S450" i="5"/>
  <c r="R451" i="5"/>
  <c r="S451" i="5"/>
  <c r="R452" i="5"/>
  <c r="S452" i="5"/>
  <c r="R453" i="5"/>
  <c r="S453" i="5"/>
  <c r="R454" i="5"/>
  <c r="S454" i="5"/>
  <c r="R455" i="5"/>
  <c r="S455" i="5"/>
  <c r="R456" i="5"/>
  <c r="S456" i="5"/>
  <c r="R457" i="5"/>
  <c r="S457" i="5"/>
  <c r="R458" i="5"/>
  <c r="S458" i="5"/>
  <c r="R459" i="5"/>
  <c r="S459" i="5"/>
  <c r="R460" i="5"/>
  <c r="S460" i="5"/>
  <c r="R461" i="5"/>
  <c r="S461" i="5"/>
  <c r="R462" i="5"/>
  <c r="S462" i="5"/>
  <c r="R463" i="5"/>
  <c r="S463" i="5"/>
  <c r="R464" i="5"/>
  <c r="S464" i="5"/>
  <c r="R465" i="5"/>
  <c r="S465" i="5"/>
  <c r="R466" i="5"/>
  <c r="S466" i="5"/>
  <c r="R467" i="5"/>
  <c r="S467" i="5"/>
  <c r="R468" i="5"/>
  <c r="S468" i="5"/>
  <c r="R469" i="5"/>
  <c r="S469" i="5"/>
  <c r="R470" i="5"/>
  <c r="S470" i="5"/>
  <c r="R471" i="5"/>
  <c r="S471" i="5"/>
  <c r="R472" i="5"/>
  <c r="S472" i="5"/>
  <c r="R473" i="5"/>
  <c r="S473" i="5"/>
  <c r="R474" i="5"/>
  <c r="S474" i="5"/>
  <c r="R475" i="5"/>
  <c r="S475" i="5"/>
  <c r="R476" i="5"/>
  <c r="S476" i="5"/>
  <c r="R477" i="5"/>
  <c r="S477" i="5"/>
  <c r="R478" i="5"/>
  <c r="S478" i="5"/>
  <c r="R479" i="5"/>
  <c r="S479" i="5"/>
  <c r="R480" i="5"/>
  <c r="S480" i="5"/>
  <c r="R481" i="5"/>
  <c r="S481" i="5"/>
  <c r="R482" i="5"/>
  <c r="S482" i="5"/>
  <c r="R483" i="5"/>
  <c r="S483" i="5"/>
  <c r="R484" i="5"/>
  <c r="S484" i="5"/>
  <c r="R485" i="5"/>
  <c r="S485" i="5"/>
  <c r="R486" i="5"/>
  <c r="S486" i="5"/>
  <c r="R487" i="5"/>
  <c r="S487" i="5"/>
  <c r="R488" i="5"/>
  <c r="S488" i="5"/>
  <c r="R489" i="5"/>
  <c r="S489" i="5"/>
  <c r="R490" i="5"/>
  <c r="S490" i="5"/>
  <c r="R491" i="5"/>
  <c r="S491" i="5"/>
  <c r="R492" i="5"/>
  <c r="S492" i="5"/>
  <c r="R493" i="5"/>
  <c r="S493" i="5"/>
  <c r="R494" i="5"/>
  <c r="S494" i="5"/>
  <c r="R495" i="5"/>
  <c r="S495" i="5"/>
  <c r="R496" i="5"/>
  <c r="S496" i="5"/>
  <c r="R497" i="5"/>
  <c r="S497" i="5"/>
  <c r="R498" i="5"/>
  <c r="S498" i="5"/>
  <c r="R499" i="5"/>
  <c r="S499" i="5"/>
  <c r="R500" i="5"/>
  <c r="S500" i="5"/>
  <c r="R501" i="5"/>
  <c r="S501" i="5"/>
  <c r="R502" i="5"/>
  <c r="S502" i="5"/>
  <c r="R503" i="5"/>
  <c r="S503" i="5"/>
  <c r="R504" i="5"/>
  <c r="S504" i="5"/>
  <c r="R505" i="5"/>
  <c r="S505" i="5"/>
  <c r="R506" i="5"/>
  <c r="S506" i="5"/>
  <c r="R507" i="5"/>
  <c r="S507" i="5"/>
  <c r="R508" i="5"/>
  <c r="S508" i="5"/>
  <c r="R509" i="5"/>
  <c r="S509" i="5"/>
  <c r="R510" i="5"/>
  <c r="S510" i="5"/>
  <c r="R511" i="5"/>
  <c r="S511" i="5"/>
  <c r="R512" i="5"/>
  <c r="S512" i="5"/>
  <c r="R513" i="5"/>
  <c r="S513" i="5"/>
  <c r="R514" i="5"/>
  <c r="S514" i="5"/>
  <c r="R515" i="5"/>
  <c r="S515" i="5"/>
  <c r="R516" i="5"/>
  <c r="S516" i="5"/>
  <c r="R517" i="5"/>
  <c r="S517" i="5"/>
  <c r="R518" i="5"/>
  <c r="S518" i="5"/>
  <c r="R519" i="5"/>
  <c r="S519" i="5"/>
  <c r="R520" i="5"/>
  <c r="S520" i="5"/>
  <c r="R521" i="5"/>
  <c r="S521" i="5"/>
  <c r="R522" i="5"/>
  <c r="S522" i="5"/>
  <c r="R523" i="5"/>
  <c r="S523" i="5"/>
  <c r="R524" i="5"/>
  <c r="S524" i="5"/>
  <c r="R525" i="5"/>
  <c r="S525" i="5"/>
  <c r="R526" i="5"/>
  <c r="S526" i="5"/>
  <c r="R527" i="5"/>
  <c r="S527" i="5"/>
  <c r="R528" i="5"/>
  <c r="S528" i="5"/>
  <c r="R529" i="5"/>
  <c r="S529" i="5"/>
  <c r="R530" i="5"/>
  <c r="S530" i="5"/>
  <c r="R531" i="5"/>
  <c r="S531" i="5"/>
  <c r="R532" i="5"/>
  <c r="S532" i="5"/>
  <c r="R533" i="5"/>
  <c r="S533" i="5"/>
  <c r="R534" i="5"/>
  <c r="S534" i="5"/>
  <c r="R535" i="5"/>
  <c r="S535" i="5"/>
  <c r="R536" i="5"/>
  <c r="S536" i="5"/>
  <c r="R537" i="5"/>
  <c r="S537" i="5"/>
  <c r="R538" i="5"/>
  <c r="S538" i="5"/>
  <c r="R539" i="5"/>
  <c r="S539" i="5"/>
  <c r="R540" i="5"/>
  <c r="S540" i="5"/>
  <c r="R541" i="5"/>
  <c r="S541" i="5"/>
  <c r="R542" i="5"/>
  <c r="S542" i="5"/>
  <c r="R543" i="5"/>
  <c r="S543" i="5"/>
  <c r="R544" i="5"/>
  <c r="S544" i="5"/>
  <c r="R545" i="5"/>
  <c r="S545" i="5"/>
  <c r="R546" i="5"/>
  <c r="S546" i="5"/>
  <c r="R547" i="5"/>
  <c r="S547" i="5"/>
  <c r="R548" i="5"/>
  <c r="S548" i="5"/>
  <c r="R549" i="5"/>
  <c r="S549" i="5"/>
  <c r="R550" i="5"/>
  <c r="S550" i="5"/>
  <c r="R551" i="5"/>
  <c r="S551" i="5"/>
  <c r="R552" i="5"/>
  <c r="S552" i="5"/>
  <c r="R553" i="5"/>
  <c r="S553" i="5"/>
  <c r="R554" i="5"/>
  <c r="S554" i="5"/>
  <c r="R555" i="5"/>
  <c r="S555" i="5"/>
  <c r="R556" i="5"/>
  <c r="S556" i="5"/>
  <c r="R557" i="5"/>
  <c r="S557" i="5"/>
  <c r="R558" i="5"/>
  <c r="S558" i="5"/>
  <c r="R559" i="5"/>
  <c r="S559" i="5"/>
  <c r="R560" i="5"/>
  <c r="S560" i="5"/>
  <c r="R561" i="5"/>
  <c r="S561" i="5"/>
  <c r="R562" i="5"/>
  <c r="S562" i="5"/>
  <c r="R563" i="5"/>
  <c r="S563" i="5"/>
  <c r="R564" i="5"/>
  <c r="S564" i="5"/>
  <c r="R565" i="5"/>
  <c r="S565" i="5"/>
  <c r="R566" i="5"/>
  <c r="S566" i="5"/>
  <c r="R567" i="5"/>
  <c r="S567" i="5"/>
  <c r="R568" i="5"/>
  <c r="S568" i="5"/>
  <c r="R569" i="5"/>
  <c r="S569" i="5"/>
  <c r="R570" i="5"/>
  <c r="S570" i="5"/>
  <c r="R571" i="5"/>
  <c r="S571" i="5"/>
  <c r="R572" i="5"/>
  <c r="S572" i="5"/>
  <c r="R573" i="5"/>
  <c r="S573" i="5"/>
  <c r="R574" i="5"/>
  <c r="S574" i="5"/>
  <c r="R575" i="5"/>
  <c r="S575" i="5"/>
  <c r="R576" i="5"/>
  <c r="S576" i="5"/>
  <c r="R577" i="5"/>
  <c r="S577" i="5"/>
  <c r="R578" i="5"/>
  <c r="S578" i="5"/>
  <c r="R579" i="5"/>
  <c r="S579" i="5"/>
  <c r="R580" i="5"/>
  <c r="S580" i="5"/>
  <c r="R581" i="5"/>
  <c r="S581" i="5"/>
  <c r="R582" i="5"/>
  <c r="S582" i="5"/>
  <c r="R583" i="5"/>
  <c r="S583" i="5"/>
  <c r="R584" i="5"/>
  <c r="S584" i="5"/>
  <c r="R585" i="5"/>
  <c r="S585" i="5"/>
  <c r="R586" i="5"/>
  <c r="S586" i="5"/>
  <c r="R587" i="5"/>
  <c r="S587" i="5"/>
  <c r="R588" i="5"/>
  <c r="S588" i="5"/>
  <c r="R589" i="5"/>
  <c r="S589" i="5"/>
  <c r="R590" i="5"/>
  <c r="S590" i="5"/>
  <c r="R591" i="5"/>
  <c r="S591" i="5"/>
  <c r="R592" i="5"/>
  <c r="S592" i="5"/>
  <c r="R593" i="5"/>
  <c r="S593" i="5"/>
  <c r="R594" i="5"/>
  <c r="S594" i="5"/>
  <c r="R595" i="5"/>
  <c r="S595" i="5"/>
  <c r="R596" i="5"/>
  <c r="S596" i="5"/>
  <c r="S312" i="5"/>
  <c r="R312" i="5"/>
  <c r="M312" i="5"/>
  <c r="T312" i="5" s="1"/>
  <c r="P312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312" i="5"/>
  <c r="Q311" i="5"/>
  <c r="R311" i="5"/>
  <c r="S311" i="5"/>
  <c r="T311" i="5"/>
  <c r="T596" i="5"/>
  <c r="Q596" i="5"/>
  <c r="T595" i="5"/>
  <c r="Q595" i="5"/>
  <c r="T594" i="5"/>
  <c r="Q594" i="5"/>
  <c r="T593" i="5"/>
  <c r="Q593" i="5"/>
  <c r="T592" i="5"/>
  <c r="Q592" i="5"/>
  <c r="T591" i="5"/>
  <c r="Q591" i="5"/>
  <c r="T590" i="5"/>
  <c r="Q590" i="5"/>
  <c r="T589" i="5"/>
  <c r="Q589" i="5"/>
  <c r="T588" i="5"/>
  <c r="Q588" i="5"/>
  <c r="T587" i="5"/>
  <c r="Q587" i="5"/>
  <c r="T586" i="5"/>
  <c r="Q586" i="5"/>
  <c r="T585" i="5"/>
  <c r="Q585" i="5"/>
  <c r="T584" i="5"/>
  <c r="Q584" i="5"/>
  <c r="T583" i="5"/>
  <c r="Q583" i="5"/>
  <c r="T582" i="5"/>
  <c r="Q582" i="5"/>
  <c r="T581" i="5"/>
  <c r="Q581" i="5"/>
  <c r="T580" i="5"/>
  <c r="Q580" i="5"/>
  <c r="T579" i="5"/>
  <c r="Q579" i="5"/>
  <c r="T578" i="5"/>
  <c r="Q578" i="5"/>
  <c r="T577" i="5"/>
  <c r="Q577" i="5"/>
  <c r="T576" i="5"/>
  <c r="Q576" i="5"/>
  <c r="T575" i="5"/>
  <c r="Q575" i="5"/>
  <c r="T574" i="5"/>
  <c r="Q574" i="5"/>
  <c r="T573" i="5"/>
  <c r="Q573" i="5"/>
  <c r="T572" i="5"/>
  <c r="Q572" i="5"/>
  <c r="T571" i="5"/>
  <c r="Q571" i="5"/>
  <c r="T570" i="5"/>
  <c r="Q570" i="5"/>
  <c r="T569" i="5"/>
  <c r="Q569" i="5"/>
  <c r="T568" i="5"/>
  <c r="Q568" i="5"/>
  <c r="T567" i="5"/>
  <c r="Q567" i="5"/>
  <c r="T566" i="5"/>
  <c r="Q566" i="5"/>
  <c r="T565" i="5"/>
  <c r="Q565" i="5"/>
  <c r="T564" i="5"/>
  <c r="Q564" i="5"/>
  <c r="T563" i="5"/>
  <c r="Q563" i="5"/>
  <c r="T562" i="5"/>
  <c r="Q562" i="5"/>
  <c r="T561" i="5"/>
  <c r="Q561" i="5"/>
  <c r="T560" i="5"/>
  <c r="Q560" i="5"/>
  <c r="T559" i="5"/>
  <c r="Q559" i="5"/>
  <c r="T558" i="5"/>
  <c r="Q558" i="5"/>
  <c r="T557" i="5"/>
  <c r="Q557" i="5"/>
  <c r="T556" i="5"/>
  <c r="Q556" i="5"/>
  <c r="T555" i="5"/>
  <c r="Q555" i="5"/>
  <c r="T554" i="5"/>
  <c r="Q554" i="5"/>
  <c r="T553" i="5"/>
  <c r="Q553" i="5"/>
  <c r="T552" i="5"/>
  <c r="Q552" i="5"/>
  <c r="T551" i="5"/>
  <c r="Q551" i="5"/>
  <c r="T550" i="5"/>
  <c r="Q550" i="5"/>
  <c r="T549" i="5"/>
  <c r="Q549" i="5"/>
  <c r="T548" i="5"/>
  <c r="Q548" i="5"/>
  <c r="T547" i="5"/>
  <c r="Q547" i="5"/>
  <c r="T546" i="5"/>
  <c r="Q546" i="5"/>
  <c r="T545" i="5"/>
  <c r="Q545" i="5"/>
  <c r="T544" i="5"/>
  <c r="Q544" i="5"/>
  <c r="T543" i="5"/>
  <c r="Q543" i="5"/>
  <c r="T542" i="5"/>
  <c r="Q542" i="5"/>
  <c r="T541" i="5"/>
  <c r="Q541" i="5"/>
  <c r="T540" i="5"/>
  <c r="Q540" i="5"/>
  <c r="T539" i="5"/>
  <c r="Q539" i="5"/>
  <c r="M538" i="5"/>
  <c r="P538" i="5"/>
  <c r="M537" i="5"/>
  <c r="P537" i="5"/>
  <c r="M536" i="5"/>
  <c r="P536" i="5"/>
  <c r="M535" i="5"/>
  <c r="P535" i="5"/>
  <c r="M534" i="5"/>
  <c r="M533" i="5"/>
  <c r="T533" i="5" s="1"/>
  <c r="M532" i="5"/>
  <c r="M531" i="5"/>
  <c r="T531" i="5" s="1"/>
  <c r="M530" i="5"/>
  <c r="P530" i="5"/>
  <c r="M529" i="5"/>
  <c r="P529" i="5"/>
  <c r="M528" i="5"/>
  <c r="P528" i="5"/>
  <c r="M527" i="5"/>
  <c r="P527" i="5"/>
  <c r="M526" i="5"/>
  <c r="P526" i="5"/>
  <c r="M525" i="5"/>
  <c r="P525" i="5"/>
  <c r="M524" i="5"/>
  <c r="P524" i="5"/>
  <c r="M523" i="5"/>
  <c r="P523" i="5"/>
  <c r="M522" i="5"/>
  <c r="P522" i="5"/>
  <c r="M521" i="5"/>
  <c r="P521" i="5"/>
  <c r="M520" i="5"/>
  <c r="P520" i="5"/>
  <c r="M519" i="5"/>
  <c r="P519" i="5"/>
  <c r="M518" i="5"/>
  <c r="P518" i="5"/>
  <c r="M517" i="5"/>
  <c r="P517" i="5"/>
  <c r="M516" i="5"/>
  <c r="P516" i="5"/>
  <c r="M515" i="5"/>
  <c r="P515" i="5"/>
  <c r="M514" i="5"/>
  <c r="P514" i="5"/>
  <c r="M513" i="5"/>
  <c r="P513" i="5"/>
  <c r="M512" i="5"/>
  <c r="P512" i="5"/>
  <c r="M511" i="5"/>
  <c r="P511" i="5"/>
  <c r="M510" i="5"/>
  <c r="P510" i="5"/>
  <c r="M509" i="5"/>
  <c r="P509" i="5"/>
  <c r="M508" i="5"/>
  <c r="P508" i="5"/>
  <c r="M507" i="5"/>
  <c r="P507" i="5"/>
  <c r="M506" i="5"/>
  <c r="P506" i="5"/>
  <c r="M505" i="5"/>
  <c r="P505" i="5"/>
  <c r="M504" i="5"/>
  <c r="P504" i="5"/>
  <c r="M503" i="5"/>
  <c r="P503" i="5"/>
  <c r="M502" i="5"/>
  <c r="P502" i="5"/>
  <c r="T501" i="5"/>
  <c r="Q501" i="5"/>
  <c r="T500" i="5"/>
  <c r="Q500" i="5"/>
  <c r="T499" i="5"/>
  <c r="Q499" i="5"/>
  <c r="T498" i="5"/>
  <c r="Q498" i="5"/>
  <c r="T497" i="5"/>
  <c r="Q497" i="5"/>
  <c r="T496" i="5"/>
  <c r="Q496" i="5"/>
  <c r="T495" i="5"/>
  <c r="Q495" i="5"/>
  <c r="T494" i="5"/>
  <c r="Q494" i="5"/>
  <c r="T493" i="5"/>
  <c r="Q493" i="5"/>
  <c r="T492" i="5"/>
  <c r="Q492" i="5"/>
  <c r="T491" i="5"/>
  <c r="Q491" i="5"/>
  <c r="T490" i="5"/>
  <c r="Q490" i="5"/>
  <c r="T489" i="5"/>
  <c r="Q489" i="5"/>
  <c r="T488" i="5"/>
  <c r="Q488" i="5"/>
  <c r="T487" i="5"/>
  <c r="Q487" i="5"/>
  <c r="T486" i="5"/>
  <c r="Q486" i="5"/>
  <c r="T485" i="5"/>
  <c r="Q485" i="5"/>
  <c r="T484" i="5"/>
  <c r="Q484" i="5"/>
  <c r="T483" i="5"/>
  <c r="Q483" i="5"/>
  <c r="T482" i="5"/>
  <c r="Q482" i="5"/>
  <c r="T481" i="5"/>
  <c r="Q481" i="5"/>
  <c r="T480" i="5"/>
  <c r="Q480" i="5"/>
  <c r="T479" i="5"/>
  <c r="Q479" i="5"/>
  <c r="T478" i="5"/>
  <c r="Q478" i="5"/>
  <c r="T477" i="5"/>
  <c r="Q477" i="5"/>
  <c r="T476" i="5"/>
  <c r="Q476" i="5"/>
  <c r="T475" i="5"/>
  <c r="Q475" i="5"/>
  <c r="T474" i="5"/>
  <c r="Q474" i="5"/>
  <c r="T473" i="5"/>
  <c r="Q473" i="5"/>
  <c r="T472" i="5"/>
  <c r="Q472" i="5"/>
  <c r="T471" i="5"/>
  <c r="Q471" i="5"/>
  <c r="T470" i="5"/>
  <c r="Q470" i="5"/>
  <c r="T469" i="5"/>
  <c r="Q469" i="5"/>
  <c r="T468" i="5"/>
  <c r="Q468" i="5"/>
  <c r="T467" i="5"/>
  <c r="Q467" i="5"/>
  <c r="T466" i="5"/>
  <c r="Q466" i="5"/>
  <c r="T465" i="5"/>
  <c r="Q465" i="5"/>
  <c r="T464" i="5"/>
  <c r="Q464" i="5"/>
  <c r="T463" i="5"/>
  <c r="Q463" i="5"/>
  <c r="T462" i="5"/>
  <c r="Q462" i="5"/>
  <c r="T461" i="5"/>
  <c r="Q461" i="5"/>
  <c r="T460" i="5"/>
  <c r="Q460" i="5"/>
  <c r="T459" i="5"/>
  <c r="Q459" i="5"/>
  <c r="T458" i="5"/>
  <c r="Q458" i="5"/>
  <c r="T457" i="5"/>
  <c r="Q457" i="5"/>
  <c r="T456" i="5"/>
  <c r="Q456" i="5"/>
  <c r="T455" i="5"/>
  <c r="Q455" i="5"/>
  <c r="T454" i="5"/>
  <c r="Q454" i="5"/>
  <c r="T453" i="5"/>
  <c r="Q453" i="5"/>
  <c r="T452" i="5"/>
  <c r="Q452" i="5"/>
  <c r="T451" i="5"/>
  <c r="Q451" i="5"/>
  <c r="T450" i="5"/>
  <c r="Q450" i="5"/>
  <c r="T449" i="5"/>
  <c r="Q449" i="5"/>
  <c r="T448" i="5"/>
  <c r="Q448" i="5"/>
  <c r="T447" i="5"/>
  <c r="Q447" i="5"/>
  <c r="T446" i="5"/>
  <c r="Q446" i="5"/>
  <c r="T445" i="5"/>
  <c r="Q445" i="5"/>
  <c r="T444" i="5"/>
  <c r="Q444" i="5"/>
  <c r="M443" i="5"/>
  <c r="P443" i="5"/>
  <c r="M442" i="5"/>
  <c r="P442" i="5"/>
  <c r="M441" i="5"/>
  <c r="P441" i="5"/>
  <c r="M440" i="5"/>
  <c r="P440" i="5"/>
  <c r="M439" i="5"/>
  <c r="M438" i="5"/>
  <c r="T438" i="5" s="1"/>
  <c r="M437" i="5"/>
  <c r="Q437" i="5" s="1"/>
  <c r="M436" i="5"/>
  <c r="M435" i="5"/>
  <c r="P435" i="5"/>
  <c r="M434" i="5"/>
  <c r="P434" i="5"/>
  <c r="M433" i="5"/>
  <c r="P433" i="5"/>
  <c r="M432" i="5"/>
  <c r="P432" i="5"/>
  <c r="M431" i="5"/>
  <c r="P431" i="5"/>
  <c r="M430" i="5"/>
  <c r="P430" i="5"/>
  <c r="M429" i="5"/>
  <c r="P429" i="5"/>
  <c r="M428" i="5"/>
  <c r="P428" i="5"/>
  <c r="M427" i="5"/>
  <c r="P427" i="5"/>
  <c r="M426" i="5"/>
  <c r="P426" i="5"/>
  <c r="M425" i="5"/>
  <c r="P425" i="5"/>
  <c r="M424" i="5"/>
  <c r="P424" i="5"/>
  <c r="M423" i="5"/>
  <c r="P423" i="5"/>
  <c r="M422" i="5"/>
  <c r="P422" i="5"/>
  <c r="M421" i="5"/>
  <c r="P421" i="5"/>
  <c r="M420" i="5"/>
  <c r="P420" i="5"/>
  <c r="M419" i="5"/>
  <c r="P419" i="5"/>
  <c r="M418" i="5"/>
  <c r="P418" i="5"/>
  <c r="M417" i="5"/>
  <c r="P417" i="5"/>
  <c r="M416" i="5"/>
  <c r="P416" i="5"/>
  <c r="M415" i="5"/>
  <c r="P415" i="5"/>
  <c r="M414" i="5"/>
  <c r="P414" i="5"/>
  <c r="M413" i="5"/>
  <c r="P413" i="5"/>
  <c r="M412" i="5"/>
  <c r="P412" i="5"/>
  <c r="M411" i="5"/>
  <c r="P411" i="5"/>
  <c r="M410" i="5"/>
  <c r="P410" i="5"/>
  <c r="M409" i="5"/>
  <c r="P409" i="5"/>
  <c r="M408" i="5"/>
  <c r="P408" i="5"/>
  <c r="M407" i="5"/>
  <c r="P407" i="5"/>
  <c r="T406" i="5"/>
  <c r="Q406" i="5"/>
  <c r="T405" i="5"/>
  <c r="Q405" i="5"/>
  <c r="T404" i="5"/>
  <c r="Q404" i="5"/>
  <c r="T403" i="5"/>
  <c r="Q403" i="5"/>
  <c r="T402" i="5"/>
  <c r="Q402" i="5"/>
  <c r="T401" i="5"/>
  <c r="Q401" i="5"/>
  <c r="T400" i="5"/>
  <c r="Q400" i="5"/>
  <c r="T399" i="5"/>
  <c r="Q399" i="5"/>
  <c r="T398" i="5"/>
  <c r="Q398" i="5"/>
  <c r="T397" i="5"/>
  <c r="Q397" i="5"/>
  <c r="T396" i="5"/>
  <c r="Q396" i="5"/>
  <c r="T395" i="5"/>
  <c r="Q395" i="5"/>
  <c r="T394" i="5"/>
  <c r="Q394" i="5"/>
  <c r="T393" i="5"/>
  <c r="Q393" i="5"/>
  <c r="T392" i="5"/>
  <c r="Q392" i="5"/>
  <c r="T391" i="5"/>
  <c r="Q391" i="5"/>
  <c r="T390" i="5"/>
  <c r="Q390" i="5"/>
  <c r="T389" i="5"/>
  <c r="Q389" i="5"/>
  <c r="T388" i="5"/>
  <c r="Q388" i="5"/>
  <c r="T387" i="5"/>
  <c r="Q387" i="5"/>
  <c r="T386" i="5"/>
  <c r="Q386" i="5"/>
  <c r="T385" i="5"/>
  <c r="Q385" i="5"/>
  <c r="T384" i="5"/>
  <c r="Q384" i="5"/>
  <c r="T383" i="5"/>
  <c r="Q383" i="5"/>
  <c r="T382" i="5"/>
  <c r="Q382" i="5"/>
  <c r="T381" i="5"/>
  <c r="Q381" i="5"/>
  <c r="T380" i="5"/>
  <c r="Q380" i="5"/>
  <c r="T379" i="5"/>
  <c r="Q379" i="5"/>
  <c r="T378" i="5"/>
  <c r="Q378" i="5"/>
  <c r="T377" i="5"/>
  <c r="Q377" i="5"/>
  <c r="T376" i="5"/>
  <c r="Q376" i="5"/>
  <c r="T375" i="5"/>
  <c r="Q375" i="5"/>
  <c r="T374" i="5"/>
  <c r="Q374" i="5"/>
  <c r="T373" i="5"/>
  <c r="Q373" i="5"/>
  <c r="T372" i="5"/>
  <c r="Q372" i="5"/>
  <c r="T371" i="5"/>
  <c r="Q371" i="5"/>
  <c r="T370" i="5"/>
  <c r="Q370" i="5"/>
  <c r="T369" i="5"/>
  <c r="Q369" i="5"/>
  <c r="T368" i="5"/>
  <c r="Q368" i="5"/>
  <c r="T367" i="5"/>
  <c r="Q367" i="5"/>
  <c r="T366" i="5"/>
  <c r="Q366" i="5"/>
  <c r="T365" i="5"/>
  <c r="Q365" i="5"/>
  <c r="T364" i="5"/>
  <c r="Q364" i="5"/>
  <c r="T363" i="5"/>
  <c r="Q363" i="5"/>
  <c r="T362" i="5"/>
  <c r="Q362" i="5"/>
  <c r="T361" i="5"/>
  <c r="Q361" i="5"/>
  <c r="T360" i="5"/>
  <c r="Q360" i="5"/>
  <c r="T359" i="5"/>
  <c r="Q359" i="5"/>
  <c r="T358" i="5"/>
  <c r="Q358" i="5"/>
  <c r="T357" i="5"/>
  <c r="Q357" i="5"/>
  <c r="T356" i="5"/>
  <c r="Q356" i="5"/>
  <c r="T355" i="5"/>
  <c r="Q355" i="5"/>
  <c r="T354" i="5"/>
  <c r="Q354" i="5"/>
  <c r="T353" i="5"/>
  <c r="Q353" i="5"/>
  <c r="T352" i="5"/>
  <c r="Q352" i="5"/>
  <c r="T351" i="5"/>
  <c r="Q351" i="5"/>
  <c r="T350" i="5"/>
  <c r="Q350" i="5"/>
  <c r="T349" i="5"/>
  <c r="Q349" i="5"/>
  <c r="M348" i="5"/>
  <c r="P348" i="5"/>
  <c r="M347" i="5"/>
  <c r="T347" i="5" s="1"/>
  <c r="P347" i="5"/>
  <c r="M346" i="5"/>
  <c r="T346" i="5" s="1"/>
  <c r="P346" i="5"/>
  <c r="M345" i="5"/>
  <c r="T345" i="5" s="1"/>
  <c r="P345" i="5"/>
  <c r="M344" i="5"/>
  <c r="Q344" i="5" s="1"/>
  <c r="M343" i="5"/>
  <c r="T343" i="5" s="1"/>
  <c r="M342" i="5"/>
  <c r="T342" i="5" s="1"/>
  <c r="M341" i="5"/>
  <c r="T341" i="5" s="1"/>
  <c r="M340" i="5"/>
  <c r="T340" i="5" s="1"/>
  <c r="P340" i="5"/>
  <c r="M339" i="5"/>
  <c r="T339" i="5" s="1"/>
  <c r="P339" i="5"/>
  <c r="M338" i="5"/>
  <c r="T338" i="5" s="1"/>
  <c r="P338" i="5"/>
  <c r="M337" i="5"/>
  <c r="T337" i="5" s="1"/>
  <c r="P337" i="5"/>
  <c r="M336" i="5"/>
  <c r="T336" i="5" s="1"/>
  <c r="P336" i="5"/>
  <c r="M335" i="5"/>
  <c r="T335" i="5" s="1"/>
  <c r="P335" i="5"/>
  <c r="M334" i="5"/>
  <c r="T334" i="5" s="1"/>
  <c r="P334" i="5"/>
  <c r="M333" i="5"/>
  <c r="T333" i="5" s="1"/>
  <c r="P333" i="5"/>
  <c r="M332" i="5"/>
  <c r="T332" i="5" s="1"/>
  <c r="P332" i="5"/>
  <c r="M331" i="5"/>
  <c r="T331" i="5" s="1"/>
  <c r="P331" i="5"/>
  <c r="M330" i="5"/>
  <c r="T330" i="5" s="1"/>
  <c r="P330" i="5"/>
  <c r="M329" i="5"/>
  <c r="T329" i="5" s="1"/>
  <c r="P329" i="5"/>
  <c r="M328" i="5"/>
  <c r="T328" i="5" s="1"/>
  <c r="P328" i="5"/>
  <c r="M327" i="5"/>
  <c r="T327" i="5" s="1"/>
  <c r="P327" i="5"/>
  <c r="M326" i="5"/>
  <c r="T326" i="5" s="1"/>
  <c r="P326" i="5"/>
  <c r="M325" i="5"/>
  <c r="T325" i="5" s="1"/>
  <c r="P325" i="5"/>
  <c r="M324" i="5"/>
  <c r="T324" i="5" s="1"/>
  <c r="P324" i="5"/>
  <c r="M323" i="5"/>
  <c r="T323" i="5" s="1"/>
  <c r="P323" i="5"/>
  <c r="M322" i="5"/>
  <c r="T322" i="5" s="1"/>
  <c r="P322" i="5"/>
  <c r="M321" i="5"/>
  <c r="T321" i="5" s="1"/>
  <c r="P321" i="5"/>
  <c r="M320" i="5"/>
  <c r="T320" i="5" s="1"/>
  <c r="P320" i="5"/>
  <c r="M319" i="5"/>
  <c r="T319" i="5" s="1"/>
  <c r="P319" i="5"/>
  <c r="M318" i="5"/>
  <c r="T318" i="5" s="1"/>
  <c r="P318" i="5"/>
  <c r="M317" i="5"/>
  <c r="T317" i="5" s="1"/>
  <c r="P317" i="5"/>
  <c r="M316" i="5"/>
  <c r="T316" i="5" s="1"/>
  <c r="P316" i="5"/>
  <c r="M315" i="5"/>
  <c r="T315" i="5" s="1"/>
  <c r="P315" i="5"/>
  <c r="M314" i="5"/>
  <c r="T314" i="5" s="1"/>
  <c r="P314" i="5"/>
  <c r="M313" i="5"/>
  <c r="T313" i="5" s="1"/>
  <c r="P313" i="5"/>
  <c r="E33" i="6"/>
  <c r="M28" i="5"/>
  <c r="T28" i="5" s="1"/>
  <c r="M29" i="5"/>
  <c r="T29" i="5" s="1"/>
  <c r="M30" i="5"/>
  <c r="T30" i="5" s="1"/>
  <c r="M31" i="5"/>
  <c r="T31" i="5" s="1"/>
  <c r="M32" i="5"/>
  <c r="T32" i="5" s="1"/>
  <c r="M33" i="5"/>
  <c r="T33" i="5" s="1"/>
  <c r="M34" i="5"/>
  <c r="T34" i="5" s="1"/>
  <c r="M35" i="5"/>
  <c r="T35" i="5" s="1"/>
  <c r="M36" i="5"/>
  <c r="T36" i="5" s="1"/>
  <c r="M37" i="5"/>
  <c r="T37" i="5" s="1"/>
  <c r="M38" i="5"/>
  <c r="T38" i="5" s="1"/>
  <c r="M39" i="5"/>
  <c r="T39" i="5" s="1"/>
  <c r="M40" i="5"/>
  <c r="T40" i="5" s="1"/>
  <c r="M41" i="5"/>
  <c r="T41" i="5" s="1"/>
  <c r="M42" i="5"/>
  <c r="T42" i="5" s="1"/>
  <c r="M43" i="5"/>
  <c r="T43" i="5" s="1"/>
  <c r="M44" i="5"/>
  <c r="T44" i="5" s="1"/>
  <c r="M45" i="5"/>
  <c r="T45" i="5" s="1"/>
  <c r="M46" i="5"/>
  <c r="T46" i="5" s="1"/>
  <c r="M47" i="5"/>
  <c r="T47" i="5" s="1"/>
  <c r="M48" i="5"/>
  <c r="T48" i="5" s="1"/>
  <c r="M49" i="5"/>
  <c r="T49" i="5" s="1"/>
  <c r="M50" i="5"/>
  <c r="T50" i="5" s="1"/>
  <c r="M51" i="5"/>
  <c r="T51" i="5" s="1"/>
  <c r="M52" i="5"/>
  <c r="T52" i="5" s="1"/>
  <c r="M53" i="5"/>
  <c r="T53" i="5" s="1"/>
  <c r="M54" i="5"/>
  <c r="T54" i="5" s="1"/>
  <c r="M55" i="5"/>
  <c r="T55" i="5" s="1"/>
  <c r="M56" i="5"/>
  <c r="T56" i="5" s="1"/>
  <c r="M57" i="5"/>
  <c r="T57" i="5" s="1"/>
  <c r="M58" i="5"/>
  <c r="T58" i="5" s="1"/>
  <c r="M59" i="5"/>
  <c r="T59" i="5" s="1"/>
  <c r="M60" i="5"/>
  <c r="T60" i="5" s="1"/>
  <c r="M61" i="5"/>
  <c r="T61" i="5" s="1"/>
  <c r="M62" i="5"/>
  <c r="T62" i="5" s="1"/>
  <c r="M63" i="5"/>
  <c r="T63" i="5" s="1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M122" i="5"/>
  <c r="T122" i="5" s="1"/>
  <c r="M123" i="5"/>
  <c r="T123" i="5" s="1"/>
  <c r="M124" i="5"/>
  <c r="T124" i="5" s="1"/>
  <c r="M125" i="5"/>
  <c r="T125" i="5" s="1"/>
  <c r="M126" i="5"/>
  <c r="T126" i="5" s="1"/>
  <c r="M127" i="5"/>
  <c r="T127" i="5" s="1"/>
  <c r="M128" i="5"/>
  <c r="T128" i="5" s="1"/>
  <c r="M129" i="5"/>
  <c r="T129" i="5" s="1"/>
  <c r="M130" i="5"/>
  <c r="T130" i="5" s="1"/>
  <c r="M131" i="5"/>
  <c r="T131" i="5" s="1"/>
  <c r="M132" i="5"/>
  <c r="T132" i="5" s="1"/>
  <c r="M133" i="5"/>
  <c r="T133" i="5" s="1"/>
  <c r="M134" i="5"/>
  <c r="T134" i="5" s="1"/>
  <c r="M135" i="5"/>
  <c r="T135" i="5" s="1"/>
  <c r="M136" i="5"/>
  <c r="T136" i="5" s="1"/>
  <c r="M137" i="5"/>
  <c r="T137" i="5" s="1"/>
  <c r="M138" i="5"/>
  <c r="T138" i="5" s="1"/>
  <c r="M139" i="5"/>
  <c r="T139" i="5" s="1"/>
  <c r="M140" i="5"/>
  <c r="T140" i="5" s="1"/>
  <c r="M141" i="5"/>
  <c r="T141" i="5" s="1"/>
  <c r="M142" i="5"/>
  <c r="T142" i="5" s="1"/>
  <c r="M143" i="5"/>
  <c r="T143" i="5" s="1"/>
  <c r="M144" i="5"/>
  <c r="T144" i="5" s="1"/>
  <c r="M145" i="5"/>
  <c r="T145" i="5" s="1"/>
  <c r="M146" i="5"/>
  <c r="T146" i="5" s="1"/>
  <c r="M147" i="5"/>
  <c r="T147" i="5" s="1"/>
  <c r="M148" i="5"/>
  <c r="T148" i="5" s="1"/>
  <c r="M149" i="5"/>
  <c r="T149" i="5" s="1"/>
  <c r="M150" i="5"/>
  <c r="T150" i="5" s="1"/>
  <c r="M151" i="5"/>
  <c r="T151" i="5" s="1"/>
  <c r="M152" i="5"/>
  <c r="T152" i="5" s="1"/>
  <c r="M153" i="5"/>
  <c r="T153" i="5" s="1"/>
  <c r="M154" i="5"/>
  <c r="T154" i="5" s="1"/>
  <c r="M155" i="5"/>
  <c r="T155" i="5" s="1"/>
  <c r="M156" i="5"/>
  <c r="T156" i="5" s="1"/>
  <c r="M157" i="5"/>
  <c r="T157" i="5" s="1"/>
  <c r="M158" i="5"/>
  <c r="T158" i="5" s="1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M217" i="5"/>
  <c r="T217" i="5" s="1"/>
  <c r="M218" i="5"/>
  <c r="T218" i="5" s="1"/>
  <c r="M219" i="5"/>
  <c r="T219" i="5" s="1"/>
  <c r="M220" i="5"/>
  <c r="T220" i="5" s="1"/>
  <c r="M221" i="5"/>
  <c r="T221" i="5" s="1"/>
  <c r="M222" i="5"/>
  <c r="T222" i="5" s="1"/>
  <c r="M223" i="5"/>
  <c r="T223" i="5" s="1"/>
  <c r="M224" i="5"/>
  <c r="T224" i="5" s="1"/>
  <c r="M225" i="5"/>
  <c r="T225" i="5" s="1"/>
  <c r="M226" i="5"/>
  <c r="T226" i="5" s="1"/>
  <c r="M227" i="5"/>
  <c r="T227" i="5" s="1"/>
  <c r="M228" i="5"/>
  <c r="T228" i="5" s="1"/>
  <c r="M229" i="5"/>
  <c r="T229" i="5" s="1"/>
  <c r="M230" i="5"/>
  <c r="T230" i="5" s="1"/>
  <c r="M231" i="5"/>
  <c r="T231" i="5" s="1"/>
  <c r="M232" i="5"/>
  <c r="T232" i="5" s="1"/>
  <c r="M233" i="5"/>
  <c r="T233" i="5" s="1"/>
  <c r="M234" i="5"/>
  <c r="T234" i="5" s="1"/>
  <c r="M235" i="5"/>
  <c r="T235" i="5" s="1"/>
  <c r="M236" i="5"/>
  <c r="T236" i="5" s="1"/>
  <c r="M237" i="5"/>
  <c r="T237" i="5" s="1"/>
  <c r="M238" i="5"/>
  <c r="T238" i="5" s="1"/>
  <c r="M239" i="5"/>
  <c r="T239" i="5" s="1"/>
  <c r="M240" i="5"/>
  <c r="T240" i="5" s="1"/>
  <c r="M241" i="5"/>
  <c r="T241" i="5" s="1"/>
  <c r="M242" i="5"/>
  <c r="T242" i="5" s="1"/>
  <c r="M243" i="5"/>
  <c r="T243" i="5" s="1"/>
  <c r="M244" i="5"/>
  <c r="T244" i="5" s="1"/>
  <c r="M245" i="5"/>
  <c r="T245" i="5" s="1"/>
  <c r="M246" i="5"/>
  <c r="T246" i="5" s="1"/>
  <c r="M247" i="5"/>
  <c r="T247" i="5" s="1"/>
  <c r="M248" i="5"/>
  <c r="T248" i="5" s="1"/>
  <c r="M249" i="5"/>
  <c r="T249" i="5" s="1"/>
  <c r="M250" i="5"/>
  <c r="T250" i="5" s="1"/>
  <c r="M251" i="5"/>
  <c r="T251" i="5" s="1"/>
  <c r="M252" i="5"/>
  <c r="T252" i="5" s="1"/>
  <c r="M253" i="5"/>
  <c r="T253" i="5" s="1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S310" i="5"/>
  <c r="R310" i="5"/>
  <c r="Q310" i="5"/>
  <c r="S309" i="5"/>
  <c r="R309" i="5"/>
  <c r="Q309" i="5"/>
  <c r="S308" i="5"/>
  <c r="R308" i="5"/>
  <c r="Q308" i="5"/>
  <c r="S307" i="5"/>
  <c r="R307" i="5"/>
  <c r="Q307" i="5"/>
  <c r="S306" i="5"/>
  <c r="R306" i="5"/>
  <c r="Q306" i="5"/>
  <c r="S305" i="5"/>
  <c r="R305" i="5"/>
  <c r="Q305" i="5"/>
  <c r="S304" i="5"/>
  <c r="R304" i="5"/>
  <c r="Q304" i="5"/>
  <c r="S303" i="5"/>
  <c r="R303" i="5"/>
  <c r="Q303" i="5"/>
  <c r="S302" i="5"/>
  <c r="R302" i="5"/>
  <c r="Q302" i="5"/>
  <c r="S301" i="5"/>
  <c r="R301" i="5"/>
  <c r="Q301" i="5"/>
  <c r="S300" i="5"/>
  <c r="R300" i="5"/>
  <c r="Q300" i="5"/>
  <c r="S299" i="5"/>
  <c r="R299" i="5"/>
  <c r="Q299" i="5"/>
  <c r="S298" i="5"/>
  <c r="R298" i="5"/>
  <c r="Q298" i="5"/>
  <c r="S297" i="5"/>
  <c r="R297" i="5"/>
  <c r="Q297" i="5"/>
  <c r="S296" i="5"/>
  <c r="R296" i="5"/>
  <c r="Q296" i="5"/>
  <c r="S295" i="5"/>
  <c r="R295" i="5"/>
  <c r="Q295" i="5"/>
  <c r="S294" i="5"/>
  <c r="R294" i="5"/>
  <c r="Q294" i="5"/>
  <c r="S293" i="5"/>
  <c r="R293" i="5"/>
  <c r="Q293" i="5"/>
  <c r="S292" i="5"/>
  <c r="R292" i="5"/>
  <c r="Q292" i="5"/>
  <c r="S291" i="5"/>
  <c r="R291" i="5"/>
  <c r="Q291" i="5"/>
  <c r="S290" i="5"/>
  <c r="R290" i="5"/>
  <c r="Q290" i="5"/>
  <c r="S289" i="5"/>
  <c r="R289" i="5"/>
  <c r="Q289" i="5"/>
  <c r="S288" i="5"/>
  <c r="R288" i="5"/>
  <c r="Q288" i="5"/>
  <c r="S287" i="5"/>
  <c r="R287" i="5"/>
  <c r="Q287" i="5"/>
  <c r="S286" i="5"/>
  <c r="R286" i="5"/>
  <c r="Q286" i="5"/>
  <c r="S285" i="5"/>
  <c r="R285" i="5"/>
  <c r="Q285" i="5"/>
  <c r="S284" i="5"/>
  <c r="R284" i="5"/>
  <c r="Q284" i="5"/>
  <c r="S283" i="5"/>
  <c r="R283" i="5"/>
  <c r="Q283" i="5"/>
  <c r="S282" i="5"/>
  <c r="R282" i="5"/>
  <c r="Q282" i="5"/>
  <c r="S281" i="5"/>
  <c r="R281" i="5"/>
  <c r="Q281" i="5"/>
  <c r="S280" i="5"/>
  <c r="R280" i="5"/>
  <c r="Q280" i="5"/>
  <c r="S279" i="5"/>
  <c r="R279" i="5"/>
  <c r="Q279" i="5"/>
  <c r="S278" i="5"/>
  <c r="R278" i="5"/>
  <c r="Q278" i="5"/>
  <c r="S277" i="5"/>
  <c r="R277" i="5"/>
  <c r="Q277" i="5"/>
  <c r="S276" i="5"/>
  <c r="R276" i="5"/>
  <c r="Q276" i="5"/>
  <c r="S275" i="5"/>
  <c r="R275" i="5"/>
  <c r="Q275" i="5"/>
  <c r="S274" i="5"/>
  <c r="R274" i="5"/>
  <c r="Q274" i="5"/>
  <c r="S273" i="5"/>
  <c r="R273" i="5"/>
  <c r="Q273" i="5"/>
  <c r="S272" i="5"/>
  <c r="R272" i="5"/>
  <c r="Q272" i="5"/>
  <c r="S271" i="5"/>
  <c r="R271" i="5"/>
  <c r="Q271" i="5"/>
  <c r="S270" i="5"/>
  <c r="R270" i="5"/>
  <c r="Q270" i="5"/>
  <c r="S269" i="5"/>
  <c r="R269" i="5"/>
  <c r="Q269" i="5"/>
  <c r="S268" i="5"/>
  <c r="R268" i="5"/>
  <c r="Q268" i="5"/>
  <c r="S267" i="5"/>
  <c r="R267" i="5"/>
  <c r="Q267" i="5"/>
  <c r="S266" i="5"/>
  <c r="R266" i="5"/>
  <c r="Q266" i="5"/>
  <c r="S265" i="5"/>
  <c r="R265" i="5"/>
  <c r="Q265" i="5"/>
  <c r="S264" i="5"/>
  <c r="R264" i="5"/>
  <c r="Q264" i="5"/>
  <c r="S263" i="5"/>
  <c r="R263" i="5"/>
  <c r="Q263" i="5"/>
  <c r="S262" i="5"/>
  <c r="R262" i="5"/>
  <c r="Q262" i="5"/>
  <c r="S261" i="5"/>
  <c r="R261" i="5"/>
  <c r="Q261" i="5"/>
  <c r="S260" i="5"/>
  <c r="R260" i="5"/>
  <c r="Q260" i="5"/>
  <c r="S259" i="5"/>
  <c r="R259" i="5"/>
  <c r="Q259" i="5"/>
  <c r="S258" i="5"/>
  <c r="R258" i="5"/>
  <c r="Q258" i="5"/>
  <c r="S257" i="5"/>
  <c r="R257" i="5"/>
  <c r="Q257" i="5"/>
  <c r="S256" i="5"/>
  <c r="R256" i="5"/>
  <c r="Q256" i="5"/>
  <c r="S255" i="5"/>
  <c r="R255" i="5"/>
  <c r="Q255" i="5"/>
  <c r="S254" i="5"/>
  <c r="R254" i="5"/>
  <c r="Q254" i="5"/>
  <c r="S253" i="5"/>
  <c r="R253" i="5"/>
  <c r="P253" i="5"/>
  <c r="S252" i="5"/>
  <c r="R252" i="5"/>
  <c r="P252" i="5"/>
  <c r="S251" i="5"/>
  <c r="R251" i="5"/>
  <c r="P251" i="5"/>
  <c r="Q251" i="5" s="1"/>
  <c r="S250" i="5"/>
  <c r="R250" i="5"/>
  <c r="P250" i="5"/>
  <c r="S249" i="5"/>
  <c r="R249" i="5"/>
  <c r="Q249" i="5"/>
  <c r="S248" i="5"/>
  <c r="R248" i="5"/>
  <c r="S247" i="5"/>
  <c r="R247" i="5"/>
  <c r="S246" i="5"/>
  <c r="R246" i="5"/>
  <c r="S245" i="5"/>
  <c r="R245" i="5"/>
  <c r="P245" i="5"/>
  <c r="Q245" i="5" s="1"/>
  <c r="S244" i="5"/>
  <c r="R244" i="5"/>
  <c r="P244" i="5"/>
  <c r="S243" i="5"/>
  <c r="R243" i="5"/>
  <c r="P243" i="5"/>
  <c r="S242" i="5"/>
  <c r="R242" i="5"/>
  <c r="P242" i="5"/>
  <c r="S241" i="5"/>
  <c r="R241" i="5"/>
  <c r="P241" i="5"/>
  <c r="Q241" i="5" s="1"/>
  <c r="S240" i="5"/>
  <c r="R240" i="5"/>
  <c r="P240" i="5"/>
  <c r="S239" i="5"/>
  <c r="R239" i="5"/>
  <c r="P239" i="5"/>
  <c r="S238" i="5"/>
  <c r="R238" i="5"/>
  <c r="P238" i="5"/>
  <c r="S237" i="5"/>
  <c r="R237" i="5"/>
  <c r="P237" i="5"/>
  <c r="Q237" i="5" s="1"/>
  <c r="S236" i="5"/>
  <c r="R236" i="5"/>
  <c r="P236" i="5"/>
  <c r="S235" i="5"/>
  <c r="R235" i="5"/>
  <c r="P235" i="5"/>
  <c r="S234" i="5"/>
  <c r="R234" i="5"/>
  <c r="P234" i="5"/>
  <c r="S233" i="5"/>
  <c r="R233" i="5"/>
  <c r="P233" i="5"/>
  <c r="Q233" i="5" s="1"/>
  <c r="S232" i="5"/>
  <c r="R232" i="5"/>
  <c r="P232" i="5"/>
  <c r="S231" i="5"/>
  <c r="R231" i="5"/>
  <c r="P231" i="5"/>
  <c r="S230" i="5"/>
  <c r="R230" i="5"/>
  <c r="P230" i="5"/>
  <c r="S229" i="5"/>
  <c r="R229" i="5"/>
  <c r="P229" i="5"/>
  <c r="Q229" i="5" s="1"/>
  <c r="S228" i="5"/>
  <c r="R228" i="5"/>
  <c r="P228" i="5"/>
  <c r="S227" i="5"/>
  <c r="R227" i="5"/>
  <c r="P227" i="5"/>
  <c r="S226" i="5"/>
  <c r="R226" i="5"/>
  <c r="P226" i="5"/>
  <c r="S225" i="5"/>
  <c r="R225" i="5"/>
  <c r="P225" i="5"/>
  <c r="S224" i="5"/>
  <c r="R224" i="5"/>
  <c r="P224" i="5"/>
  <c r="S223" i="5"/>
  <c r="R223" i="5"/>
  <c r="P223" i="5"/>
  <c r="S222" i="5"/>
  <c r="R222" i="5"/>
  <c r="P222" i="5"/>
  <c r="S221" i="5"/>
  <c r="R221" i="5"/>
  <c r="P221" i="5"/>
  <c r="S220" i="5"/>
  <c r="R220" i="5"/>
  <c r="P220" i="5"/>
  <c r="S219" i="5"/>
  <c r="R219" i="5"/>
  <c r="P219" i="5"/>
  <c r="S218" i="5"/>
  <c r="R218" i="5"/>
  <c r="P218" i="5"/>
  <c r="S217" i="5"/>
  <c r="R217" i="5"/>
  <c r="P217" i="5"/>
  <c r="S216" i="5"/>
  <c r="R216" i="5"/>
  <c r="Q216" i="5"/>
  <c r="S215" i="5"/>
  <c r="R215" i="5"/>
  <c r="Q215" i="5"/>
  <c r="S214" i="5"/>
  <c r="R214" i="5"/>
  <c r="Q214" i="5"/>
  <c r="S213" i="5"/>
  <c r="R213" i="5"/>
  <c r="Q213" i="5"/>
  <c r="S212" i="5"/>
  <c r="R212" i="5"/>
  <c r="Q212" i="5"/>
  <c r="S211" i="5"/>
  <c r="R211" i="5"/>
  <c r="Q211" i="5"/>
  <c r="S210" i="5"/>
  <c r="R210" i="5"/>
  <c r="Q210" i="5"/>
  <c r="S209" i="5"/>
  <c r="R209" i="5"/>
  <c r="Q209" i="5"/>
  <c r="S208" i="5"/>
  <c r="R208" i="5"/>
  <c r="Q208" i="5"/>
  <c r="S207" i="5"/>
  <c r="R207" i="5"/>
  <c r="Q207" i="5"/>
  <c r="S206" i="5"/>
  <c r="R206" i="5"/>
  <c r="Q206" i="5"/>
  <c r="S205" i="5"/>
  <c r="R205" i="5"/>
  <c r="Q205" i="5"/>
  <c r="S204" i="5"/>
  <c r="R204" i="5"/>
  <c r="Q204" i="5"/>
  <c r="S203" i="5"/>
  <c r="R203" i="5"/>
  <c r="Q203" i="5"/>
  <c r="S202" i="5"/>
  <c r="R202" i="5"/>
  <c r="Q202" i="5"/>
  <c r="S201" i="5"/>
  <c r="R201" i="5"/>
  <c r="Q201" i="5"/>
  <c r="S200" i="5"/>
  <c r="R200" i="5"/>
  <c r="Q200" i="5"/>
  <c r="S199" i="5"/>
  <c r="R199" i="5"/>
  <c r="Q199" i="5"/>
  <c r="S198" i="5"/>
  <c r="R198" i="5"/>
  <c r="Q198" i="5"/>
  <c r="S197" i="5"/>
  <c r="R197" i="5"/>
  <c r="Q197" i="5"/>
  <c r="S196" i="5"/>
  <c r="R196" i="5"/>
  <c r="Q196" i="5"/>
  <c r="S195" i="5"/>
  <c r="R195" i="5"/>
  <c r="Q195" i="5"/>
  <c r="S194" i="5"/>
  <c r="R194" i="5"/>
  <c r="Q194" i="5"/>
  <c r="S193" i="5"/>
  <c r="R193" i="5"/>
  <c r="Q193" i="5"/>
  <c r="S192" i="5"/>
  <c r="R192" i="5"/>
  <c r="Q192" i="5"/>
  <c r="S191" i="5"/>
  <c r="R191" i="5"/>
  <c r="Q191" i="5"/>
  <c r="S190" i="5"/>
  <c r="R190" i="5"/>
  <c r="Q190" i="5"/>
  <c r="S189" i="5"/>
  <c r="R189" i="5"/>
  <c r="Q189" i="5"/>
  <c r="S188" i="5"/>
  <c r="R188" i="5"/>
  <c r="Q188" i="5"/>
  <c r="S187" i="5"/>
  <c r="R187" i="5"/>
  <c r="Q187" i="5"/>
  <c r="S186" i="5"/>
  <c r="R186" i="5"/>
  <c r="Q186" i="5"/>
  <c r="S185" i="5"/>
  <c r="R185" i="5"/>
  <c r="Q185" i="5"/>
  <c r="S184" i="5"/>
  <c r="R184" i="5"/>
  <c r="Q184" i="5"/>
  <c r="S183" i="5"/>
  <c r="R183" i="5"/>
  <c r="Q183" i="5"/>
  <c r="S182" i="5"/>
  <c r="R182" i="5"/>
  <c r="Q182" i="5"/>
  <c r="S181" i="5"/>
  <c r="R181" i="5"/>
  <c r="Q181" i="5"/>
  <c r="S180" i="5"/>
  <c r="R180" i="5"/>
  <c r="Q180" i="5"/>
  <c r="S179" i="5"/>
  <c r="R179" i="5"/>
  <c r="Q179" i="5"/>
  <c r="S178" i="5"/>
  <c r="R178" i="5"/>
  <c r="Q178" i="5"/>
  <c r="S177" i="5"/>
  <c r="R177" i="5"/>
  <c r="Q177" i="5"/>
  <c r="S176" i="5"/>
  <c r="R176" i="5"/>
  <c r="Q176" i="5"/>
  <c r="S175" i="5"/>
  <c r="R175" i="5"/>
  <c r="Q175" i="5"/>
  <c r="S174" i="5"/>
  <c r="R174" i="5"/>
  <c r="Q174" i="5"/>
  <c r="S173" i="5"/>
  <c r="R173" i="5"/>
  <c r="Q173" i="5"/>
  <c r="S172" i="5"/>
  <c r="R172" i="5"/>
  <c r="Q172" i="5"/>
  <c r="S171" i="5"/>
  <c r="R171" i="5"/>
  <c r="Q171" i="5"/>
  <c r="S170" i="5"/>
  <c r="R170" i="5"/>
  <c r="Q170" i="5"/>
  <c r="S169" i="5"/>
  <c r="R169" i="5"/>
  <c r="Q169" i="5"/>
  <c r="S168" i="5"/>
  <c r="R168" i="5"/>
  <c r="Q168" i="5"/>
  <c r="S167" i="5"/>
  <c r="R167" i="5"/>
  <c r="Q167" i="5"/>
  <c r="S166" i="5"/>
  <c r="R166" i="5"/>
  <c r="Q166" i="5"/>
  <c r="S165" i="5"/>
  <c r="R165" i="5"/>
  <c r="Q165" i="5"/>
  <c r="S164" i="5"/>
  <c r="R164" i="5"/>
  <c r="Q164" i="5"/>
  <c r="S163" i="5"/>
  <c r="R163" i="5"/>
  <c r="Q163" i="5"/>
  <c r="S162" i="5"/>
  <c r="R162" i="5"/>
  <c r="Q162" i="5"/>
  <c r="S161" i="5"/>
  <c r="R161" i="5"/>
  <c r="Q161" i="5"/>
  <c r="S160" i="5"/>
  <c r="R160" i="5"/>
  <c r="Q160" i="5"/>
  <c r="S159" i="5"/>
  <c r="R159" i="5"/>
  <c r="Q159" i="5"/>
  <c r="S158" i="5"/>
  <c r="R158" i="5"/>
  <c r="P158" i="5"/>
  <c r="S157" i="5"/>
  <c r="R157" i="5"/>
  <c r="P157" i="5"/>
  <c r="S156" i="5"/>
  <c r="R156" i="5"/>
  <c r="P156" i="5"/>
  <c r="Q156" i="5" s="1"/>
  <c r="S155" i="5"/>
  <c r="R155" i="5"/>
  <c r="P155" i="5"/>
  <c r="Q155" i="5" s="1"/>
  <c r="S154" i="5"/>
  <c r="R154" i="5"/>
  <c r="S153" i="5"/>
  <c r="R153" i="5"/>
  <c r="Q153" i="5"/>
  <c r="S152" i="5"/>
  <c r="R152" i="5"/>
  <c r="Q152" i="5"/>
  <c r="S151" i="5"/>
  <c r="R151" i="5"/>
  <c r="Q151" i="5"/>
  <c r="S150" i="5"/>
  <c r="R150" i="5"/>
  <c r="P150" i="5"/>
  <c r="S149" i="5"/>
  <c r="R149" i="5"/>
  <c r="P149" i="5"/>
  <c r="S148" i="5"/>
  <c r="R148" i="5"/>
  <c r="P148" i="5"/>
  <c r="Q148" i="5" s="1"/>
  <c r="S147" i="5"/>
  <c r="R147" i="5"/>
  <c r="P147" i="5"/>
  <c r="S146" i="5"/>
  <c r="R146" i="5"/>
  <c r="P146" i="5"/>
  <c r="S145" i="5"/>
  <c r="R145" i="5"/>
  <c r="P145" i="5"/>
  <c r="Q145" i="5" s="1"/>
  <c r="S144" i="5"/>
  <c r="R144" i="5"/>
  <c r="P144" i="5"/>
  <c r="Q144" i="5" s="1"/>
  <c r="S143" i="5"/>
  <c r="R143" i="5"/>
  <c r="P143" i="5"/>
  <c r="S142" i="5"/>
  <c r="R142" i="5"/>
  <c r="P142" i="5"/>
  <c r="Q142" i="5" s="1"/>
  <c r="S141" i="5"/>
  <c r="R141" i="5"/>
  <c r="P141" i="5"/>
  <c r="S140" i="5"/>
  <c r="R140" i="5"/>
  <c r="P140" i="5"/>
  <c r="S139" i="5"/>
  <c r="R139" i="5"/>
  <c r="P139" i="5"/>
  <c r="S138" i="5"/>
  <c r="R138" i="5"/>
  <c r="P138" i="5"/>
  <c r="Q138" i="5" s="1"/>
  <c r="S137" i="5"/>
  <c r="R137" i="5"/>
  <c r="P137" i="5"/>
  <c r="Q137" i="5" s="1"/>
  <c r="S136" i="5"/>
  <c r="R136" i="5"/>
  <c r="P136" i="5"/>
  <c r="S135" i="5"/>
  <c r="R135" i="5"/>
  <c r="P135" i="5"/>
  <c r="S134" i="5"/>
  <c r="R134" i="5"/>
  <c r="P134" i="5"/>
  <c r="S133" i="5"/>
  <c r="R133" i="5"/>
  <c r="P133" i="5"/>
  <c r="S132" i="5"/>
  <c r="R132" i="5"/>
  <c r="P132" i="5"/>
  <c r="S131" i="5"/>
  <c r="R131" i="5"/>
  <c r="P131" i="5"/>
  <c r="S130" i="5"/>
  <c r="R130" i="5"/>
  <c r="P130" i="5"/>
  <c r="Q130" i="5" s="1"/>
  <c r="S129" i="5"/>
  <c r="R129" i="5"/>
  <c r="P129" i="5"/>
  <c r="S128" i="5"/>
  <c r="R128" i="5"/>
  <c r="P128" i="5"/>
  <c r="S127" i="5"/>
  <c r="R127" i="5"/>
  <c r="P127" i="5"/>
  <c r="S126" i="5"/>
  <c r="R126" i="5"/>
  <c r="P126" i="5"/>
  <c r="Q126" i="5" s="1"/>
  <c r="S125" i="5"/>
  <c r="R125" i="5"/>
  <c r="P125" i="5"/>
  <c r="Q125" i="5" s="1"/>
  <c r="S124" i="5"/>
  <c r="R124" i="5"/>
  <c r="P124" i="5"/>
  <c r="S123" i="5"/>
  <c r="R123" i="5"/>
  <c r="P123" i="5"/>
  <c r="S122" i="5"/>
  <c r="R122" i="5"/>
  <c r="P122" i="5"/>
  <c r="Q122" i="5" s="1"/>
  <c r="S121" i="5"/>
  <c r="R121" i="5"/>
  <c r="Q121" i="5"/>
  <c r="S120" i="5"/>
  <c r="R120" i="5"/>
  <c r="Q120" i="5"/>
  <c r="S119" i="5"/>
  <c r="R119" i="5"/>
  <c r="Q119" i="5"/>
  <c r="S118" i="5"/>
  <c r="R118" i="5"/>
  <c r="Q118" i="5"/>
  <c r="S117" i="5"/>
  <c r="R117" i="5"/>
  <c r="Q117" i="5"/>
  <c r="S116" i="5"/>
  <c r="R116" i="5"/>
  <c r="Q116" i="5"/>
  <c r="S115" i="5"/>
  <c r="R115" i="5"/>
  <c r="Q115" i="5"/>
  <c r="S114" i="5"/>
  <c r="R114" i="5"/>
  <c r="Q114" i="5"/>
  <c r="S113" i="5"/>
  <c r="R113" i="5"/>
  <c r="Q113" i="5"/>
  <c r="S112" i="5"/>
  <c r="R112" i="5"/>
  <c r="Q112" i="5"/>
  <c r="S111" i="5"/>
  <c r="R111" i="5"/>
  <c r="Q111" i="5"/>
  <c r="S110" i="5"/>
  <c r="R110" i="5"/>
  <c r="Q110" i="5"/>
  <c r="S109" i="5"/>
  <c r="R109" i="5"/>
  <c r="Q109" i="5"/>
  <c r="S108" i="5"/>
  <c r="R108" i="5"/>
  <c r="Q108" i="5"/>
  <c r="S107" i="5"/>
  <c r="R107" i="5"/>
  <c r="Q107" i="5"/>
  <c r="S106" i="5"/>
  <c r="R106" i="5"/>
  <c r="Q106" i="5"/>
  <c r="S105" i="5"/>
  <c r="R105" i="5"/>
  <c r="Q105" i="5"/>
  <c r="S104" i="5"/>
  <c r="R104" i="5"/>
  <c r="Q104" i="5"/>
  <c r="S103" i="5"/>
  <c r="R103" i="5"/>
  <c r="Q103" i="5"/>
  <c r="S102" i="5"/>
  <c r="R102" i="5"/>
  <c r="Q102" i="5"/>
  <c r="S101" i="5"/>
  <c r="R101" i="5"/>
  <c r="Q101" i="5"/>
  <c r="S100" i="5"/>
  <c r="R100" i="5"/>
  <c r="Q100" i="5"/>
  <c r="S99" i="5"/>
  <c r="R99" i="5"/>
  <c r="Q99" i="5"/>
  <c r="S98" i="5"/>
  <c r="R98" i="5"/>
  <c r="Q98" i="5"/>
  <c r="S97" i="5"/>
  <c r="R97" i="5"/>
  <c r="Q97" i="5"/>
  <c r="S96" i="5"/>
  <c r="R96" i="5"/>
  <c r="Q96" i="5"/>
  <c r="S95" i="5"/>
  <c r="R95" i="5"/>
  <c r="Q95" i="5"/>
  <c r="S94" i="5"/>
  <c r="R94" i="5"/>
  <c r="Q94" i="5"/>
  <c r="S93" i="5"/>
  <c r="R93" i="5"/>
  <c r="Q93" i="5"/>
  <c r="S92" i="5"/>
  <c r="R92" i="5"/>
  <c r="Q92" i="5"/>
  <c r="S91" i="5"/>
  <c r="R91" i="5"/>
  <c r="Q91" i="5"/>
  <c r="S90" i="5"/>
  <c r="R90" i="5"/>
  <c r="Q90" i="5"/>
  <c r="S89" i="5"/>
  <c r="R89" i="5"/>
  <c r="Q89" i="5"/>
  <c r="S88" i="5"/>
  <c r="R88" i="5"/>
  <c r="Q88" i="5"/>
  <c r="S87" i="5"/>
  <c r="R87" i="5"/>
  <c r="Q87" i="5"/>
  <c r="S86" i="5"/>
  <c r="R86" i="5"/>
  <c r="Q86" i="5"/>
  <c r="S85" i="5"/>
  <c r="R85" i="5"/>
  <c r="Q85" i="5"/>
  <c r="S84" i="5"/>
  <c r="R84" i="5"/>
  <c r="Q84" i="5"/>
  <c r="S83" i="5"/>
  <c r="R83" i="5"/>
  <c r="Q83" i="5"/>
  <c r="S82" i="5"/>
  <c r="R82" i="5"/>
  <c r="Q82" i="5"/>
  <c r="S81" i="5"/>
  <c r="R81" i="5"/>
  <c r="Q81" i="5"/>
  <c r="S80" i="5"/>
  <c r="R80" i="5"/>
  <c r="Q80" i="5"/>
  <c r="S79" i="5"/>
  <c r="R79" i="5"/>
  <c r="Q79" i="5"/>
  <c r="S78" i="5"/>
  <c r="R78" i="5"/>
  <c r="Q78" i="5"/>
  <c r="S77" i="5"/>
  <c r="R77" i="5"/>
  <c r="Q77" i="5"/>
  <c r="S76" i="5"/>
  <c r="R76" i="5"/>
  <c r="Q76" i="5"/>
  <c r="S75" i="5"/>
  <c r="R75" i="5"/>
  <c r="Q75" i="5"/>
  <c r="S74" i="5"/>
  <c r="R74" i="5"/>
  <c r="Q74" i="5"/>
  <c r="S73" i="5"/>
  <c r="R73" i="5"/>
  <c r="Q73" i="5"/>
  <c r="S72" i="5"/>
  <c r="R72" i="5"/>
  <c r="Q72" i="5"/>
  <c r="S71" i="5"/>
  <c r="R71" i="5"/>
  <c r="Q71" i="5"/>
  <c r="S70" i="5"/>
  <c r="R70" i="5"/>
  <c r="Q70" i="5"/>
  <c r="S69" i="5"/>
  <c r="R69" i="5"/>
  <c r="Q69" i="5"/>
  <c r="S68" i="5"/>
  <c r="R68" i="5"/>
  <c r="Q68" i="5"/>
  <c r="S67" i="5"/>
  <c r="R67" i="5"/>
  <c r="Q67" i="5"/>
  <c r="S66" i="5"/>
  <c r="R66" i="5"/>
  <c r="Q66" i="5"/>
  <c r="S65" i="5"/>
  <c r="R65" i="5"/>
  <c r="Q65" i="5"/>
  <c r="S64" i="5"/>
  <c r="R64" i="5"/>
  <c r="Q64" i="5"/>
  <c r="S63" i="5"/>
  <c r="R63" i="5"/>
  <c r="P63" i="5"/>
  <c r="Q63" i="5" s="1"/>
  <c r="S62" i="5"/>
  <c r="R62" i="5"/>
  <c r="P62" i="5"/>
  <c r="Q62" i="5" s="1"/>
  <c r="S61" i="5"/>
  <c r="R61" i="5"/>
  <c r="P61" i="5"/>
  <c r="S60" i="5"/>
  <c r="R60" i="5"/>
  <c r="P60" i="5"/>
  <c r="S59" i="5"/>
  <c r="R59" i="5"/>
  <c r="Q59" i="5"/>
  <c r="S58" i="5"/>
  <c r="R58" i="5"/>
  <c r="Q58" i="5"/>
  <c r="S57" i="5"/>
  <c r="R57" i="5"/>
  <c r="Q57" i="5"/>
  <c r="S56" i="5"/>
  <c r="R56" i="5"/>
  <c r="Q56" i="5"/>
  <c r="S55" i="5"/>
  <c r="R55" i="5"/>
  <c r="P55" i="5"/>
  <c r="S54" i="5"/>
  <c r="R54" i="5"/>
  <c r="P54" i="5"/>
  <c r="S53" i="5"/>
  <c r="R53" i="5"/>
  <c r="P53" i="5"/>
  <c r="Q53" i="5" s="1"/>
  <c r="S52" i="5"/>
  <c r="R52" i="5"/>
  <c r="P52" i="5"/>
  <c r="S51" i="5"/>
  <c r="R51" i="5"/>
  <c r="P51" i="5"/>
  <c r="S50" i="5"/>
  <c r="R50" i="5"/>
  <c r="P50" i="5"/>
  <c r="S49" i="5"/>
  <c r="R49" i="5"/>
  <c r="P49" i="5"/>
  <c r="Q49" i="5" s="1"/>
  <c r="S48" i="5"/>
  <c r="R48" i="5"/>
  <c r="P48" i="5"/>
  <c r="S47" i="5"/>
  <c r="R47" i="5"/>
  <c r="P47" i="5"/>
  <c r="Q47" i="5" s="1"/>
  <c r="S46" i="5"/>
  <c r="R46" i="5"/>
  <c r="P46" i="5"/>
  <c r="S45" i="5"/>
  <c r="R45" i="5"/>
  <c r="P45" i="5"/>
  <c r="S44" i="5"/>
  <c r="R44" i="5"/>
  <c r="P44" i="5"/>
  <c r="S43" i="5"/>
  <c r="R43" i="5"/>
  <c r="P43" i="5"/>
  <c r="Q43" i="5" s="1"/>
  <c r="S42" i="5"/>
  <c r="R42" i="5"/>
  <c r="P42" i="5"/>
  <c r="S41" i="5"/>
  <c r="R41" i="5"/>
  <c r="P41" i="5"/>
  <c r="S40" i="5"/>
  <c r="R40" i="5"/>
  <c r="P40" i="5"/>
  <c r="Q40" i="5" s="1"/>
  <c r="S39" i="5"/>
  <c r="R39" i="5"/>
  <c r="P39" i="5"/>
  <c r="Q39" i="5" s="1"/>
  <c r="S38" i="5"/>
  <c r="R38" i="5"/>
  <c r="P38" i="5"/>
  <c r="S37" i="5"/>
  <c r="R37" i="5"/>
  <c r="P37" i="5"/>
  <c r="Q37" i="5" s="1"/>
  <c r="S36" i="5"/>
  <c r="R36" i="5"/>
  <c r="P36" i="5"/>
  <c r="Q36" i="5" s="1"/>
  <c r="S35" i="5"/>
  <c r="R35" i="5"/>
  <c r="P35" i="5"/>
  <c r="S34" i="5"/>
  <c r="R34" i="5"/>
  <c r="P34" i="5"/>
  <c r="Q34" i="5" s="1"/>
  <c r="S33" i="5"/>
  <c r="R33" i="5"/>
  <c r="P33" i="5"/>
  <c r="Q33" i="5" s="1"/>
  <c r="S32" i="5"/>
  <c r="R32" i="5"/>
  <c r="P32" i="5"/>
  <c r="Q32" i="5" s="1"/>
  <c r="S31" i="5"/>
  <c r="R31" i="5"/>
  <c r="P31" i="5"/>
  <c r="S30" i="5"/>
  <c r="R30" i="5"/>
  <c r="P30" i="5"/>
  <c r="Q30" i="5" s="1"/>
  <c r="S29" i="5"/>
  <c r="R29" i="5"/>
  <c r="P29" i="5"/>
  <c r="S28" i="5"/>
  <c r="R28" i="5"/>
  <c r="P28" i="5"/>
  <c r="Q28" i="5" s="1"/>
  <c r="S26" i="6"/>
  <c r="Q26" i="6"/>
  <c r="N13" i="6"/>
  <c r="H28" i="6"/>
  <c r="O26" i="6" s="1"/>
  <c r="M26" i="6"/>
  <c r="K26" i="6"/>
  <c r="P18" i="6"/>
  <c r="N20" i="6"/>
  <c r="N22" i="6" s="1"/>
  <c r="H27" i="6"/>
  <c r="C21" i="5"/>
  <c r="C18" i="5" s="1"/>
  <c r="C22" i="5"/>
  <c r="C33" i="6"/>
  <c r="G33" i="6"/>
  <c r="E22" i="5"/>
  <c r="F19" i="5"/>
  <c r="F17" i="6" s="1"/>
  <c r="H25" i="5"/>
  <c r="E23" i="5"/>
  <c r="F25" i="5"/>
  <c r="F22" i="5"/>
  <c r="G23" i="5"/>
  <c r="G25" i="5"/>
  <c r="G24" i="5"/>
  <c r="G22" i="5"/>
  <c r="G21" i="5"/>
  <c r="G20" i="5"/>
  <c r="G19" i="5"/>
  <c r="AE71" i="5"/>
  <c r="AE72" i="5"/>
  <c r="AE73" i="5"/>
  <c r="AE74" i="5"/>
  <c r="AE75" i="5"/>
  <c r="AE76" i="5"/>
  <c r="AE77" i="5"/>
  <c r="AE78" i="5"/>
  <c r="AE79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102" i="5"/>
  <c r="AE103" i="5"/>
  <c r="AE65" i="5"/>
  <c r="AE66" i="5"/>
  <c r="AE67" i="5"/>
  <c r="AE68" i="5"/>
  <c r="AE69" i="5"/>
  <c r="AE70" i="5"/>
  <c r="AE64" i="5"/>
  <c r="AD89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102" i="5"/>
  <c r="AD103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64" i="5"/>
  <c r="C30" i="6"/>
  <c r="P16" i="6"/>
  <c r="H19" i="5"/>
  <c r="S25" i="6"/>
  <c r="Q25" i="6"/>
  <c r="M25" i="6"/>
  <c r="P11" i="6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A182" i="5"/>
  <c r="AA181" i="5"/>
  <c r="AA180" i="5"/>
  <c r="AA179" i="5"/>
  <c r="AA178" i="5"/>
  <c r="AA177" i="5"/>
  <c r="AA176" i="5"/>
  <c r="AA175" i="5"/>
  <c r="AA174" i="5"/>
  <c r="AA173" i="5"/>
  <c r="AA172" i="5"/>
  <c r="AA171" i="5"/>
  <c r="AA170" i="5"/>
  <c r="AA169" i="5"/>
  <c r="AA168" i="5"/>
  <c r="AA167" i="5"/>
  <c r="AA166" i="5"/>
  <c r="AA165" i="5"/>
  <c r="AA164" i="5"/>
  <c r="AA163" i="5"/>
  <c r="AA161" i="5"/>
  <c r="AA160" i="5"/>
  <c r="AA159" i="5"/>
  <c r="AA158" i="5"/>
  <c r="C19" i="5"/>
  <c r="C20" i="5"/>
  <c r="N11" i="6"/>
  <c r="G28" i="6"/>
  <c r="G27" i="6"/>
  <c r="P68" i="10" l="1"/>
  <c r="O68" i="10"/>
  <c r="O17" i="10" s="1"/>
  <c r="N68" i="10"/>
  <c r="L17" i="10" s="1"/>
  <c r="N17" i="10"/>
  <c r="Q68" i="10"/>
  <c r="P22" i="6"/>
  <c r="Q14" i="6"/>
  <c r="Q247" i="5"/>
  <c r="P62" i="10"/>
  <c r="N64" i="10"/>
  <c r="Q71" i="10"/>
  <c r="O71" i="10"/>
  <c r="N70" i="10"/>
  <c r="P70" i="10"/>
  <c r="R70" i="10"/>
  <c r="M69" i="10"/>
  <c r="N69" i="10"/>
  <c r="O69" i="10"/>
  <c r="P69" i="10"/>
  <c r="Q69" i="10"/>
  <c r="R69" i="10"/>
  <c r="Q75" i="10"/>
  <c r="M75" i="10"/>
  <c r="O75" i="10"/>
  <c r="N74" i="10"/>
  <c r="P74" i="10"/>
  <c r="R74" i="10"/>
  <c r="N73" i="10"/>
  <c r="O73" i="10"/>
  <c r="P73" i="10"/>
  <c r="Q73" i="10"/>
  <c r="R73" i="10"/>
  <c r="M73" i="10"/>
  <c r="Q13" i="6"/>
  <c r="Q11" i="6"/>
  <c r="Q22" i="6"/>
  <c r="M74" i="10"/>
  <c r="M71" i="10"/>
  <c r="M59" i="10"/>
  <c r="F23" i="5"/>
  <c r="V9" i="6" s="1"/>
  <c r="F24" i="5"/>
  <c r="N75" i="10"/>
  <c r="R27" i="6"/>
  <c r="Q239" i="5"/>
  <c r="Q253" i="5"/>
  <c r="H24" i="5"/>
  <c r="H20" i="5"/>
  <c r="Q346" i="5"/>
  <c r="N16" i="6"/>
  <c r="X9" i="6"/>
  <c r="M72" i="10"/>
  <c r="Q133" i="5"/>
  <c r="Q141" i="5"/>
  <c r="Q149" i="5"/>
  <c r="Q243" i="5"/>
  <c r="M70" i="10"/>
  <c r="M65" i="10"/>
  <c r="O65" i="10"/>
  <c r="P65" i="10"/>
  <c r="Q65" i="10"/>
  <c r="N65" i="10"/>
  <c r="R65" i="10"/>
  <c r="O62" i="10"/>
  <c r="N62" i="10"/>
  <c r="M62" i="10"/>
  <c r="R75" i="10"/>
  <c r="P75" i="10"/>
  <c r="Q74" i="10"/>
  <c r="O74" i="10"/>
  <c r="R71" i="10"/>
  <c r="P71" i="10"/>
  <c r="N71" i="10"/>
  <c r="Q70" i="10"/>
  <c r="O70" i="10"/>
  <c r="R72" i="10"/>
  <c r="P72" i="10"/>
  <c r="N72" i="10"/>
  <c r="R68" i="10"/>
  <c r="Q72" i="10"/>
  <c r="O72" i="10"/>
  <c r="N57" i="10"/>
  <c r="O57" i="10"/>
  <c r="M61" i="10"/>
  <c r="R61" i="10"/>
  <c r="M60" i="10"/>
  <c r="M58" i="10"/>
  <c r="P57" i="10"/>
  <c r="R57" i="10"/>
  <c r="Q57" i="10"/>
  <c r="N59" i="10"/>
  <c r="Q62" i="10"/>
  <c r="Q60" i="10"/>
  <c r="M57" i="10"/>
  <c r="R59" i="10"/>
  <c r="Q59" i="10"/>
  <c r="O58" i="10"/>
  <c r="R60" i="10"/>
  <c r="P61" i="10"/>
  <c r="P60" i="10"/>
  <c r="O60" i="10"/>
  <c r="R62" i="10"/>
  <c r="R63" i="10"/>
  <c r="L27" i="6"/>
  <c r="N27" i="6"/>
  <c r="P27" i="6"/>
  <c r="S7" i="6"/>
  <c r="P9" i="6"/>
  <c r="P7" i="6"/>
  <c r="S9" i="6" s="1"/>
  <c r="P13" i="6"/>
  <c r="Q23" i="6"/>
  <c r="F21" i="5"/>
  <c r="Q246" i="5"/>
  <c r="Q250" i="5"/>
  <c r="Q228" i="5"/>
  <c r="Q232" i="5"/>
  <c r="Q236" i="5"/>
  <c r="Q240" i="5"/>
  <c r="Q244" i="5"/>
  <c r="Q248" i="5"/>
  <c r="Q316" i="5"/>
  <c r="Q42" i="5"/>
  <c r="Q46" i="5"/>
  <c r="Q50" i="5"/>
  <c r="Q146" i="5"/>
  <c r="Q150" i="5"/>
  <c r="Q157" i="5"/>
  <c r="Q217" i="5"/>
  <c r="Q221" i="5"/>
  <c r="Q225" i="5"/>
  <c r="Q128" i="5"/>
  <c r="Q335" i="5"/>
  <c r="Q60" i="5"/>
  <c r="Q31" i="5"/>
  <c r="Q131" i="5"/>
  <c r="Q135" i="5"/>
  <c r="Q313" i="5"/>
  <c r="Q324" i="5"/>
  <c r="T437" i="5"/>
  <c r="Q55" i="5"/>
  <c r="Q218" i="5"/>
  <c r="Q222" i="5"/>
  <c r="Q226" i="5"/>
  <c r="Q321" i="5"/>
  <c r="Q41" i="5"/>
  <c r="Q129" i="5"/>
  <c r="Q44" i="5"/>
  <c r="Q48" i="5"/>
  <c r="Q52" i="5"/>
  <c r="Q132" i="5"/>
  <c r="Q136" i="5"/>
  <c r="Q51" i="5"/>
  <c r="Q140" i="5"/>
  <c r="Q220" i="5"/>
  <c r="Q224" i="5"/>
  <c r="Q252" i="5"/>
  <c r="Q124" i="5"/>
  <c r="Q38" i="5"/>
  <c r="Q54" i="5"/>
  <c r="Q123" i="5"/>
  <c r="Q127" i="5"/>
  <c r="Q139" i="5"/>
  <c r="Q143" i="5"/>
  <c r="Q147" i="5"/>
  <c r="Q219" i="5"/>
  <c r="Q223" i="5"/>
  <c r="Q227" i="5"/>
  <c r="Q231" i="5"/>
  <c r="Q235" i="5"/>
  <c r="Q317" i="5"/>
  <c r="Q320" i="5"/>
  <c r="Q327" i="5"/>
  <c r="Q332" i="5"/>
  <c r="Q345" i="5"/>
  <c r="Q35" i="5"/>
  <c r="Q29" i="5"/>
  <c r="Q45" i="5"/>
  <c r="Q61" i="5"/>
  <c r="Q134" i="5"/>
  <c r="Q154" i="5"/>
  <c r="Q158" i="5"/>
  <c r="Q230" i="5"/>
  <c r="Q234" i="5"/>
  <c r="Q238" i="5"/>
  <c r="Q242" i="5"/>
  <c r="Q340" i="5"/>
  <c r="Q315" i="5"/>
  <c r="Q319" i="5"/>
  <c r="Q323" i="5"/>
  <c r="Q331" i="5"/>
  <c r="Q339" i="5"/>
  <c r="Q314" i="5"/>
  <c r="Q318" i="5"/>
  <c r="Q322" i="5"/>
  <c r="Q328" i="5"/>
  <c r="Q336" i="5"/>
  <c r="Q326" i="5"/>
  <c r="Q330" i="5"/>
  <c r="Q334" i="5"/>
  <c r="Q338" i="5"/>
  <c r="Q325" i="5"/>
  <c r="Q329" i="5"/>
  <c r="Q333" i="5"/>
  <c r="Q337" i="5"/>
  <c r="T344" i="5"/>
  <c r="Q347" i="5"/>
  <c r="Q342" i="5"/>
  <c r="T407" i="5"/>
  <c r="Q407" i="5"/>
  <c r="T409" i="5"/>
  <c r="Q409" i="5"/>
  <c r="T411" i="5"/>
  <c r="Q411" i="5"/>
  <c r="T413" i="5"/>
  <c r="Q413" i="5"/>
  <c r="T415" i="5"/>
  <c r="Q415" i="5"/>
  <c r="T417" i="5"/>
  <c r="Q417" i="5"/>
  <c r="T419" i="5"/>
  <c r="Q419" i="5"/>
  <c r="T421" i="5"/>
  <c r="Q421" i="5"/>
  <c r="T423" i="5"/>
  <c r="Q423" i="5"/>
  <c r="T425" i="5"/>
  <c r="Q425" i="5"/>
  <c r="T427" i="5"/>
  <c r="Q427" i="5"/>
  <c r="T429" i="5"/>
  <c r="Q429" i="5"/>
  <c r="T431" i="5"/>
  <c r="Q431" i="5"/>
  <c r="T433" i="5"/>
  <c r="Q433" i="5"/>
  <c r="T435" i="5"/>
  <c r="Q435" i="5"/>
  <c r="Q341" i="5"/>
  <c r="T436" i="5"/>
  <c r="Q436" i="5"/>
  <c r="Q439" i="5"/>
  <c r="T439" i="5"/>
  <c r="T441" i="5"/>
  <c r="Q441" i="5"/>
  <c r="T443" i="5"/>
  <c r="Q443" i="5"/>
  <c r="T503" i="5"/>
  <c r="Q503" i="5"/>
  <c r="T505" i="5"/>
  <c r="Q505" i="5"/>
  <c r="T507" i="5"/>
  <c r="Q507" i="5"/>
  <c r="T509" i="5"/>
  <c r="Q509" i="5"/>
  <c r="T511" i="5"/>
  <c r="Q511" i="5"/>
  <c r="T513" i="5"/>
  <c r="Q513" i="5"/>
  <c r="T515" i="5"/>
  <c r="Q515" i="5"/>
  <c r="T517" i="5"/>
  <c r="Q517" i="5"/>
  <c r="T519" i="5"/>
  <c r="Q519" i="5"/>
  <c r="T521" i="5"/>
  <c r="Q521" i="5"/>
  <c r="T523" i="5"/>
  <c r="Q523" i="5"/>
  <c r="T525" i="5"/>
  <c r="Q525" i="5"/>
  <c r="T527" i="5"/>
  <c r="Q527" i="5"/>
  <c r="T529" i="5"/>
  <c r="Q529" i="5"/>
  <c r="T532" i="5"/>
  <c r="Q532" i="5"/>
  <c r="T535" i="5"/>
  <c r="Q535" i="5"/>
  <c r="T537" i="5"/>
  <c r="Q537" i="5"/>
  <c r="T348" i="5"/>
  <c r="Q348" i="5"/>
  <c r="T408" i="5"/>
  <c r="Q408" i="5"/>
  <c r="T410" i="5"/>
  <c r="Q410" i="5"/>
  <c r="T412" i="5"/>
  <c r="Q412" i="5"/>
  <c r="T414" i="5"/>
  <c r="Q414" i="5"/>
  <c r="T416" i="5"/>
  <c r="Q416" i="5"/>
  <c r="T418" i="5"/>
  <c r="Q418" i="5"/>
  <c r="T420" i="5"/>
  <c r="Q420" i="5"/>
  <c r="T422" i="5"/>
  <c r="Q422" i="5"/>
  <c r="T424" i="5"/>
  <c r="Q424" i="5"/>
  <c r="T426" i="5"/>
  <c r="Q426" i="5"/>
  <c r="T428" i="5"/>
  <c r="Q428" i="5"/>
  <c r="T430" i="5"/>
  <c r="Q430" i="5"/>
  <c r="T432" i="5"/>
  <c r="Q432" i="5"/>
  <c r="T434" i="5"/>
  <c r="Q434" i="5"/>
  <c r="T440" i="5"/>
  <c r="Q440" i="5"/>
  <c r="T442" i="5"/>
  <c r="Q442" i="5"/>
  <c r="T502" i="5"/>
  <c r="Q502" i="5"/>
  <c r="T504" i="5"/>
  <c r="Q504" i="5"/>
  <c r="T506" i="5"/>
  <c r="Q506" i="5"/>
  <c r="T508" i="5"/>
  <c r="Q508" i="5"/>
  <c r="T510" i="5"/>
  <c r="Q510" i="5"/>
  <c r="T512" i="5"/>
  <c r="Q512" i="5"/>
  <c r="T514" i="5"/>
  <c r="Q514" i="5"/>
  <c r="T516" i="5"/>
  <c r="Q516" i="5"/>
  <c r="T518" i="5"/>
  <c r="Q518" i="5"/>
  <c r="T520" i="5"/>
  <c r="Q520" i="5"/>
  <c r="T522" i="5"/>
  <c r="Q522" i="5"/>
  <c r="T524" i="5"/>
  <c r="Q524" i="5"/>
  <c r="T526" i="5"/>
  <c r="Q526" i="5"/>
  <c r="T528" i="5"/>
  <c r="Q528" i="5"/>
  <c r="T530" i="5"/>
  <c r="Q530" i="5"/>
  <c r="Q534" i="5"/>
  <c r="T534" i="5"/>
  <c r="T536" i="5"/>
  <c r="Q536" i="5"/>
  <c r="T538" i="5"/>
  <c r="Q538" i="5"/>
  <c r="Q533" i="5"/>
  <c r="Q312" i="5"/>
  <c r="Q27" i="5"/>
  <c r="Q343" i="5"/>
  <c r="Q438" i="5"/>
  <c r="E18" i="6"/>
  <c r="V10" i="6"/>
  <c r="T27" i="5"/>
  <c r="Q531" i="5"/>
  <c r="P59" i="10"/>
  <c r="O59" i="10"/>
  <c r="R58" i="10"/>
  <c r="Q58" i="10"/>
  <c r="P58" i="10"/>
  <c r="O67" i="10"/>
  <c r="M67" i="10"/>
  <c r="N67" i="10"/>
  <c r="Q67" i="10"/>
  <c r="R67" i="10"/>
  <c r="M64" i="10"/>
  <c r="O64" i="10"/>
  <c r="P63" i="10"/>
  <c r="O63" i="10"/>
  <c r="N63" i="10"/>
  <c r="Q63" i="10"/>
  <c r="P12" i="10" s="1"/>
  <c r="Q66" i="10"/>
  <c r="M66" i="10"/>
  <c r="N66" i="10"/>
  <c r="R66" i="10"/>
  <c r="P66" i="10"/>
  <c r="N15" i="10" s="1"/>
  <c r="N58" i="10"/>
  <c r="P67" i="10"/>
  <c r="Q64" i="10"/>
  <c r="P64" i="10"/>
  <c r="R64" i="10"/>
  <c r="M63" i="10"/>
  <c r="Q61" i="10"/>
  <c r="O61" i="10"/>
  <c r="N61" i="10"/>
  <c r="N60" i="10"/>
  <c r="Q17" i="10" l="1"/>
  <c r="M17" i="10"/>
  <c r="M22" i="10"/>
  <c r="O22" i="10"/>
  <c r="M23" i="10"/>
  <c r="Q18" i="10"/>
  <c r="L22" i="10"/>
  <c r="O16" i="10"/>
  <c r="N11" i="10"/>
  <c r="L23" i="10"/>
  <c r="L19" i="10"/>
  <c r="L20" i="10"/>
  <c r="M18" i="10"/>
  <c r="Q22" i="10"/>
  <c r="M21" i="10"/>
  <c r="L24" i="10"/>
  <c r="R24" i="10" s="1"/>
  <c r="N18" i="10"/>
  <c r="L18" i="10"/>
  <c r="R18" i="10" s="1"/>
  <c r="P16" i="10"/>
  <c r="N22" i="10"/>
  <c r="R22" i="10" s="1"/>
  <c r="P14" i="10"/>
  <c r="L14" i="10"/>
  <c r="O11" i="10"/>
  <c r="L8" i="10"/>
  <c r="L7" i="10"/>
  <c r="M10" i="10"/>
  <c r="O14" i="10"/>
  <c r="Q14" i="10"/>
  <c r="L13" i="10"/>
  <c r="Q6" i="10"/>
  <c r="M9" i="10"/>
  <c r="M11" i="10"/>
  <c r="N14" i="10"/>
  <c r="L11" i="10"/>
  <c r="R11" i="10" s="1"/>
  <c r="R33" i="6"/>
  <c r="V12" i="6" s="1"/>
  <c r="P20" i="6"/>
  <c r="Q20" i="6" s="1"/>
  <c r="O18" i="10"/>
  <c r="P22" i="10"/>
  <c r="M19" i="10"/>
  <c r="M14" i="10"/>
  <c r="C18" i="6"/>
  <c r="M8" i="10"/>
  <c r="P11" i="10"/>
  <c r="M24" i="10"/>
  <c r="Q16" i="6"/>
  <c r="P18" i="10"/>
  <c r="L16" i="10"/>
  <c r="M6" i="10"/>
  <c r="P19" i="10"/>
  <c r="Q19" i="10"/>
  <c r="P23" i="10"/>
  <c r="R23" i="10" s="1"/>
  <c r="Q23" i="10"/>
  <c r="P17" i="10"/>
  <c r="R17" i="10" s="1"/>
  <c r="N24" i="10"/>
  <c r="O24" i="10"/>
  <c r="O21" i="10"/>
  <c r="N21" i="10"/>
  <c r="N20" i="10"/>
  <c r="O20" i="10"/>
  <c r="P24" i="10"/>
  <c r="Q24" i="10"/>
  <c r="L21" i="10"/>
  <c r="M20" i="10"/>
  <c r="Q21" i="10"/>
  <c r="P21" i="10"/>
  <c r="N19" i="10"/>
  <c r="O19" i="10"/>
  <c r="P20" i="10"/>
  <c r="Q20" i="10"/>
  <c r="N23" i="10"/>
  <c r="O23" i="10"/>
  <c r="N6" i="10"/>
  <c r="Q8" i="10"/>
  <c r="O9" i="10"/>
  <c r="P9" i="10"/>
  <c r="P6" i="10"/>
  <c r="O6" i="10"/>
  <c r="N7" i="10"/>
  <c r="R7" i="10" s="1"/>
  <c r="P7" i="10"/>
  <c r="Q12" i="10"/>
  <c r="Q11" i="10"/>
  <c r="Q9" i="10"/>
  <c r="N9" i="10"/>
  <c r="L6" i="10"/>
  <c r="R6" i="10" s="1"/>
  <c r="N12" i="10"/>
  <c r="P8" i="10"/>
  <c r="O7" i="10"/>
  <c r="M76" i="10"/>
  <c r="M13" i="10"/>
  <c r="O76" i="10"/>
  <c r="M15" i="10"/>
  <c r="R76" i="10"/>
  <c r="V8" i="6"/>
  <c r="S8" i="6"/>
  <c r="Q9" i="6"/>
  <c r="N18" i="6"/>
  <c r="U26" i="6"/>
  <c r="T27" i="6" s="1"/>
  <c r="Q18" i="6"/>
  <c r="O8" i="10"/>
  <c r="N8" i="10"/>
  <c r="R8" i="10" s="1"/>
  <c r="Q7" i="10"/>
  <c r="M16" i="10"/>
  <c r="Q16" i="10"/>
  <c r="Q76" i="10"/>
  <c r="O12" i="10"/>
  <c r="L15" i="10"/>
  <c r="P15" i="10"/>
  <c r="Q15" i="10"/>
  <c r="O15" i="10"/>
  <c r="L10" i="10"/>
  <c r="M7" i="10"/>
  <c r="N16" i="10"/>
  <c r="R16" i="10" s="1"/>
  <c r="P76" i="10"/>
  <c r="N13" i="10"/>
  <c r="O13" i="10"/>
  <c r="P13" i="10"/>
  <c r="Q13" i="10"/>
  <c r="M12" i="10"/>
  <c r="L12" i="10"/>
  <c r="N76" i="10"/>
  <c r="O10" i="10"/>
  <c r="N10" i="10"/>
  <c r="Q10" i="10"/>
  <c r="P10" i="10"/>
  <c r="L9" i="10"/>
  <c r="R9" i="10" s="1"/>
  <c r="R21" i="10" l="1"/>
  <c r="R19" i="10"/>
  <c r="R20" i="10"/>
  <c r="R12" i="10"/>
  <c r="M26" i="10"/>
  <c r="M27" i="10" s="1"/>
  <c r="R10" i="10"/>
  <c r="R14" i="10"/>
  <c r="R15" i="10"/>
  <c r="R13" i="10"/>
  <c r="P79" i="10"/>
  <c r="Q81" i="10"/>
  <c r="N79" i="10"/>
  <c r="P26" i="10"/>
  <c r="P27" i="10" s="1"/>
  <c r="R79" i="10"/>
  <c r="Q26" i="10"/>
  <c r="Q27" i="10" s="1"/>
  <c r="R78" i="10"/>
  <c r="O26" i="10"/>
  <c r="O27" i="10" s="1"/>
  <c r="O81" i="10"/>
  <c r="N26" i="10"/>
  <c r="N27" i="10" s="1"/>
  <c r="P78" i="10"/>
  <c r="N78" i="10"/>
  <c r="M81" i="10"/>
  <c r="L26" i="10"/>
  <c r="L27" i="10" s="1"/>
  <c r="Q83" i="10" l="1"/>
  <c r="Q84" i="10"/>
  <c r="O83" i="10"/>
  <c r="O84" i="10"/>
  <c r="M83" i="10"/>
  <c r="M84" i="10"/>
  <c r="O85" i="10" l="1"/>
  <c r="N88" i="10" s="1"/>
  <c r="Q85" i="10"/>
  <c r="P88" i="10" s="1"/>
  <c r="M85" i="10"/>
  <c r="S26" i="10" l="1"/>
  <c r="S27" i="10"/>
  <c r="L88" i="10"/>
  <c r="R26" i="10"/>
  <c r="R27" i="10" s="1"/>
</calcChain>
</file>

<file path=xl/sharedStrings.xml><?xml version="1.0" encoding="utf-8"?>
<sst xmlns="http://schemas.openxmlformats.org/spreadsheetml/2006/main" count="2642" uniqueCount="268">
  <si>
    <t>Sikrings holder</t>
  </si>
  <si>
    <t>Max kortslutnings størm for sikringsholderen</t>
  </si>
  <si>
    <t>D01</t>
  </si>
  <si>
    <t>50 kA</t>
  </si>
  <si>
    <t>NH 1</t>
  </si>
  <si>
    <t>40 kA</t>
  </si>
  <si>
    <t>D02</t>
  </si>
  <si>
    <t>NH 00 / NH 0</t>
  </si>
  <si>
    <t>22 kA</t>
  </si>
  <si>
    <t>NH 2</t>
  </si>
  <si>
    <t>47 kA</t>
  </si>
  <si>
    <t>48 kA</t>
  </si>
  <si>
    <t>49 kA</t>
  </si>
  <si>
    <t>NH 3</t>
  </si>
  <si>
    <t>75 kA</t>
  </si>
  <si>
    <t>3x400</t>
  </si>
  <si>
    <t>Spænding</t>
  </si>
  <si>
    <t>IB</t>
  </si>
  <si>
    <t>=</t>
  </si>
  <si>
    <t>S</t>
  </si>
  <si>
    <t>1x400</t>
  </si>
  <si>
    <t>L1</t>
  </si>
  <si>
    <t>L2</t>
  </si>
  <si>
    <t>L3</t>
  </si>
  <si>
    <t>I [ A ]</t>
  </si>
  <si>
    <t>P [ W ]</t>
  </si>
  <si>
    <t>Belastnings beregning</t>
  </si>
  <si>
    <t>Tavleoversigt</t>
  </si>
  <si>
    <t>Tilbage til forsiden</t>
  </si>
  <si>
    <t>Lister og genveje</t>
  </si>
  <si>
    <t>Ib</t>
  </si>
  <si>
    <r>
      <t>I</t>
    </r>
    <r>
      <rPr>
        <vertAlign val="subscript"/>
        <sz val="14"/>
        <color theme="1"/>
        <rFont val="Tahoma"/>
        <family val="2"/>
      </rPr>
      <t>b</t>
    </r>
    <r>
      <rPr>
        <sz val="14"/>
        <color theme="1"/>
        <rFont val="Tahoma"/>
        <family val="2"/>
      </rPr>
      <t xml:space="preserve"> ≤ I</t>
    </r>
    <r>
      <rPr>
        <vertAlign val="subscript"/>
        <sz val="14"/>
        <color theme="1"/>
        <rFont val="Tahoma"/>
        <family val="2"/>
      </rPr>
      <t>n</t>
    </r>
  </si>
  <si>
    <r>
      <t>I</t>
    </r>
    <r>
      <rPr>
        <vertAlign val="subscript"/>
        <sz val="14"/>
        <color theme="1"/>
        <rFont val="Tahoma"/>
        <family val="2"/>
      </rPr>
      <t>nrush</t>
    </r>
    <r>
      <rPr>
        <sz val="14"/>
        <color theme="1"/>
        <rFont val="Tahoma"/>
        <family val="2"/>
      </rPr>
      <t xml:space="preserve"> &lt; Ii</t>
    </r>
  </si>
  <si>
    <r>
      <t>I</t>
    </r>
    <r>
      <rPr>
        <vertAlign val="subscript"/>
        <sz val="14"/>
        <color theme="1"/>
        <rFont val="Tahoma"/>
        <family val="2"/>
      </rPr>
      <t>cu</t>
    </r>
    <r>
      <rPr>
        <sz val="14"/>
        <color theme="1"/>
        <rFont val="Tahoma"/>
        <family val="2"/>
      </rPr>
      <t xml:space="preserve"> ≥ I</t>
    </r>
    <r>
      <rPr>
        <vertAlign val="subscript"/>
        <sz val="14"/>
        <color theme="1"/>
        <rFont val="Tahoma"/>
        <family val="2"/>
      </rPr>
      <t>kmax</t>
    </r>
  </si>
  <si>
    <r>
      <t>I</t>
    </r>
    <r>
      <rPr>
        <vertAlign val="subscript"/>
        <sz val="14"/>
        <color theme="1"/>
        <rFont val="Tahoma"/>
        <family val="2"/>
      </rPr>
      <t>start</t>
    </r>
    <r>
      <rPr>
        <sz val="14"/>
        <color theme="1"/>
        <rFont val="Tahoma"/>
        <family val="2"/>
      </rPr>
      <t xml:space="preserve"> ≤ I</t>
    </r>
    <r>
      <rPr>
        <vertAlign val="subscript"/>
        <sz val="14"/>
        <color theme="1"/>
        <rFont val="Tahoma"/>
        <family val="2"/>
      </rPr>
      <t>sd</t>
    </r>
  </si>
  <si>
    <r>
      <t>I</t>
    </r>
    <r>
      <rPr>
        <vertAlign val="subscript"/>
        <sz val="14"/>
        <color theme="1"/>
        <rFont val="Tahoma"/>
        <family val="2"/>
      </rPr>
      <t xml:space="preserve">nrush </t>
    </r>
    <r>
      <rPr>
        <sz val="14"/>
        <color theme="1"/>
        <rFont val="Tahoma"/>
        <family val="2"/>
      </rPr>
      <t>≤ I</t>
    </r>
    <r>
      <rPr>
        <vertAlign val="subscript"/>
        <sz val="14"/>
        <color theme="1"/>
        <rFont val="Tahoma"/>
        <family val="2"/>
      </rPr>
      <t>sd</t>
    </r>
  </si>
  <si>
    <r>
      <t>I</t>
    </r>
    <r>
      <rPr>
        <vertAlign val="subscript"/>
        <sz val="14"/>
        <color theme="1"/>
        <rFont val="Tahoma"/>
        <family val="2"/>
      </rPr>
      <t>i</t>
    </r>
    <r>
      <rPr>
        <sz val="14"/>
        <color theme="1"/>
        <rFont val="Tahoma"/>
        <family val="2"/>
      </rPr>
      <t xml:space="preserve"> ≤ I</t>
    </r>
    <r>
      <rPr>
        <vertAlign val="subscript"/>
        <sz val="14"/>
        <color theme="1"/>
        <rFont val="Tahoma"/>
        <family val="2"/>
      </rPr>
      <t>kmax</t>
    </r>
  </si>
  <si>
    <t>NSX 100</t>
  </si>
  <si>
    <t>B</t>
  </si>
  <si>
    <t>F</t>
  </si>
  <si>
    <t>N</t>
  </si>
  <si>
    <t>H</t>
  </si>
  <si>
    <t>L</t>
  </si>
  <si>
    <t>NSX 160</t>
  </si>
  <si>
    <t>NSX 250</t>
  </si>
  <si>
    <t>NSX 400</t>
  </si>
  <si>
    <t>NSX 630</t>
  </si>
  <si>
    <t>In = 400 [ A ]</t>
  </si>
  <si>
    <t>≤</t>
  </si>
  <si>
    <t>Io</t>
  </si>
  <si>
    <r>
      <t>I</t>
    </r>
    <r>
      <rPr>
        <vertAlign val="subscript"/>
        <sz val="14"/>
        <color theme="1"/>
        <rFont val="Tahoma"/>
        <family val="2"/>
      </rPr>
      <t xml:space="preserve">b </t>
    </r>
    <r>
      <rPr>
        <sz val="14"/>
        <color theme="1"/>
        <rFont val="Tahoma"/>
        <family val="2"/>
      </rPr>
      <t>≤ I</t>
    </r>
    <r>
      <rPr>
        <vertAlign val="subscript"/>
        <sz val="14"/>
        <color theme="1"/>
        <rFont val="Tahoma"/>
        <family val="2"/>
      </rPr>
      <t>0</t>
    </r>
  </si>
  <si>
    <t>x</t>
  </si>
  <si>
    <r>
      <t>I</t>
    </r>
    <r>
      <rPr>
        <vertAlign val="subscript"/>
        <sz val="14"/>
        <color theme="1"/>
        <rFont val="Tahoma"/>
        <family val="2"/>
      </rPr>
      <t>0 =</t>
    </r>
  </si>
  <si>
    <r>
      <t>I</t>
    </r>
    <r>
      <rPr>
        <vertAlign val="subscript"/>
        <sz val="14"/>
        <color theme="1"/>
        <rFont val="Tahoma"/>
        <family val="2"/>
      </rPr>
      <t>sd =</t>
    </r>
  </si>
  <si>
    <t>≥</t>
  </si>
  <si>
    <t>Maksimal afbryder</t>
  </si>
  <si>
    <t>&lt;</t>
  </si>
  <si>
    <r>
      <t>I</t>
    </r>
    <r>
      <rPr>
        <vertAlign val="subscript"/>
        <sz val="14"/>
        <color theme="1"/>
        <rFont val="Tahoma"/>
        <family val="2"/>
      </rPr>
      <t>cu</t>
    </r>
  </si>
  <si>
    <t>Long-time protection [ Io]</t>
  </si>
  <si>
    <t>I start</t>
  </si>
  <si>
    <t>Ik max</t>
  </si>
  <si>
    <t>Inrush</t>
  </si>
  <si>
    <t>[ kA ]</t>
  </si>
  <si>
    <t>2 - 16 A</t>
  </si>
  <si>
    <t>20 - 63 A</t>
  </si>
  <si>
    <t>80 - 160 A</t>
  </si>
  <si>
    <t>NH 000 / 00</t>
  </si>
  <si>
    <t>INFD 160</t>
  </si>
  <si>
    <t>200 -250 A</t>
  </si>
  <si>
    <t>INFD 250</t>
  </si>
  <si>
    <t>300 - 400 A</t>
  </si>
  <si>
    <t>INFD 400</t>
  </si>
  <si>
    <t>425 - 630  A</t>
  </si>
  <si>
    <t>INFD 630</t>
  </si>
  <si>
    <t>Gruppe afbryder</t>
  </si>
  <si>
    <t>Tytan afbryder ( 2 )</t>
  </si>
  <si>
    <t>Strøm i 5 S. [ A ]</t>
  </si>
  <si>
    <t>Rækkenavne</t>
  </si>
  <si>
    <t>Hovedtotal</t>
  </si>
  <si>
    <t>Sikringens størrelse [ A ]</t>
  </si>
  <si>
    <t>Sikrings typen</t>
  </si>
  <si>
    <t>NOIKLX</t>
  </si>
  <si>
    <t>NOIKX-FLEX</t>
  </si>
  <si>
    <t>NOSP-CU</t>
  </si>
  <si>
    <t>Leder type</t>
  </si>
  <si>
    <t>Tværsnit</t>
  </si>
  <si>
    <t>Kabel type</t>
  </si>
  <si>
    <t>R</t>
  </si>
  <si>
    <t>X</t>
  </si>
  <si>
    <t>NOSP-AL</t>
  </si>
  <si>
    <t>Aluminium kabel</t>
  </si>
  <si>
    <t>NOIK-AL-M</t>
  </si>
  <si>
    <t>4 X</t>
  </si>
  <si>
    <t>5 G</t>
  </si>
  <si>
    <t>NOIK-AL-S</t>
  </si>
  <si>
    <t>50 + 35</t>
  </si>
  <si>
    <t>3 X</t>
  </si>
  <si>
    <t>70 + 25</t>
  </si>
  <si>
    <t>95 + 35</t>
  </si>
  <si>
    <t>120 + 50</t>
  </si>
  <si>
    <t>150 + 50</t>
  </si>
  <si>
    <t>185 + 70</t>
  </si>
  <si>
    <t>240 + 95</t>
  </si>
  <si>
    <t>50 + 16</t>
  </si>
  <si>
    <t>Alu</t>
  </si>
  <si>
    <t>Kobber</t>
  </si>
  <si>
    <t>tværsnit</t>
  </si>
  <si>
    <t>3 G</t>
  </si>
  <si>
    <t>Kobber kabel</t>
  </si>
  <si>
    <t>NOIKX-Flex</t>
  </si>
  <si>
    <t>70 + 35</t>
  </si>
  <si>
    <t>95 + 50</t>
  </si>
  <si>
    <t>120 + 70</t>
  </si>
  <si>
    <t>185 + 95</t>
  </si>
  <si>
    <t>H03VV-F</t>
  </si>
  <si>
    <t>H05VV-F</t>
  </si>
  <si>
    <t>H05RR-F</t>
  </si>
  <si>
    <t>H07RN-F</t>
  </si>
  <si>
    <t>Tillednings kabel</t>
  </si>
  <si>
    <t>2 X</t>
  </si>
  <si>
    <t>4 G</t>
  </si>
  <si>
    <t>H07RR-F</t>
  </si>
  <si>
    <t>Antal ledere</t>
  </si>
  <si>
    <t>Noik-AL-M</t>
  </si>
  <si>
    <t>Noik-Al-S</t>
  </si>
  <si>
    <r>
      <t>Ir</t>
    </r>
    <r>
      <rPr>
        <vertAlign val="subscript"/>
        <sz val="14"/>
        <color theme="1"/>
        <rFont val="Tahoma"/>
        <family val="2"/>
      </rPr>
      <t xml:space="preserve"> =</t>
    </r>
  </si>
  <si>
    <t>Short-time protection whit fixed time delay [ Isd ]              +/- 10%</t>
  </si>
  <si>
    <t>250 B</t>
  </si>
  <si>
    <t>Ik min</t>
  </si>
  <si>
    <t>Ir [ Ib ]</t>
  </si>
  <si>
    <t>Isd</t>
  </si>
  <si>
    <t>Ii</t>
  </si>
  <si>
    <t>Icu</t>
  </si>
  <si>
    <t>[ A ]</t>
  </si>
  <si>
    <t>[ A ]</t>
  </si>
  <si>
    <t>[ A ]</t>
  </si>
  <si>
    <t>-</t>
  </si>
  <si>
    <t>S [ kVA ]</t>
  </si>
  <si>
    <t>Trin 1</t>
  </si>
  <si>
    <t>Vælg belastninger</t>
  </si>
  <si>
    <t>Indstill Io</t>
  </si>
  <si>
    <t>Trin 2</t>
  </si>
  <si>
    <t>Trin 3</t>
  </si>
  <si>
    <t>Indstill Isd</t>
  </si>
  <si>
    <t>Kontrol af indstillinger</t>
  </si>
  <si>
    <t>Valgt maksimalafbryder plus indstillingere af Micrologix 2.2</t>
  </si>
  <si>
    <t>Automatsikring</t>
  </si>
  <si>
    <t>C60N</t>
  </si>
  <si>
    <t>C60H</t>
  </si>
  <si>
    <t>C60L</t>
  </si>
  <si>
    <t>C120N</t>
  </si>
  <si>
    <t>C120H</t>
  </si>
  <si>
    <t>NG125N</t>
  </si>
  <si>
    <t>IEC 947-2</t>
  </si>
  <si>
    <t>Poler</t>
  </si>
  <si>
    <t>C</t>
  </si>
  <si>
    <t>kurve</t>
  </si>
  <si>
    <t>MIN [ A ]</t>
  </si>
  <si>
    <t>MAX [ A ]</t>
  </si>
  <si>
    <t>mærkestrøm</t>
  </si>
  <si>
    <t>Kurve</t>
  </si>
  <si>
    <t>1 Pol</t>
  </si>
  <si>
    <t>Flere poler</t>
  </si>
  <si>
    <t>Icu [ kA ]</t>
  </si>
  <si>
    <t>1 pol</t>
  </si>
  <si>
    <t>D</t>
  </si>
  <si>
    <t>flere poler</t>
  </si>
  <si>
    <t>Isd min</t>
  </si>
  <si>
    <t>Isd max</t>
  </si>
  <si>
    <t>Ics</t>
  </si>
  <si>
    <t>EN60898</t>
  </si>
  <si>
    <t>Standart</t>
  </si>
  <si>
    <t>EN60899</t>
  </si>
  <si>
    <t>EN60900</t>
  </si>
  <si>
    <t>Valg af maksimalafbryder</t>
  </si>
  <si>
    <t>Micrologic 2.2</t>
  </si>
  <si>
    <t>Valg af smeltesikringer</t>
  </si>
  <si>
    <t>Valg af Automatsikring</t>
  </si>
  <si>
    <t>Un</t>
  </si>
  <si>
    <t>V</t>
  </si>
  <si>
    <t>Samtidighedsfaktor</t>
  </si>
  <si>
    <t>Udvidelsesfaktorfaktor</t>
  </si>
  <si>
    <t>Indtast værdi</t>
  </si>
  <si>
    <r>
      <t>I</t>
    </r>
    <r>
      <rPr>
        <vertAlign val="subscript"/>
        <sz val="10"/>
        <rFont val="Tahoma"/>
        <family val="2"/>
      </rPr>
      <t>B</t>
    </r>
  </si>
  <si>
    <r>
      <t>Cos</t>
    </r>
    <r>
      <rPr>
        <sz val="10"/>
        <rFont val="Symbol"/>
        <family val="1"/>
        <charset val="2"/>
      </rPr>
      <t>j</t>
    </r>
  </si>
  <si>
    <t>Tilsluttet</t>
  </si>
  <si>
    <r>
      <rPr>
        <sz val="10"/>
        <rFont val="Symbol"/>
        <family val="1"/>
        <charset val="2"/>
      </rPr>
      <t>Ð</t>
    </r>
    <r>
      <rPr>
        <sz val="8.5"/>
        <rFont val="Symbol"/>
        <family val="1"/>
        <charset val="2"/>
      </rPr>
      <t>j</t>
    </r>
    <r>
      <rPr>
        <sz val="7.25"/>
        <rFont val="Tahoma"/>
        <family val="2"/>
      </rPr>
      <t xml:space="preserve"> i </t>
    </r>
    <r>
      <rPr>
        <sz val="10"/>
        <rFont val="Tahoma"/>
        <family val="2"/>
      </rPr>
      <t>Grader</t>
    </r>
  </si>
  <si>
    <t>Belastning</t>
  </si>
  <si>
    <t>Belastning 1</t>
  </si>
  <si>
    <t>Belastning 2</t>
  </si>
  <si>
    <t>Belastning 3</t>
  </si>
  <si>
    <t>Belastning 4</t>
  </si>
  <si>
    <t>Belastning 5</t>
  </si>
  <si>
    <t>Belastning 6</t>
  </si>
  <si>
    <t>Belastning 7</t>
  </si>
  <si>
    <t>Belastning 8</t>
  </si>
  <si>
    <t>Belastning 9</t>
  </si>
  <si>
    <t>Belastning 10</t>
  </si>
  <si>
    <t>Belastning 11</t>
  </si>
  <si>
    <t>Belastning 12</t>
  </si>
  <si>
    <t>Belastning 13</t>
  </si>
  <si>
    <t>Belastning 14</t>
  </si>
  <si>
    <t>Belastning 15</t>
  </si>
  <si>
    <t>Belastning 16</t>
  </si>
  <si>
    <t>Belastning 17</t>
  </si>
  <si>
    <t>Belastning 18</t>
  </si>
  <si>
    <t>Belastning 19</t>
  </si>
  <si>
    <r>
      <t>I</t>
    </r>
    <r>
      <rPr>
        <vertAlign val="subscript"/>
        <sz val="10"/>
        <rFont val="Tahoma"/>
        <family val="2"/>
      </rPr>
      <t>L1-REEL</t>
    </r>
  </si>
  <si>
    <r>
      <t>I</t>
    </r>
    <r>
      <rPr>
        <vertAlign val="subscript"/>
        <sz val="10"/>
        <rFont val="Tahoma"/>
        <family val="2"/>
      </rPr>
      <t>L1-imag</t>
    </r>
  </si>
  <si>
    <r>
      <t>I</t>
    </r>
    <r>
      <rPr>
        <vertAlign val="subscript"/>
        <sz val="10"/>
        <rFont val="Tahoma"/>
        <family val="2"/>
      </rPr>
      <t>L2-REEL</t>
    </r>
  </si>
  <si>
    <r>
      <t>I</t>
    </r>
    <r>
      <rPr>
        <vertAlign val="subscript"/>
        <sz val="10"/>
        <rFont val="Tahoma"/>
        <family val="2"/>
      </rPr>
      <t>L2-imag</t>
    </r>
  </si>
  <si>
    <r>
      <t>I</t>
    </r>
    <r>
      <rPr>
        <vertAlign val="subscript"/>
        <sz val="10"/>
        <rFont val="Tahoma"/>
        <family val="2"/>
      </rPr>
      <t>L3-REEL</t>
    </r>
  </si>
  <si>
    <r>
      <t>I</t>
    </r>
    <r>
      <rPr>
        <vertAlign val="subscript"/>
        <sz val="10"/>
        <rFont val="Tahoma"/>
        <family val="2"/>
      </rPr>
      <t>L3-imag</t>
    </r>
  </si>
  <si>
    <t>Grader</t>
  </si>
  <si>
    <t>type</t>
  </si>
  <si>
    <t>spænding [OUT]</t>
  </si>
  <si>
    <r>
      <rPr>
        <sz val="10"/>
        <rFont val="Symbol"/>
        <family val="1"/>
        <charset val="2"/>
      </rPr>
      <t>Ð</t>
    </r>
    <r>
      <rPr>
        <sz val="8.5"/>
        <rFont val="Symbol"/>
        <family val="1"/>
        <charset val="2"/>
      </rPr>
      <t>j</t>
    </r>
    <r>
      <rPr>
        <sz val="7.25"/>
        <rFont val="Tahoma"/>
        <family val="2"/>
      </rPr>
      <t xml:space="preserve"> i </t>
    </r>
    <r>
      <rPr>
        <sz val="10"/>
        <rFont val="Tahoma"/>
        <family val="2"/>
      </rPr>
      <t>Radianer</t>
    </r>
  </si>
  <si>
    <t>Radianer</t>
  </si>
  <si>
    <r>
      <rPr>
        <sz val="10"/>
        <rFont val="Symbol"/>
        <family val="1"/>
        <charset val="2"/>
      </rPr>
      <t xml:space="preserve">Ðj </t>
    </r>
    <r>
      <rPr>
        <sz val="10"/>
        <rFont val="Tahoma"/>
        <family val="2"/>
      </rPr>
      <t>lokal</t>
    </r>
  </si>
  <si>
    <t>Input</t>
  </si>
  <si>
    <t>3-faset</t>
  </si>
  <si>
    <t>S [kVA]</t>
  </si>
  <si>
    <t>L1-N</t>
  </si>
  <si>
    <t>P [kW]</t>
  </si>
  <si>
    <t>L2-N</t>
  </si>
  <si>
    <t>I [A]</t>
  </si>
  <si>
    <t>L3-N</t>
  </si>
  <si>
    <t>L1-L2</t>
  </si>
  <si>
    <t>L2-L3</t>
  </si>
  <si>
    <t>L3-L1</t>
  </si>
  <si>
    <t>Maskimalafbryderens indstillinger</t>
  </si>
  <si>
    <t>1 G</t>
  </si>
  <si>
    <t>Separat PE leder</t>
  </si>
  <si>
    <t>PVL®  - H07V-R</t>
  </si>
  <si>
    <t>SF</t>
  </si>
  <si>
    <t>En60898</t>
  </si>
  <si>
    <t>Isd lille</t>
  </si>
  <si>
    <t>Isd stor</t>
  </si>
  <si>
    <t>Antal af Antal ledere</t>
  </si>
  <si>
    <r>
      <t>I</t>
    </r>
    <r>
      <rPr>
        <b/>
        <vertAlign val="subscript"/>
        <sz val="10"/>
        <rFont val="Tahoma"/>
        <family val="2"/>
      </rPr>
      <t>L1</t>
    </r>
  </si>
  <si>
    <r>
      <rPr>
        <b/>
        <sz val="10"/>
        <rFont val="Symbol"/>
        <family val="1"/>
        <charset val="2"/>
      </rPr>
      <t>Ð</t>
    </r>
    <r>
      <rPr>
        <b/>
        <sz val="8.5"/>
        <rFont val="Symbol"/>
        <family val="1"/>
        <charset val="2"/>
      </rPr>
      <t>j</t>
    </r>
    <r>
      <rPr>
        <sz val="7.25"/>
        <rFont val="Tahoma"/>
        <family val="2"/>
      </rPr>
      <t/>
    </r>
  </si>
  <si>
    <r>
      <t>I</t>
    </r>
    <r>
      <rPr>
        <b/>
        <vertAlign val="subscript"/>
        <sz val="10"/>
        <rFont val="Tahoma"/>
        <family val="2"/>
      </rPr>
      <t>L2</t>
    </r>
  </si>
  <si>
    <r>
      <t>I</t>
    </r>
    <r>
      <rPr>
        <b/>
        <vertAlign val="subscript"/>
        <sz val="10"/>
        <rFont val="Tahoma"/>
        <family val="2"/>
      </rPr>
      <t>L3</t>
    </r>
  </si>
  <si>
    <r>
      <t>I</t>
    </r>
    <r>
      <rPr>
        <b/>
        <vertAlign val="subscript"/>
        <sz val="10"/>
        <rFont val="Tahoma"/>
        <family val="2"/>
      </rPr>
      <t>N</t>
    </r>
  </si>
  <si>
    <t xml:space="preserve"> </t>
  </si>
  <si>
    <t>NOIK®-AL</t>
  </si>
  <si>
    <t>NOIKX®-Flex</t>
  </si>
  <si>
    <t>Rækkemærkater</t>
  </si>
  <si>
    <t>(Alle)</t>
  </si>
  <si>
    <t>∑ Itil</t>
  </si>
  <si>
    <t>∑ IB</t>
  </si>
  <si>
    <t>Tavle A09</t>
  </si>
  <si>
    <t>W09.1 - Søjleboremaskine</t>
  </si>
  <si>
    <t>W09.2 - Båndsav</t>
  </si>
  <si>
    <t>W09.3 - Skivepudsemaskine</t>
  </si>
  <si>
    <t>W09.4 - Drejebænk</t>
  </si>
  <si>
    <t>W09.6 - Overfræser</t>
  </si>
  <si>
    <t>W09.5 - Afretter</t>
  </si>
  <si>
    <t>W09.7 - Tykkelseshøvl</t>
  </si>
  <si>
    <t>W09.8 - Langhulsboremaskine</t>
  </si>
  <si>
    <t>W09.9 - Plasmaskærer</t>
  </si>
  <si>
    <t>W09.10 - Fræser</t>
  </si>
  <si>
    <t>W09.11 - Båndpudser</t>
  </si>
  <si>
    <t>W09.12 - Rundsav</t>
  </si>
  <si>
    <t>W09.13 - Svejseværk</t>
  </si>
  <si>
    <t>W09.14 - W09.20 -Stikk</t>
  </si>
  <si>
    <t>W09.21 - W09.22</t>
  </si>
  <si>
    <t>W09.23 - W09.25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</si>
</sst>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Tahoma"/>
      <family val="2"/>
    </font>
    <font>
      <sz val="14"/>
      <color theme="1"/>
      <name val="Tahoma"/>
      <family val="2"/>
    </font>
    <font>
      <vertAlign val="subscript"/>
      <sz val="14"/>
      <color theme="1"/>
      <name val="Tahoma"/>
      <family val="2"/>
    </font>
    <font>
      <sz val="12"/>
      <color theme="0"/>
      <name val="Tahoma"/>
      <family val="2"/>
    </font>
    <font>
      <sz val="12"/>
      <color theme="1"/>
      <name val="Times New Roman"/>
      <family val="1"/>
    </font>
    <font>
      <sz val="12"/>
      <color theme="8" tint="-0.249977111117893"/>
      <name val="Calibri"/>
      <family val="2"/>
      <scheme val="minor"/>
    </font>
    <font>
      <sz val="13"/>
      <color rgb="FF000000"/>
      <name val="Lucida Grande"/>
    </font>
    <font>
      <u/>
      <sz val="12"/>
      <color theme="1"/>
      <name val="Tahoma"/>
      <family val="2"/>
    </font>
    <font>
      <b/>
      <u val="double"/>
      <sz val="12"/>
      <color theme="1"/>
      <name val="Tahoma"/>
      <family val="2"/>
    </font>
    <font>
      <b/>
      <sz val="12"/>
      <color theme="1"/>
      <name val="Tahoma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  <font>
      <u val="double"/>
      <sz val="12"/>
      <color theme="1"/>
      <name val="Tahoma"/>
      <family val="2"/>
    </font>
    <font>
      <sz val="12"/>
      <name val="Times New Roman"/>
      <family val="1"/>
    </font>
    <font>
      <sz val="10"/>
      <name val="Tahoma"/>
      <family val="2"/>
    </font>
    <font>
      <vertAlign val="subscript"/>
      <sz val="10"/>
      <name val="Tahoma"/>
      <family val="2"/>
    </font>
    <font>
      <sz val="10"/>
      <name val="Symbol"/>
      <family val="1"/>
      <charset val="2"/>
    </font>
    <font>
      <sz val="8.5"/>
      <name val="Symbol"/>
      <family val="1"/>
      <charset val="2"/>
    </font>
    <font>
      <sz val="7.25"/>
      <name val="Tahoma"/>
      <family val="2"/>
    </font>
    <font>
      <b/>
      <sz val="10"/>
      <name val="Tahoma"/>
      <family val="2"/>
    </font>
    <font>
      <sz val="10"/>
      <color indexed="43"/>
      <name val="Tahoma"/>
      <family val="2"/>
    </font>
    <font>
      <i/>
      <sz val="10"/>
      <name val="Tahoma"/>
      <family val="2"/>
    </font>
    <font>
      <b/>
      <sz val="12"/>
      <name val="Calibri"/>
      <family val="2"/>
    </font>
    <font>
      <sz val="11"/>
      <color theme="1"/>
      <name val="Cambria Math"/>
      <family val="1"/>
    </font>
    <font>
      <sz val="1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vertAlign val="subscript"/>
      <sz val="10"/>
      <name val="Tahoma"/>
      <family val="2"/>
    </font>
    <font>
      <b/>
      <sz val="10"/>
      <name val="Symbol"/>
      <family val="1"/>
      <charset val="2"/>
    </font>
    <font>
      <b/>
      <sz val="8.5"/>
      <name val="Symbol"/>
      <family val="1"/>
      <charset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16">
    <xf numFmtId="0" fontId="0" fillId="0" borderId="0"/>
    <xf numFmtId="0" fontId="2" fillId="0" borderId="0" applyNumberFormat="0" applyFill="0" applyBorder="0" applyAlignment="0" applyProtection="0"/>
    <xf numFmtId="0" fontId="13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7" fillId="0" borderId="0"/>
    <xf numFmtId="0" fontId="29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204">
    <xf numFmtId="0" fontId="0" fillId="0" borderId="0" xfId="0"/>
    <xf numFmtId="0" fontId="0" fillId="0" borderId="0" xfId="0" pivotButton="1"/>
    <xf numFmtId="0" fontId="0" fillId="0" borderId="0" xfId="0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right" vertical="center" inden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textRotation="45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17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0" fillId="0" borderId="12" xfId="0" applyBorder="1"/>
    <xf numFmtId="0" fontId="0" fillId="0" borderId="11" xfId="0" applyBorder="1"/>
    <xf numFmtId="0" fontId="7" fillId="0" borderId="2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0" fillId="0" borderId="10" xfId="0" applyBorder="1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textRotation="45"/>
    </xf>
    <xf numFmtId="0" fontId="4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8" fillId="0" borderId="0" xfId="0" applyFont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 vertical="center"/>
    </xf>
    <xf numFmtId="0" fontId="3" fillId="4" borderId="0" xfId="0" applyFont="1" applyFill="1"/>
    <xf numFmtId="0" fontId="3" fillId="2" borderId="0" xfId="0" applyFont="1" applyFill="1" applyAlignment="1">
      <alignment vertical="center"/>
    </xf>
    <xf numFmtId="0" fontId="3" fillId="2" borderId="0" xfId="0" applyFont="1" applyFill="1" applyAlignment="1" applyProtection="1">
      <alignment vertical="center"/>
      <protection locked="0"/>
    </xf>
    <xf numFmtId="0" fontId="4" fillId="0" borderId="5" xfId="0" applyFont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9" fontId="3" fillId="0" borderId="0" xfId="0" applyNumberFormat="1" applyFont="1" applyAlignment="1">
      <alignment vertical="center"/>
    </xf>
    <xf numFmtId="0" fontId="0" fillId="0" borderId="0" xfId="0" applyAlignment="1">
      <alignment horizontal="left" indent="3"/>
    </xf>
    <xf numFmtId="0" fontId="14" fillId="0" borderId="0" xfId="0" applyFont="1"/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0" fillId="0" borderId="14" xfId="0" applyBorder="1"/>
    <xf numFmtId="0" fontId="0" fillId="0" borderId="0" xfId="0" applyAlignment="1">
      <alignment horizontal="left" indent="4"/>
    </xf>
    <xf numFmtId="0" fontId="0" fillId="0" borderId="15" xfId="0" applyBorder="1"/>
    <xf numFmtId="0" fontId="18" fillId="0" borderId="0" xfId="11" applyFont="1"/>
    <xf numFmtId="0" fontId="18" fillId="0" borderId="0" xfId="11" applyFont="1" applyAlignment="1">
      <alignment horizontal="center"/>
    </xf>
    <xf numFmtId="0" fontId="23" fillId="0" borderId="0" xfId="11" applyFont="1" applyAlignment="1">
      <alignment horizontal="center"/>
    </xf>
    <xf numFmtId="0" fontId="24" fillId="0" borderId="0" xfId="11" applyFont="1"/>
    <xf numFmtId="0" fontId="23" fillId="0" borderId="0" xfId="11" applyFont="1" applyProtection="1">
      <protection locked="0"/>
    </xf>
    <xf numFmtId="0" fontId="25" fillId="0" borderId="0" xfId="11" applyFont="1"/>
    <xf numFmtId="2" fontId="25" fillId="0" borderId="0" xfId="11" applyNumberFormat="1" applyFont="1" applyAlignment="1">
      <alignment horizontal="right"/>
    </xf>
    <xf numFmtId="2" fontId="25" fillId="0" borderId="0" xfId="11" applyNumberFormat="1" applyFont="1"/>
    <xf numFmtId="0" fontId="20" fillId="0" borderId="0" xfId="11" applyFont="1"/>
    <xf numFmtId="0" fontId="18" fillId="0" borderId="0" xfId="11" applyFont="1" applyProtection="1">
      <protection locked="0"/>
    </xf>
    <xf numFmtId="2" fontId="18" fillId="0" borderId="0" xfId="11" applyNumberFormat="1" applyFont="1"/>
    <xf numFmtId="2" fontId="18" fillId="0" borderId="0" xfId="11" applyNumberFormat="1" applyFont="1" applyAlignment="1">
      <alignment horizontal="center"/>
    </xf>
    <xf numFmtId="2" fontId="23" fillId="0" borderId="0" xfId="11" applyNumberFormat="1" applyFont="1" applyProtection="1">
      <protection locked="0"/>
    </xf>
    <xf numFmtId="2" fontId="18" fillId="0" borderId="0" xfId="11" applyNumberFormat="1" applyFont="1" applyProtection="1">
      <protection locked="0"/>
    </xf>
    <xf numFmtId="0" fontId="17" fillId="0" borderId="0" xfId="11"/>
    <xf numFmtId="0" fontId="18" fillId="0" borderId="0" xfId="11" applyFont="1" applyAlignment="1">
      <alignment horizontal="left" vertical="center"/>
    </xf>
    <xf numFmtId="0" fontId="18" fillId="0" borderId="0" xfId="11" applyFont="1" applyAlignment="1">
      <alignment horizontal="center" vertical="center"/>
    </xf>
    <xf numFmtId="0" fontId="18" fillId="0" borderId="14" xfId="11" applyFont="1" applyBorder="1"/>
    <xf numFmtId="0" fontId="18" fillId="0" borderId="14" xfId="11" applyFont="1" applyBorder="1" applyAlignment="1">
      <alignment horizontal="center"/>
    </xf>
    <xf numFmtId="0" fontId="18" fillId="0" borderId="14" xfId="11" applyFont="1" applyBorder="1" applyAlignment="1" applyProtection="1">
      <alignment horizontal="center"/>
      <protection locked="0"/>
    </xf>
    <xf numFmtId="0" fontId="23" fillId="0" borderId="0" xfId="11" applyFont="1" applyAlignment="1">
      <alignment horizontal="left" vertical="center"/>
    </xf>
    <xf numFmtId="2" fontId="18" fillId="0" borderId="14" xfId="11" applyNumberFormat="1" applyFont="1" applyBorder="1" applyAlignment="1">
      <alignment horizontal="center"/>
    </xf>
    <xf numFmtId="0" fontId="18" fillId="0" borderId="16" xfId="11" applyFont="1" applyBorder="1" applyAlignment="1">
      <alignment horizontal="center"/>
    </xf>
    <xf numFmtId="0" fontId="23" fillId="0" borderId="14" xfId="11" applyFont="1" applyBorder="1" applyAlignment="1">
      <alignment horizontal="center"/>
    </xf>
    <xf numFmtId="0" fontId="18" fillId="2" borderId="14" xfId="11" applyFont="1" applyFill="1" applyBorder="1" applyAlignment="1" applyProtection="1">
      <alignment horizontal="center" vertical="center"/>
      <protection locked="0"/>
    </xf>
    <xf numFmtId="0" fontId="18" fillId="2" borderId="14" xfId="11" applyFont="1" applyFill="1" applyBorder="1" applyProtection="1">
      <protection locked="0"/>
    </xf>
    <xf numFmtId="0" fontId="23" fillId="2" borderId="14" xfId="11" applyFont="1" applyFill="1" applyBorder="1"/>
    <xf numFmtId="0" fontId="3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16" fillId="0" borderId="0" xfId="0" applyFont="1" applyAlignment="1" applyProtection="1">
      <alignment vertical="center"/>
      <protection locked="0"/>
    </xf>
    <xf numFmtId="0" fontId="27" fillId="0" borderId="0" xfId="0" applyFont="1"/>
    <xf numFmtId="0" fontId="0" fillId="0" borderId="0" xfId="0" applyAlignment="1">
      <alignment horizontal="left" vertical="center"/>
    </xf>
    <xf numFmtId="164" fontId="3" fillId="2" borderId="0" xfId="0" applyNumberFormat="1" applyFont="1" applyFill="1" applyAlignment="1" applyProtection="1">
      <alignment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28" fillId="0" borderId="0" xfId="0" applyFont="1" applyAlignment="1">
      <alignment horizontal="left" vertical="center"/>
    </xf>
    <xf numFmtId="0" fontId="23" fillId="0" borderId="14" xfId="11" applyFont="1" applyBorder="1" applyAlignment="1">
      <alignment horizontal="center" vertical="center"/>
    </xf>
    <xf numFmtId="0" fontId="23" fillId="0" borderId="15" xfId="11" applyFont="1" applyBorder="1" applyAlignment="1">
      <alignment horizontal="left" vertical="center"/>
    </xf>
    <xf numFmtId="0" fontId="23" fillId="0" borderId="15" xfId="11" applyFont="1" applyBorder="1" applyAlignment="1">
      <alignment horizontal="center" vertical="center"/>
    </xf>
    <xf numFmtId="0" fontId="13" fillId="0" borderId="14" xfId="2" applyBorder="1"/>
    <xf numFmtId="0" fontId="26" fillId="0" borderId="13" xfId="11" applyFont="1" applyBorder="1" applyAlignment="1">
      <alignment horizontal="left" vertical="center"/>
    </xf>
    <xf numFmtId="0" fontId="18" fillId="11" borderId="0" xfId="11" applyFont="1" applyFill="1" applyAlignment="1">
      <alignment horizontal="left" vertical="center"/>
    </xf>
    <xf numFmtId="0" fontId="18" fillId="11" borderId="0" xfId="11" applyFont="1" applyFill="1"/>
    <xf numFmtId="0" fontId="18" fillId="2" borderId="0" xfId="11" applyFont="1" applyFill="1" applyAlignment="1">
      <alignment horizontal="left"/>
    </xf>
    <xf numFmtId="0" fontId="2" fillId="5" borderId="2" xfId="1" applyFill="1" applyBorder="1" applyAlignment="1">
      <alignment horizontal="center" vertical="center"/>
    </xf>
    <xf numFmtId="0" fontId="2" fillId="5" borderId="4" xfId="1" applyFill="1" applyBorder="1" applyAlignment="1">
      <alignment horizontal="center" vertical="center"/>
    </xf>
    <xf numFmtId="0" fontId="2" fillId="5" borderId="7" xfId="1" applyFill="1" applyBorder="1" applyAlignment="1">
      <alignment horizontal="center" vertical="center"/>
    </xf>
    <xf numFmtId="0" fontId="2" fillId="5" borderId="9" xfId="1" applyFill="1" applyBorder="1" applyAlignment="1">
      <alignment horizontal="center" vertical="center"/>
    </xf>
    <xf numFmtId="0" fontId="10" fillId="6" borderId="2" xfId="1" applyFont="1" applyFill="1" applyBorder="1" applyAlignment="1">
      <alignment horizontal="center" vertical="center"/>
    </xf>
    <xf numFmtId="0" fontId="10" fillId="6" borderId="4" xfId="1" applyFont="1" applyFill="1" applyBorder="1" applyAlignment="1">
      <alignment horizontal="center" vertical="center"/>
    </xf>
    <xf numFmtId="0" fontId="10" fillId="6" borderId="7" xfId="1" applyFont="1" applyFill="1" applyBorder="1" applyAlignment="1">
      <alignment horizontal="center" vertical="center"/>
    </xf>
    <xf numFmtId="0" fontId="10" fillId="6" borderId="9" xfId="1" applyFont="1" applyFill="1" applyBorder="1" applyAlignment="1">
      <alignment horizontal="center" vertical="center"/>
    </xf>
    <xf numFmtId="0" fontId="10" fillId="5" borderId="2" xfId="1" applyFont="1" applyFill="1" applyBorder="1" applyAlignment="1">
      <alignment horizontal="center" vertical="center"/>
    </xf>
    <xf numFmtId="0" fontId="10" fillId="5" borderId="4" xfId="1" applyFont="1" applyFill="1" applyBorder="1" applyAlignment="1">
      <alignment horizontal="center" vertical="center"/>
    </xf>
    <xf numFmtId="0" fontId="10" fillId="5" borderId="7" xfId="1" applyFont="1" applyFill="1" applyBorder="1" applyAlignment="1">
      <alignment horizontal="center" vertical="center"/>
    </xf>
    <xf numFmtId="0" fontId="10" fillId="5" borderId="9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5" borderId="2" xfId="1" applyFill="1" applyBorder="1" applyAlignment="1" applyProtection="1">
      <alignment horizontal="center" vertical="center"/>
      <protection locked="0"/>
    </xf>
    <xf numFmtId="0" fontId="2" fillId="5" borderId="3" xfId="1" applyFill="1" applyBorder="1" applyAlignment="1" applyProtection="1">
      <alignment horizontal="center" vertical="center"/>
      <protection locked="0"/>
    </xf>
    <xf numFmtId="0" fontId="2" fillId="5" borderId="4" xfId="1" applyFill="1" applyBorder="1" applyAlignment="1" applyProtection="1">
      <alignment horizontal="center" vertical="center"/>
      <protection locked="0"/>
    </xf>
    <xf numFmtId="0" fontId="2" fillId="5" borderId="7" xfId="1" applyFill="1" applyBorder="1" applyAlignment="1" applyProtection="1">
      <alignment horizontal="center" vertical="center"/>
      <protection locked="0"/>
    </xf>
    <xf numFmtId="0" fontId="2" fillId="5" borderId="8" xfId="1" applyFill="1" applyBorder="1" applyAlignment="1" applyProtection="1">
      <alignment horizontal="center" vertical="center"/>
      <protection locked="0"/>
    </xf>
    <xf numFmtId="0" fontId="2" fillId="5" borderId="9" xfId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3" fillId="0" borderId="5" xfId="0" applyFont="1" applyBorder="1" applyAlignment="1">
      <alignment horizontal="center" vertical="center" wrapText="1"/>
    </xf>
    <xf numFmtId="1" fontId="25" fillId="0" borderId="0" xfId="11" applyNumberFormat="1" applyFont="1" applyAlignment="1">
      <alignment horizontal="right"/>
    </xf>
    <xf numFmtId="0" fontId="28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3" fillId="12" borderId="14" xfId="11" applyFont="1" applyFill="1" applyBorder="1" applyAlignment="1" applyProtection="1">
      <alignment horizontal="left" vertical="center"/>
      <protection locked="0"/>
    </xf>
    <xf numFmtId="0" fontId="18" fillId="12" borderId="14" xfId="11" applyFont="1" applyFill="1" applyBorder="1" applyAlignment="1" applyProtection="1">
      <alignment horizontal="left" vertical="center"/>
      <protection locked="0"/>
    </xf>
    <xf numFmtId="0" fontId="18" fillId="12" borderId="14" xfId="11" applyFont="1" applyFill="1" applyBorder="1"/>
    <xf numFmtId="0" fontId="18" fillId="12" borderId="14" xfId="11" applyFont="1" applyFill="1" applyBorder="1" applyAlignment="1">
      <alignment horizontal="center"/>
    </xf>
    <xf numFmtId="0" fontId="23" fillId="12" borderId="14" xfId="11" applyFont="1" applyFill="1" applyBorder="1" applyAlignment="1" applyProtection="1">
      <alignment horizontal="center"/>
      <protection locked="0"/>
    </xf>
    <xf numFmtId="0" fontId="18" fillId="12" borderId="14" xfId="11" applyFont="1" applyFill="1" applyBorder="1" applyProtection="1">
      <protection locked="0"/>
    </xf>
    <xf numFmtId="0" fontId="18" fillId="12" borderId="0" xfId="11" applyFont="1" applyFill="1" applyAlignment="1">
      <alignment horizontal="center"/>
    </xf>
    <xf numFmtId="0" fontId="18" fillId="12" borderId="0" xfId="11" applyFont="1" applyFill="1"/>
    <xf numFmtId="0" fontId="1" fillId="13" borderId="14" xfId="14" applyFill="1" applyBorder="1" applyAlignment="1">
      <alignment horizontal="center" vertical="center"/>
    </xf>
    <xf numFmtId="0" fontId="1" fillId="12" borderId="21" xfId="15" applyFill="1" applyBorder="1" applyAlignment="1">
      <alignment horizontal="center" vertical="center"/>
    </xf>
    <xf numFmtId="0" fontId="1" fillId="12" borderId="21" xfId="15" applyFill="1" applyBorder="1"/>
    <xf numFmtId="0" fontId="1" fillId="13" borderId="24" xfId="14" applyFill="1" applyBorder="1" applyAlignment="1">
      <alignment horizontal="center" vertical="center"/>
    </xf>
    <xf numFmtId="0" fontId="1" fillId="13" borderId="25" xfId="14" applyFill="1" applyBorder="1" applyAlignment="1">
      <alignment horizontal="center" vertical="center"/>
    </xf>
    <xf numFmtId="0" fontId="1" fillId="13" borderId="27" xfId="14" applyFill="1" applyBorder="1" applyAlignment="1">
      <alignment horizontal="center" vertical="center"/>
    </xf>
    <xf numFmtId="0" fontId="1" fillId="13" borderId="28" xfId="14" applyFill="1" applyBorder="1" applyAlignment="1">
      <alignment horizontal="center" vertical="center"/>
    </xf>
    <xf numFmtId="0" fontId="1" fillId="12" borderId="24" xfId="15" applyFill="1" applyBorder="1" applyAlignment="1">
      <alignment horizontal="center" vertical="center"/>
    </xf>
    <xf numFmtId="0" fontId="1" fillId="12" borderId="23" xfId="15" applyFill="1" applyBorder="1" applyAlignment="1">
      <alignment horizontal="center" vertical="center"/>
    </xf>
    <xf numFmtId="0" fontId="1" fillId="12" borderId="27" xfId="15" applyFill="1" applyBorder="1" applyAlignment="1">
      <alignment horizontal="center" vertical="center"/>
    </xf>
    <xf numFmtId="0" fontId="1" fillId="12" borderId="26" xfId="15" applyFill="1" applyBorder="1" applyAlignment="1">
      <alignment horizontal="center" vertical="center"/>
    </xf>
    <xf numFmtId="0" fontId="1" fillId="14" borderId="14" xfId="13" applyFill="1" applyBorder="1" applyAlignment="1">
      <alignment horizontal="center" vertical="center"/>
    </xf>
    <xf numFmtId="0" fontId="23" fillId="14" borderId="0" xfId="11" applyFont="1" applyFill="1" applyProtection="1">
      <protection locked="0"/>
    </xf>
    <xf numFmtId="0" fontId="18" fillId="14" borderId="0" xfId="11" applyFont="1" applyFill="1" applyProtection="1">
      <protection locked="0"/>
    </xf>
    <xf numFmtId="0" fontId="1" fillId="14" borderId="22" xfId="13" applyFill="1" applyBorder="1" applyAlignment="1">
      <alignment horizontal="center" vertical="center"/>
    </xf>
    <xf numFmtId="0" fontId="1" fillId="14" borderId="23" xfId="13" applyFill="1" applyBorder="1" applyAlignment="1">
      <alignment horizontal="center" vertical="center"/>
    </xf>
    <xf numFmtId="0" fontId="1" fillId="14" borderId="20" xfId="13" applyFill="1" applyBorder="1" applyAlignment="1">
      <alignment horizontal="center" vertical="center"/>
    </xf>
    <xf numFmtId="0" fontId="1" fillId="14" borderId="26" xfId="13" applyFill="1" applyBorder="1" applyAlignment="1">
      <alignment horizontal="center" vertical="center"/>
    </xf>
    <xf numFmtId="0" fontId="23" fillId="13" borderId="0" xfId="11" applyFont="1" applyFill="1" applyProtection="1">
      <protection locked="0"/>
    </xf>
    <xf numFmtId="0" fontId="18" fillId="13" borderId="0" xfId="11" applyFont="1" applyFill="1" applyProtection="1">
      <protection locked="0"/>
    </xf>
    <xf numFmtId="0" fontId="18" fillId="12" borderId="0" xfId="11" applyFont="1" applyFill="1" applyProtection="1">
      <protection locked="0"/>
    </xf>
    <xf numFmtId="0" fontId="33" fillId="4" borderId="14" xfId="12" applyFont="1" applyFill="1" applyBorder="1" applyAlignment="1">
      <alignment horizontal="center" vertical="center"/>
    </xf>
    <xf numFmtId="0" fontId="23" fillId="4" borderId="0" xfId="11" applyFont="1" applyFill="1" applyProtection="1">
      <protection locked="0"/>
    </xf>
    <xf numFmtId="0" fontId="18" fillId="4" borderId="0" xfId="11" applyFont="1" applyFill="1" applyProtection="1">
      <protection locked="0"/>
    </xf>
    <xf numFmtId="0" fontId="33" fillId="4" borderId="22" xfId="12" applyFont="1" applyFill="1" applyBorder="1" applyAlignment="1">
      <alignment horizontal="center" vertical="center"/>
    </xf>
    <xf numFmtId="0" fontId="33" fillId="4" borderId="23" xfId="12" applyFont="1" applyFill="1" applyBorder="1" applyAlignment="1">
      <alignment horizontal="center" vertical="center"/>
    </xf>
    <xf numFmtId="0" fontId="33" fillId="4" borderId="20" xfId="12" applyFont="1" applyFill="1" applyBorder="1" applyAlignment="1">
      <alignment horizontal="center" vertical="center"/>
    </xf>
    <xf numFmtId="0" fontId="33" fillId="4" borderId="26" xfId="12" applyFont="1" applyFill="1" applyBorder="1" applyAlignment="1">
      <alignment horizontal="center" vertical="center"/>
    </xf>
  </cellXfs>
  <cellStyles count="16">
    <cellStyle name="20 % - Farve6" xfId="15" builtinId="50"/>
    <cellStyle name="40 % - Farve2" xfId="13" builtinId="35"/>
    <cellStyle name="40 % - Farve5" xfId="14" builtinId="47"/>
    <cellStyle name="Besøgt link" xfId="3" builtinId="9" hidden="1"/>
    <cellStyle name="Besøgt link" xfId="4" builtinId="9" hidden="1"/>
    <cellStyle name="Besøgt link" xfId="5" builtinId="9" hidden="1"/>
    <cellStyle name="Besøgt link" xfId="6" builtinId="9" hidden="1"/>
    <cellStyle name="Besøgt link" xfId="7" builtinId="9" hidden="1"/>
    <cellStyle name="Besøgt link" xfId="8" builtinId="9" hidden="1"/>
    <cellStyle name="Besøgt link" xfId="9" builtinId="9" hidden="1"/>
    <cellStyle name="Besøgt link" xfId="10" builtinId="9" hidden="1"/>
    <cellStyle name="Link" xfId="1" builtinId="8"/>
    <cellStyle name="Neutral" xfId="12" builtinId="28"/>
    <cellStyle name="Normal" xfId="0" builtinId="0"/>
    <cellStyle name="Normal 2" xfId="2" xr:uid="{00000000-0005-0000-0000-00000E000000}"/>
    <cellStyle name="Normal 3" xfId="11" xr:uid="{00000000-0005-0000-0000-00000F000000}"/>
  </cellStyles>
  <dxfs count="2">
    <dxf>
      <fill>
        <patternFill patternType="none">
          <fgColor indexed="64"/>
          <bgColor indexed="65"/>
        </patternFill>
      </fill>
    </dxf>
    <dxf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07/relationships/slicerCache" Target="slicerCaches/slicerCache4.xml"/><Relationship Id="rId18" Type="http://schemas.microsoft.com/office/2007/relationships/slicerCache" Target="slicerCaches/slicerCache9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3.xml"/><Relationship Id="rId17" Type="http://schemas.microsoft.com/office/2007/relationships/slicerCache" Target="slicerCaches/slicerCache8.xml"/><Relationship Id="rId2" Type="http://schemas.openxmlformats.org/officeDocument/2006/relationships/worksheet" Target="worksheets/sheet2.xml"/><Relationship Id="rId16" Type="http://schemas.microsoft.com/office/2007/relationships/slicerCache" Target="slicerCaches/slicerCache7.xml"/><Relationship Id="rId20" Type="http://schemas.microsoft.com/office/2007/relationships/slicerCache" Target="slicerCaches/slicerCache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07/relationships/slicerCache" Target="slicerCaches/slicerCache6.xml"/><Relationship Id="rId23" Type="http://schemas.openxmlformats.org/officeDocument/2006/relationships/sharedStrings" Target="sharedStrings.xml"/><Relationship Id="rId10" Type="http://schemas.microsoft.com/office/2007/relationships/slicerCache" Target="slicerCaches/slicerCache1.xml"/><Relationship Id="rId19" Type="http://schemas.microsoft.com/office/2007/relationships/slicerCache" Target="slicerCaches/slicerCache10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microsoft.com/office/2007/relationships/slicerCache" Target="slicerCaches/slicerCache5.xml"/><Relationship Id="rId22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Radio" firstButton="1" fmlaLink="$A$3" noThreeD="1"/>
</file>

<file path=xl/ctrlProps/ctrlProp2.xml><?xml version="1.0" encoding="utf-8"?>
<formControlPr xmlns="http://schemas.microsoft.com/office/spreadsheetml/2009/9/main" objectType="Radio" checked="Checked" noThreeD="1"/>
</file>

<file path=xl/ctrlProps/ctrlProp3.xml><?xml version="1.0" encoding="utf-8"?>
<formControlPr xmlns="http://schemas.microsoft.com/office/spreadsheetml/2009/9/main" objectType="Drop" dropLines="60" dropStyle="combo" dx="16" fmlaLink="$L$36" fmlaRange="$M$90:$M$92" noThreeD="1" sel="3" val="0"/>
</file>

<file path=xl/ctrlProps/ctrlProp4.xml><?xml version="1.0" encoding="utf-8"?>
<formControlPr xmlns="http://schemas.microsoft.com/office/spreadsheetml/2009/9/main" objectType="Drop" dropLines="58" dropStyle="combo" dx="16" fmlaLink="$M$37" fmlaRange="$L$90:$L$96" noThreeD="1" sel="3" val="0"/>
</file>

<file path=xl/ctrlProps/ctrlProp5.xml><?xml version="1.0" encoding="utf-8"?>
<formControlPr xmlns="http://schemas.microsoft.com/office/spreadsheetml/2009/9/main" objectType="Drop" dropStyle="combo" dx="16" fmlaLink="$M$38" fmlaRange="$L$90:$L$96" noThreeD="1" sel="4" val="0"/>
</file>

<file path=xl/ctrlProps/ctrlProp6.xml><?xml version="1.0" encoding="utf-8"?>
<formControlPr xmlns="http://schemas.microsoft.com/office/spreadsheetml/2009/9/main" objectType="Drop" dropLines="58" dropStyle="combo" dx="16" fmlaLink="$M$39" fmlaRange="$L$90:$L$96" noThreeD="1" sel="1" val="0"/>
</file>

<file path=xl/ctrlProps/ctrlProp7.xml><?xml version="1.0" encoding="utf-8"?>
<formControlPr xmlns="http://schemas.microsoft.com/office/spreadsheetml/2009/9/main" objectType="Drop" dropStyle="combo" dx="16" fmlaLink="$M$40" fmlaRange="$L$90:$L$96" noThreeD="1" sel="4" val="0"/>
</file>

<file path=xl/ctrlProps/ctrlProp8.xml><?xml version="1.0" encoding="utf-8"?>
<formControlPr xmlns="http://schemas.microsoft.com/office/spreadsheetml/2009/9/main" objectType="Drop" dropStyle="combo" dx="16" fmlaLink="$M$41" fmlaRange="$L$90:$L$96" noThreeD="1" sel="2" val="0"/>
</file>

<file path=xl/ctrlProps/ctrlProp9.xml><?xml version="1.0" encoding="utf-8"?>
<formControlPr xmlns="http://schemas.microsoft.com/office/spreadsheetml/2009/9/main" objectType="Drop" dropStyle="combo" dx="16" fmlaLink="$M$42" fmlaRange="$L$90:$L$96" noThreeD="1" sel="3" val="0"/>
</file>

<file path=xl/ctrlProps/ctrlProp10.xml><?xml version="1.0" encoding="utf-8"?>
<formControlPr xmlns="http://schemas.microsoft.com/office/spreadsheetml/2009/9/main" objectType="Drop" dropStyle="combo" dx="16" fmlaLink="$M$43" fmlaRange="$L$90:$L$96" noThreeD="1" sel="2" val="0"/>
</file>

<file path=xl/ctrlProps/ctrlProp11.xml><?xml version="1.0" encoding="utf-8"?>
<formControlPr xmlns="http://schemas.microsoft.com/office/spreadsheetml/2009/9/main" objectType="Drop" dropStyle="combo" dx="16" fmlaLink="$M$44" fmlaRange="$L$90:$L$96" noThreeD="1" sel="1" val="0"/>
</file>

<file path=xl/ctrlProps/ctrlProp12.xml><?xml version="1.0" encoding="utf-8"?>
<formControlPr xmlns="http://schemas.microsoft.com/office/spreadsheetml/2009/9/main" objectType="Drop" dropStyle="combo" dx="16" fmlaLink="$M$45" fmlaRange="$L$90:$L$96" noThreeD="1" sel="1" val="0"/>
</file>

<file path=xl/ctrlProps/ctrlProp13.xml><?xml version="1.0" encoding="utf-8"?>
<formControlPr xmlns="http://schemas.microsoft.com/office/spreadsheetml/2009/9/main" objectType="Drop" dropStyle="combo" dx="16" fmlaLink="$M$46" fmlaRange="$L$90:$L$96" noThreeD="1" sel="1" val="0"/>
</file>

<file path=xl/ctrlProps/ctrlProp14.xml><?xml version="1.0" encoding="utf-8"?>
<formControlPr xmlns="http://schemas.microsoft.com/office/spreadsheetml/2009/9/main" objectType="Drop" dropStyle="combo" dx="16" fmlaLink="$M$47" fmlaRange="$L$90:$L$96" noThreeD="1" sel="1" val="0"/>
</file>

<file path=xl/ctrlProps/ctrlProp15.xml><?xml version="1.0" encoding="utf-8"?>
<formControlPr xmlns="http://schemas.microsoft.com/office/spreadsheetml/2009/9/main" objectType="Drop" dropStyle="combo" dx="16" fmlaLink="$M$48" fmlaRange="$L$90:$L$96" noThreeD="1" sel="6" val="0"/>
</file>

<file path=xl/ctrlProps/ctrlProp16.xml><?xml version="1.0" encoding="utf-8"?>
<formControlPr xmlns="http://schemas.microsoft.com/office/spreadsheetml/2009/9/main" objectType="Drop" dropStyle="combo" dx="16" fmlaLink="$M$49" fmlaRange="$L$90:$L$96" noThreeD="1" sel="2" val="0"/>
</file>

<file path=xl/ctrlProps/ctrlProp17.xml><?xml version="1.0" encoding="utf-8"?>
<formControlPr xmlns="http://schemas.microsoft.com/office/spreadsheetml/2009/9/main" objectType="Drop" dropStyle="combo" dx="16" fmlaLink="$M$50" fmlaRange="$L$90:$L$96" noThreeD="1" sel="3" val="0"/>
</file>

<file path=xl/ctrlProps/ctrlProp18.xml><?xml version="1.0" encoding="utf-8"?>
<formControlPr xmlns="http://schemas.microsoft.com/office/spreadsheetml/2009/9/main" objectType="Drop" dropStyle="combo" dx="16" fmlaLink="$M$51" fmlaRange="$L$90:$L$96" noThreeD="1" sel="4" val="0"/>
</file>

<file path=xl/ctrlProps/ctrlProp19.xml><?xml version="1.0" encoding="utf-8"?>
<formControlPr xmlns="http://schemas.microsoft.com/office/spreadsheetml/2009/9/main" objectType="Drop" dropStyle="combo" dx="16" fmlaLink="$M$52" fmlaRange="$L$90:$L$96" noThreeD="1" sel="1" val="0"/>
</file>

<file path=xl/ctrlProps/ctrlProp20.xml><?xml version="1.0" encoding="utf-8"?>
<formControlPr xmlns="http://schemas.microsoft.com/office/spreadsheetml/2009/9/main" objectType="Drop" dropStyle="combo" dx="16" fmlaLink="$M$53" fmlaRange="$L$90:$L$96" noThreeD="1" sel="1" val="0"/>
</file>

<file path=xl/ctrlProps/ctrlProp21.xml><?xml version="1.0" encoding="utf-8"?>
<formControlPr xmlns="http://schemas.microsoft.com/office/spreadsheetml/2009/9/main" objectType="Drop" dropStyle="combo" dx="16" fmlaLink="$M$54" fmlaRange="$L$90:$L$96" noThreeD="1" sel="1" val="0"/>
</file>

<file path=xl/ctrlProps/ctrlProp22.xml><?xml version="1.0" encoding="utf-8"?>
<formControlPr xmlns="http://schemas.microsoft.com/office/spreadsheetml/2009/9/main" objectType="Drop" dropLines="60" dropStyle="combo" dx="16" fmlaLink="$L$37" fmlaRange="$M$90:$M$92" noThreeD="1" sel="3" val="0"/>
</file>

<file path=xl/ctrlProps/ctrlProp23.xml><?xml version="1.0" encoding="utf-8"?>
<formControlPr xmlns="http://schemas.microsoft.com/office/spreadsheetml/2009/9/main" objectType="Drop" dropLines="60" dropStyle="combo" dx="16" fmlaLink="$L$38" fmlaRange="$M$90:$M$92" noThreeD="1" sel="3" val="0"/>
</file>

<file path=xl/ctrlProps/ctrlProp24.xml><?xml version="1.0" encoding="utf-8"?>
<formControlPr xmlns="http://schemas.microsoft.com/office/spreadsheetml/2009/9/main" objectType="Drop" dropLines="60" dropStyle="combo" dx="16" fmlaLink="$L$39" fmlaRange="$M$90:$M$92" noThreeD="1" sel="3" val="0"/>
</file>

<file path=xl/ctrlProps/ctrlProp25.xml><?xml version="1.0" encoding="utf-8"?>
<formControlPr xmlns="http://schemas.microsoft.com/office/spreadsheetml/2009/9/main" objectType="Drop" dropStyle="combo" dx="16" fmlaLink="$L$40" fmlaRange="$M$90:$M$92" noThreeD="1" sel="3" val="0"/>
</file>

<file path=xl/ctrlProps/ctrlProp26.xml><?xml version="1.0" encoding="utf-8"?>
<formControlPr xmlns="http://schemas.microsoft.com/office/spreadsheetml/2009/9/main" objectType="Drop" dropStyle="combo" dx="16" fmlaLink="$L$41" fmlaRange="$M$90:$M$92" noThreeD="1" sel="3" val="0"/>
</file>

<file path=xl/ctrlProps/ctrlProp27.xml><?xml version="1.0" encoding="utf-8"?>
<formControlPr xmlns="http://schemas.microsoft.com/office/spreadsheetml/2009/9/main" objectType="Drop" dropStyle="combo" dx="16" fmlaLink="$L$42" fmlaRange="$M$90:$M$92" noThreeD="1" sel="3" val="0"/>
</file>

<file path=xl/ctrlProps/ctrlProp28.xml><?xml version="1.0" encoding="utf-8"?>
<formControlPr xmlns="http://schemas.microsoft.com/office/spreadsheetml/2009/9/main" objectType="Drop" dropStyle="combo" dx="16" fmlaLink="$L$43" fmlaRange="$M$90:$M$92" noThreeD="1" sel="3" val="0"/>
</file>

<file path=xl/ctrlProps/ctrlProp29.xml><?xml version="1.0" encoding="utf-8"?>
<formControlPr xmlns="http://schemas.microsoft.com/office/spreadsheetml/2009/9/main" objectType="Drop" dropStyle="combo" dx="16" fmlaLink="$L$44" fmlaRange="$M$90:$M$92" noThreeD="1" sel="3" val="0"/>
</file>

<file path=xl/ctrlProps/ctrlProp30.xml><?xml version="1.0" encoding="utf-8"?>
<formControlPr xmlns="http://schemas.microsoft.com/office/spreadsheetml/2009/9/main" objectType="Drop" dropStyle="combo" dx="16" fmlaLink="$L$45" fmlaRange="$M$90:$M$92" noThreeD="1" sel="3" val="0"/>
</file>

<file path=xl/ctrlProps/ctrlProp31.xml><?xml version="1.0" encoding="utf-8"?>
<formControlPr xmlns="http://schemas.microsoft.com/office/spreadsheetml/2009/9/main" objectType="Drop" dropStyle="combo" dx="16" fmlaLink="$L$46" fmlaRange="$M$90:$M$92" noThreeD="1" sel="3" val="0"/>
</file>

<file path=xl/ctrlProps/ctrlProp32.xml><?xml version="1.0" encoding="utf-8"?>
<formControlPr xmlns="http://schemas.microsoft.com/office/spreadsheetml/2009/9/main" objectType="Drop" dropStyle="combo" dx="16" fmlaLink="$L$47" fmlaRange="$M$90:$M$92" noThreeD="1" sel="3" val="0"/>
</file>

<file path=xl/ctrlProps/ctrlProp33.xml><?xml version="1.0" encoding="utf-8"?>
<formControlPr xmlns="http://schemas.microsoft.com/office/spreadsheetml/2009/9/main" objectType="Drop" dropStyle="combo" dx="16" fmlaLink="$L$48" fmlaRange="$M$90:$M$92" noThreeD="1" sel="3" val="0"/>
</file>

<file path=xl/ctrlProps/ctrlProp34.xml><?xml version="1.0" encoding="utf-8"?>
<formControlPr xmlns="http://schemas.microsoft.com/office/spreadsheetml/2009/9/main" objectType="Drop" dropStyle="combo" dx="16" fmlaLink="$L$49" fmlaRange="$M$90:$M$92" noThreeD="1" sel="3" val="0"/>
</file>

<file path=xl/ctrlProps/ctrlProp35.xml><?xml version="1.0" encoding="utf-8"?>
<formControlPr xmlns="http://schemas.microsoft.com/office/spreadsheetml/2009/9/main" objectType="Drop" dropStyle="combo" dx="16" fmlaLink="$L$50" fmlaRange="$M$90:$M$92" noThreeD="1" sel="3" val="0"/>
</file>

<file path=xl/ctrlProps/ctrlProp36.xml><?xml version="1.0" encoding="utf-8"?>
<formControlPr xmlns="http://schemas.microsoft.com/office/spreadsheetml/2009/9/main" objectType="Drop" dropStyle="combo" dx="16" fmlaLink="$L$51" fmlaRange="$M$90:$M$92" noThreeD="1" sel="3" val="0"/>
</file>

<file path=xl/ctrlProps/ctrlProp37.xml><?xml version="1.0" encoding="utf-8"?>
<formControlPr xmlns="http://schemas.microsoft.com/office/spreadsheetml/2009/9/main" objectType="Drop" dropStyle="combo" dx="16" fmlaLink="$L$52" fmlaRange="$M$90:$M$92" noThreeD="1" sel="3" val="0"/>
</file>

<file path=xl/ctrlProps/ctrlProp38.xml><?xml version="1.0" encoding="utf-8"?>
<formControlPr xmlns="http://schemas.microsoft.com/office/spreadsheetml/2009/9/main" objectType="Drop" dropStyle="combo" dx="16" fmlaLink="$L$53" fmlaRange="$M$90:$M$92" noThreeD="1" sel="3" val="0"/>
</file>

<file path=xl/ctrlProps/ctrlProp39.xml><?xml version="1.0" encoding="utf-8"?>
<formControlPr xmlns="http://schemas.microsoft.com/office/spreadsheetml/2009/9/main" objectType="Drop" dropStyle="combo" dx="16" fmlaLink="$L$54" fmlaRange="$M$90:$M$92" noThreeD="1" sel="3" val="0"/>
</file>

<file path=xl/ctrlProps/ctrlProp40.xml><?xml version="1.0" encoding="utf-8"?>
<formControlPr xmlns="http://schemas.microsoft.com/office/spreadsheetml/2009/9/main" objectType="Drop" dropLines="60" dropStyle="combo" dx="16" fmlaLink="$M$36" fmlaRange="$L$90:$L$96" noThreeD="1" sel="2" val="0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431800</xdr:colOff>
      <xdr:row>26</xdr:row>
      <xdr:rowOff>12700</xdr:rowOff>
    </xdr:from>
    <xdr:to>
      <xdr:col>10</xdr:col>
      <xdr:colOff>431800</xdr:colOff>
      <xdr:row>30</xdr:row>
      <xdr:rowOff>12700</xdr:rowOff>
    </xdr:to>
    <xdr:cxnSp macro="">
      <xdr:nvCxnSpPr>
        <xdr:cNvPr id="3" name="Lige forbindels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5207000" y="5638800"/>
          <a:ext cx="0" cy="7747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26</xdr:row>
      <xdr:rowOff>0</xdr:rowOff>
    </xdr:from>
    <xdr:to>
      <xdr:col>12</xdr:col>
      <xdr:colOff>266700</xdr:colOff>
      <xdr:row>30</xdr:row>
      <xdr:rowOff>0</xdr:rowOff>
    </xdr:to>
    <xdr:cxnSp macro="">
      <xdr:nvCxnSpPr>
        <xdr:cNvPr id="6" name="Lige forbindels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6273800" y="5626100"/>
          <a:ext cx="0" cy="7747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381000</xdr:colOff>
      <xdr:row>26</xdr:row>
      <xdr:rowOff>0</xdr:rowOff>
    </xdr:from>
    <xdr:to>
      <xdr:col>14</xdr:col>
      <xdr:colOff>381000</xdr:colOff>
      <xdr:row>30</xdr:row>
      <xdr:rowOff>0</xdr:rowOff>
    </xdr:to>
    <xdr:cxnSp macro="">
      <xdr:nvCxnSpPr>
        <xdr:cNvPr id="7" name="Lige forbindels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7378700" y="5626100"/>
          <a:ext cx="0" cy="7747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304800</xdr:colOff>
      <xdr:row>26</xdr:row>
      <xdr:rowOff>0</xdr:rowOff>
    </xdr:from>
    <xdr:to>
      <xdr:col>16</xdr:col>
      <xdr:colOff>304800</xdr:colOff>
      <xdr:row>30</xdr:row>
      <xdr:rowOff>0</xdr:rowOff>
    </xdr:to>
    <xdr:cxnSp macro="">
      <xdr:nvCxnSpPr>
        <xdr:cNvPr id="8" name="Lige forbindels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8648700" y="5626100"/>
          <a:ext cx="0" cy="7747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304800</xdr:colOff>
      <xdr:row>27</xdr:row>
      <xdr:rowOff>50800</xdr:rowOff>
    </xdr:from>
    <xdr:to>
      <xdr:col>17</xdr:col>
      <xdr:colOff>304800</xdr:colOff>
      <xdr:row>31</xdr:row>
      <xdr:rowOff>50800</xdr:rowOff>
    </xdr:to>
    <xdr:cxnSp macro="">
      <xdr:nvCxnSpPr>
        <xdr:cNvPr id="9" name="Lige forbindels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9766300" y="5499100"/>
          <a:ext cx="0" cy="7747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762000</xdr:colOff>
      <xdr:row>26</xdr:row>
      <xdr:rowOff>12700</xdr:rowOff>
    </xdr:from>
    <xdr:to>
      <xdr:col>18</xdr:col>
      <xdr:colOff>762000</xdr:colOff>
      <xdr:row>30</xdr:row>
      <xdr:rowOff>12700</xdr:rowOff>
    </xdr:to>
    <xdr:cxnSp macro="">
      <xdr:nvCxnSpPr>
        <xdr:cNvPr id="10" name="Lige forbindels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10388600" y="5638800"/>
          <a:ext cx="0" cy="7747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596900</xdr:colOff>
      <xdr:row>26</xdr:row>
      <xdr:rowOff>0</xdr:rowOff>
    </xdr:from>
    <xdr:to>
      <xdr:col>20</xdr:col>
      <xdr:colOff>596900</xdr:colOff>
      <xdr:row>30</xdr:row>
      <xdr:rowOff>0</xdr:rowOff>
    </xdr:to>
    <xdr:cxnSp macro="">
      <xdr:nvCxnSpPr>
        <xdr:cNvPr id="11" name="Lige forbindels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12446000" y="5257800"/>
          <a:ext cx="0" cy="7747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27</xdr:row>
      <xdr:rowOff>63500</xdr:rowOff>
    </xdr:from>
    <xdr:to>
      <xdr:col>14</xdr:col>
      <xdr:colOff>266700</xdr:colOff>
      <xdr:row>27</xdr:row>
      <xdr:rowOff>63500</xdr:rowOff>
    </xdr:to>
    <xdr:cxnSp macro="">
      <xdr:nvCxnSpPr>
        <xdr:cNvPr id="5" name="Lige pilforbindels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6451600" y="5880100"/>
          <a:ext cx="812800" cy="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1003300</xdr:colOff>
      <xdr:row>29</xdr:row>
      <xdr:rowOff>63500</xdr:rowOff>
    </xdr:from>
    <xdr:to>
      <xdr:col>19</xdr:col>
      <xdr:colOff>381000</xdr:colOff>
      <xdr:row>29</xdr:row>
      <xdr:rowOff>63500</xdr:rowOff>
    </xdr:to>
    <xdr:cxnSp macro="">
      <xdr:nvCxnSpPr>
        <xdr:cNvPr id="16" name="Lige pilforbindels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 flipH="1">
          <a:off x="10629900" y="6273800"/>
          <a:ext cx="749300" cy="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444500</xdr:colOff>
      <xdr:row>29</xdr:row>
      <xdr:rowOff>76200</xdr:rowOff>
    </xdr:from>
    <xdr:to>
      <xdr:col>18</xdr:col>
      <xdr:colOff>533400</xdr:colOff>
      <xdr:row>29</xdr:row>
      <xdr:rowOff>76200</xdr:rowOff>
    </xdr:to>
    <xdr:cxnSp macro="">
      <xdr:nvCxnSpPr>
        <xdr:cNvPr id="18" name="Lige pilforbindels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 flipH="1">
          <a:off x="9410700" y="6286500"/>
          <a:ext cx="749300" cy="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330200</xdr:colOff>
      <xdr:row>29</xdr:row>
      <xdr:rowOff>88900</xdr:rowOff>
    </xdr:from>
    <xdr:to>
      <xdr:col>17</xdr:col>
      <xdr:colOff>190500</xdr:colOff>
      <xdr:row>29</xdr:row>
      <xdr:rowOff>88900</xdr:rowOff>
    </xdr:to>
    <xdr:cxnSp macro="">
      <xdr:nvCxnSpPr>
        <xdr:cNvPr id="19" name="Lige pilforbindels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 flipH="1">
          <a:off x="8674100" y="6299200"/>
          <a:ext cx="482600" cy="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228600</xdr:colOff>
      <xdr:row>29</xdr:row>
      <xdr:rowOff>88900</xdr:rowOff>
    </xdr:from>
    <xdr:to>
      <xdr:col>16</xdr:col>
      <xdr:colOff>152400</xdr:colOff>
      <xdr:row>29</xdr:row>
      <xdr:rowOff>88900</xdr:rowOff>
    </xdr:to>
    <xdr:cxnSp macro="">
      <xdr:nvCxnSpPr>
        <xdr:cNvPr id="22" name="Lige pilforbindels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/>
      </xdr:nvCxnSpPr>
      <xdr:spPr>
        <a:xfrm flipH="1">
          <a:off x="7874000" y="6299200"/>
          <a:ext cx="622300" cy="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107950</xdr:colOff>
          <xdr:row>14</xdr:row>
          <xdr:rowOff>114300</xdr:rowOff>
        </xdr:from>
        <xdr:to>
          <xdr:col>9</xdr:col>
          <xdr:colOff>628650</xdr:colOff>
          <xdr:row>15</xdr:row>
          <xdr:rowOff>184150</xdr:rowOff>
        </xdr:to>
        <xdr:sp macro="" textlink="">
          <xdr:nvSpPr>
            <xdr:cNvPr id="4106" name="Option Button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6576" rIns="0" bIns="36576" anchor="ctr" upright="1"/>
            <a:lstStyle/>
            <a:p>
              <a:pPr algn="l" rtl="0">
                <a:defRPr sz="1000"/>
              </a:pPr>
              <a:r>
                <a:rPr lang="da-DK" sz="1300" b="0" i="0" u="none" strike="noStrike" baseline="0">
                  <a:solidFill>
                    <a:srgbClr val="000000"/>
                  </a:solidFill>
                  <a:latin typeface="Lucida Grande"/>
                </a:rPr>
                <a:t>In = 250 A ( NSX 250 )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107950</xdr:colOff>
          <xdr:row>13</xdr:row>
          <xdr:rowOff>38100</xdr:rowOff>
        </xdr:from>
        <xdr:to>
          <xdr:col>9</xdr:col>
          <xdr:colOff>641350</xdr:colOff>
          <xdr:row>14</xdr:row>
          <xdr:rowOff>190500</xdr:rowOff>
        </xdr:to>
        <xdr:sp macro="" textlink="">
          <xdr:nvSpPr>
            <xdr:cNvPr id="4110" name="Option Button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1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6576" rIns="0" bIns="36576" anchor="ctr" upright="1"/>
            <a:lstStyle/>
            <a:p>
              <a:pPr algn="l" rtl="0">
                <a:defRPr sz="1000"/>
              </a:pPr>
              <a:r>
                <a:rPr lang="da-DK" sz="1300" b="0" i="0" u="none" strike="noStrike" baseline="0">
                  <a:solidFill>
                    <a:srgbClr val="000000"/>
                  </a:solidFill>
                  <a:latin typeface="Lucida Grande"/>
                </a:rPr>
                <a:t>In = 250 A ( NSX 400 )</a:t>
              </a:r>
            </a:p>
          </xdr:txBody>
        </xdr:sp>
        <xdr:clientData fLock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5</xdr:row>
          <xdr:rowOff>19050</xdr:rowOff>
        </xdr:from>
        <xdr:to>
          <xdr:col>1</xdr:col>
          <xdr:colOff>1022350</xdr:colOff>
          <xdr:row>6</xdr:row>
          <xdr:rowOff>0</xdr:rowOff>
        </xdr:to>
        <xdr:sp macro="" textlink="">
          <xdr:nvSpPr>
            <xdr:cNvPr id="9217" name="Drop Dow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2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6</xdr:row>
          <xdr:rowOff>0</xdr:rowOff>
        </xdr:from>
        <xdr:to>
          <xdr:col>6</xdr:col>
          <xdr:colOff>266700</xdr:colOff>
          <xdr:row>6</xdr:row>
          <xdr:rowOff>209550</xdr:rowOff>
        </xdr:to>
        <xdr:sp macro="" textlink="">
          <xdr:nvSpPr>
            <xdr:cNvPr id="9218" name="Drop Down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2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7</xdr:row>
          <xdr:rowOff>0</xdr:rowOff>
        </xdr:from>
        <xdr:to>
          <xdr:col>6</xdr:col>
          <xdr:colOff>266700</xdr:colOff>
          <xdr:row>7</xdr:row>
          <xdr:rowOff>209550</xdr:rowOff>
        </xdr:to>
        <xdr:sp macro="" textlink="">
          <xdr:nvSpPr>
            <xdr:cNvPr id="9219" name="Drop Down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2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8</xdr:row>
          <xdr:rowOff>31750</xdr:rowOff>
        </xdr:from>
        <xdr:to>
          <xdr:col>6</xdr:col>
          <xdr:colOff>266700</xdr:colOff>
          <xdr:row>8</xdr:row>
          <xdr:rowOff>228600</xdr:rowOff>
        </xdr:to>
        <xdr:sp macro="" textlink="">
          <xdr:nvSpPr>
            <xdr:cNvPr id="9220" name="Drop Down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2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9</xdr:row>
          <xdr:rowOff>19050</xdr:rowOff>
        </xdr:from>
        <xdr:to>
          <xdr:col>6</xdr:col>
          <xdr:colOff>266700</xdr:colOff>
          <xdr:row>9</xdr:row>
          <xdr:rowOff>209550</xdr:rowOff>
        </xdr:to>
        <xdr:sp macro="" textlink="">
          <xdr:nvSpPr>
            <xdr:cNvPr id="9221" name="Drop Down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2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10</xdr:row>
          <xdr:rowOff>19050</xdr:rowOff>
        </xdr:from>
        <xdr:to>
          <xdr:col>6</xdr:col>
          <xdr:colOff>266700</xdr:colOff>
          <xdr:row>10</xdr:row>
          <xdr:rowOff>209550</xdr:rowOff>
        </xdr:to>
        <xdr:sp macro="" textlink="">
          <xdr:nvSpPr>
            <xdr:cNvPr id="9222" name="Drop Down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2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11</xdr:row>
          <xdr:rowOff>31750</xdr:rowOff>
        </xdr:from>
        <xdr:to>
          <xdr:col>6</xdr:col>
          <xdr:colOff>266700</xdr:colOff>
          <xdr:row>11</xdr:row>
          <xdr:rowOff>228600</xdr:rowOff>
        </xdr:to>
        <xdr:sp macro="" textlink="">
          <xdr:nvSpPr>
            <xdr:cNvPr id="9223" name="Drop Down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2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12</xdr:row>
          <xdr:rowOff>31750</xdr:rowOff>
        </xdr:from>
        <xdr:to>
          <xdr:col>6</xdr:col>
          <xdr:colOff>266700</xdr:colOff>
          <xdr:row>12</xdr:row>
          <xdr:rowOff>228600</xdr:rowOff>
        </xdr:to>
        <xdr:sp macro="" textlink="">
          <xdr:nvSpPr>
            <xdr:cNvPr id="9224" name="Drop Down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2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13</xdr:row>
          <xdr:rowOff>19050</xdr:rowOff>
        </xdr:from>
        <xdr:to>
          <xdr:col>6</xdr:col>
          <xdr:colOff>266700</xdr:colOff>
          <xdr:row>13</xdr:row>
          <xdr:rowOff>209550</xdr:rowOff>
        </xdr:to>
        <xdr:sp macro="" textlink="">
          <xdr:nvSpPr>
            <xdr:cNvPr id="9225" name="Drop Down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2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14</xdr:row>
          <xdr:rowOff>19050</xdr:rowOff>
        </xdr:from>
        <xdr:to>
          <xdr:col>6</xdr:col>
          <xdr:colOff>266700</xdr:colOff>
          <xdr:row>14</xdr:row>
          <xdr:rowOff>209550</xdr:rowOff>
        </xdr:to>
        <xdr:sp macro="" textlink="">
          <xdr:nvSpPr>
            <xdr:cNvPr id="9226" name="Drop Down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2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15</xdr:row>
          <xdr:rowOff>31750</xdr:rowOff>
        </xdr:from>
        <xdr:to>
          <xdr:col>6</xdr:col>
          <xdr:colOff>266700</xdr:colOff>
          <xdr:row>15</xdr:row>
          <xdr:rowOff>241300</xdr:rowOff>
        </xdr:to>
        <xdr:sp macro="" textlink="">
          <xdr:nvSpPr>
            <xdr:cNvPr id="9227" name="Drop Down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2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16</xdr:row>
          <xdr:rowOff>31750</xdr:rowOff>
        </xdr:from>
        <xdr:to>
          <xdr:col>6</xdr:col>
          <xdr:colOff>266700</xdr:colOff>
          <xdr:row>16</xdr:row>
          <xdr:rowOff>241300</xdr:rowOff>
        </xdr:to>
        <xdr:sp macro="" textlink="">
          <xdr:nvSpPr>
            <xdr:cNvPr id="9228" name="Drop Down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2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17</xdr:row>
          <xdr:rowOff>19050</xdr:rowOff>
        </xdr:from>
        <xdr:to>
          <xdr:col>6</xdr:col>
          <xdr:colOff>266700</xdr:colOff>
          <xdr:row>17</xdr:row>
          <xdr:rowOff>209550</xdr:rowOff>
        </xdr:to>
        <xdr:sp macro="" textlink="">
          <xdr:nvSpPr>
            <xdr:cNvPr id="9229" name="Drop Down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2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18</xdr:row>
          <xdr:rowOff>19050</xdr:rowOff>
        </xdr:from>
        <xdr:to>
          <xdr:col>6</xdr:col>
          <xdr:colOff>266700</xdr:colOff>
          <xdr:row>18</xdr:row>
          <xdr:rowOff>209550</xdr:rowOff>
        </xdr:to>
        <xdr:sp macro="" textlink="">
          <xdr:nvSpPr>
            <xdr:cNvPr id="9230" name="Drop Down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2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19</xdr:row>
          <xdr:rowOff>19050</xdr:rowOff>
        </xdr:from>
        <xdr:to>
          <xdr:col>6</xdr:col>
          <xdr:colOff>266700</xdr:colOff>
          <xdr:row>19</xdr:row>
          <xdr:rowOff>209550</xdr:rowOff>
        </xdr:to>
        <xdr:sp macro="" textlink="">
          <xdr:nvSpPr>
            <xdr:cNvPr id="9231" name="Drop Down 15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2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20</xdr:row>
          <xdr:rowOff>19050</xdr:rowOff>
        </xdr:from>
        <xdr:to>
          <xdr:col>6</xdr:col>
          <xdr:colOff>266700</xdr:colOff>
          <xdr:row>20</xdr:row>
          <xdr:rowOff>209550</xdr:rowOff>
        </xdr:to>
        <xdr:sp macro="" textlink="">
          <xdr:nvSpPr>
            <xdr:cNvPr id="9232" name="Drop Down 16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2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21</xdr:row>
          <xdr:rowOff>0</xdr:rowOff>
        </xdr:from>
        <xdr:to>
          <xdr:col>6</xdr:col>
          <xdr:colOff>266700</xdr:colOff>
          <xdr:row>21</xdr:row>
          <xdr:rowOff>209550</xdr:rowOff>
        </xdr:to>
        <xdr:sp macro="" textlink="">
          <xdr:nvSpPr>
            <xdr:cNvPr id="9233" name="Drop Down 17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2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22</xdr:row>
          <xdr:rowOff>31750</xdr:rowOff>
        </xdr:from>
        <xdr:to>
          <xdr:col>6</xdr:col>
          <xdr:colOff>266700</xdr:colOff>
          <xdr:row>22</xdr:row>
          <xdr:rowOff>241300</xdr:rowOff>
        </xdr:to>
        <xdr:sp macro="" textlink="">
          <xdr:nvSpPr>
            <xdr:cNvPr id="9234" name="Drop Down 18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0000000-0008-0000-0200-00001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23</xdr:row>
          <xdr:rowOff>31750</xdr:rowOff>
        </xdr:from>
        <xdr:to>
          <xdr:col>6</xdr:col>
          <xdr:colOff>266700</xdr:colOff>
          <xdr:row>23</xdr:row>
          <xdr:rowOff>241300</xdr:rowOff>
        </xdr:to>
        <xdr:sp macro="" textlink="">
          <xdr:nvSpPr>
            <xdr:cNvPr id="9235" name="Drop Down 19" hidden="1">
              <a:extLst>
                <a:ext uri="{63B3BB69-23CF-44E3-9099-C40C66FF867C}">
                  <a14:compatExt spid="_x0000_s9235"/>
                </a:ext>
                <a:ext uri="{FF2B5EF4-FFF2-40B4-BE49-F238E27FC236}">
                  <a16:creationId xmlns:a16="http://schemas.microsoft.com/office/drawing/2014/main" id="{00000000-0008-0000-0200-00001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6</xdr:row>
          <xdr:rowOff>19050</xdr:rowOff>
        </xdr:from>
        <xdr:to>
          <xdr:col>1</xdr:col>
          <xdr:colOff>1022350</xdr:colOff>
          <xdr:row>7</xdr:row>
          <xdr:rowOff>0</xdr:rowOff>
        </xdr:to>
        <xdr:sp macro="" textlink="">
          <xdr:nvSpPr>
            <xdr:cNvPr id="9236" name="Drop Down 20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2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7</xdr:row>
          <xdr:rowOff>19050</xdr:rowOff>
        </xdr:from>
        <xdr:to>
          <xdr:col>1</xdr:col>
          <xdr:colOff>1022350</xdr:colOff>
          <xdr:row>8</xdr:row>
          <xdr:rowOff>0</xdr:rowOff>
        </xdr:to>
        <xdr:sp macro="" textlink="">
          <xdr:nvSpPr>
            <xdr:cNvPr id="9237" name="Drop Down 21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2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8</xdr:row>
          <xdr:rowOff>19050</xdr:rowOff>
        </xdr:from>
        <xdr:to>
          <xdr:col>1</xdr:col>
          <xdr:colOff>1022350</xdr:colOff>
          <xdr:row>9</xdr:row>
          <xdr:rowOff>0</xdr:rowOff>
        </xdr:to>
        <xdr:sp macro="" textlink="">
          <xdr:nvSpPr>
            <xdr:cNvPr id="9238" name="Drop Down 22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0200-00001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9</xdr:row>
          <xdr:rowOff>19050</xdr:rowOff>
        </xdr:from>
        <xdr:to>
          <xdr:col>1</xdr:col>
          <xdr:colOff>1022350</xdr:colOff>
          <xdr:row>10</xdr:row>
          <xdr:rowOff>0</xdr:rowOff>
        </xdr:to>
        <xdr:sp macro="" textlink="">
          <xdr:nvSpPr>
            <xdr:cNvPr id="9239" name="Drop Down 23" hidden="1">
              <a:extLst>
                <a:ext uri="{63B3BB69-23CF-44E3-9099-C40C66FF867C}">
                  <a14:compatExt spid="_x0000_s9239"/>
                </a:ext>
                <a:ext uri="{FF2B5EF4-FFF2-40B4-BE49-F238E27FC236}">
                  <a16:creationId xmlns:a16="http://schemas.microsoft.com/office/drawing/2014/main" id="{00000000-0008-0000-0200-00001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10</xdr:row>
          <xdr:rowOff>19050</xdr:rowOff>
        </xdr:from>
        <xdr:to>
          <xdr:col>1</xdr:col>
          <xdr:colOff>1022350</xdr:colOff>
          <xdr:row>11</xdr:row>
          <xdr:rowOff>0</xdr:rowOff>
        </xdr:to>
        <xdr:sp macro="" textlink="">
          <xdr:nvSpPr>
            <xdr:cNvPr id="9240" name="Drop Down 24" hidden="1">
              <a:extLst>
                <a:ext uri="{63B3BB69-23CF-44E3-9099-C40C66FF867C}">
                  <a14:compatExt spid="_x0000_s9240"/>
                </a:ext>
                <a:ext uri="{FF2B5EF4-FFF2-40B4-BE49-F238E27FC236}">
                  <a16:creationId xmlns:a16="http://schemas.microsoft.com/office/drawing/2014/main" id="{00000000-0008-0000-0200-00001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11</xdr:row>
          <xdr:rowOff>19050</xdr:rowOff>
        </xdr:from>
        <xdr:to>
          <xdr:col>1</xdr:col>
          <xdr:colOff>1022350</xdr:colOff>
          <xdr:row>12</xdr:row>
          <xdr:rowOff>0</xdr:rowOff>
        </xdr:to>
        <xdr:sp macro="" textlink="">
          <xdr:nvSpPr>
            <xdr:cNvPr id="9241" name="Drop Down 25" hidden="1">
              <a:extLst>
                <a:ext uri="{63B3BB69-23CF-44E3-9099-C40C66FF867C}">
                  <a14:compatExt spid="_x0000_s9241"/>
                </a:ext>
                <a:ext uri="{FF2B5EF4-FFF2-40B4-BE49-F238E27FC236}">
                  <a16:creationId xmlns:a16="http://schemas.microsoft.com/office/drawing/2014/main" id="{00000000-0008-0000-0200-00001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12</xdr:row>
          <xdr:rowOff>19050</xdr:rowOff>
        </xdr:from>
        <xdr:to>
          <xdr:col>1</xdr:col>
          <xdr:colOff>1022350</xdr:colOff>
          <xdr:row>13</xdr:row>
          <xdr:rowOff>0</xdr:rowOff>
        </xdr:to>
        <xdr:sp macro="" textlink="">
          <xdr:nvSpPr>
            <xdr:cNvPr id="9242" name="Drop Down 26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200-00001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13</xdr:row>
          <xdr:rowOff>19050</xdr:rowOff>
        </xdr:from>
        <xdr:to>
          <xdr:col>1</xdr:col>
          <xdr:colOff>1022350</xdr:colOff>
          <xdr:row>14</xdr:row>
          <xdr:rowOff>0</xdr:rowOff>
        </xdr:to>
        <xdr:sp macro="" textlink="">
          <xdr:nvSpPr>
            <xdr:cNvPr id="9243" name="Drop Down 27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200-00001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14</xdr:row>
          <xdr:rowOff>19050</xdr:rowOff>
        </xdr:from>
        <xdr:to>
          <xdr:col>1</xdr:col>
          <xdr:colOff>1022350</xdr:colOff>
          <xdr:row>15</xdr:row>
          <xdr:rowOff>0</xdr:rowOff>
        </xdr:to>
        <xdr:sp macro="" textlink="">
          <xdr:nvSpPr>
            <xdr:cNvPr id="9244" name="Drop Dow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2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15</xdr:row>
          <xdr:rowOff>19050</xdr:rowOff>
        </xdr:from>
        <xdr:to>
          <xdr:col>1</xdr:col>
          <xdr:colOff>1022350</xdr:colOff>
          <xdr:row>16</xdr:row>
          <xdr:rowOff>0</xdr:rowOff>
        </xdr:to>
        <xdr:sp macro="" textlink="">
          <xdr:nvSpPr>
            <xdr:cNvPr id="9245" name="Drop Dow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2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16</xdr:row>
          <xdr:rowOff>19050</xdr:rowOff>
        </xdr:from>
        <xdr:to>
          <xdr:col>1</xdr:col>
          <xdr:colOff>1022350</xdr:colOff>
          <xdr:row>17</xdr:row>
          <xdr:rowOff>0</xdr:rowOff>
        </xdr:to>
        <xdr:sp macro="" textlink="">
          <xdr:nvSpPr>
            <xdr:cNvPr id="9246" name="Drop Dow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2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17</xdr:row>
          <xdr:rowOff>19050</xdr:rowOff>
        </xdr:from>
        <xdr:to>
          <xdr:col>1</xdr:col>
          <xdr:colOff>1022350</xdr:colOff>
          <xdr:row>18</xdr:row>
          <xdr:rowOff>0</xdr:rowOff>
        </xdr:to>
        <xdr:sp macro="" textlink="">
          <xdr:nvSpPr>
            <xdr:cNvPr id="9247" name="Drop Dow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2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18</xdr:row>
          <xdr:rowOff>19050</xdr:rowOff>
        </xdr:from>
        <xdr:to>
          <xdr:col>1</xdr:col>
          <xdr:colOff>1022350</xdr:colOff>
          <xdr:row>19</xdr:row>
          <xdr:rowOff>0</xdr:rowOff>
        </xdr:to>
        <xdr:sp macro="" textlink="">
          <xdr:nvSpPr>
            <xdr:cNvPr id="9248" name="Drop Dow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2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19</xdr:row>
          <xdr:rowOff>19050</xdr:rowOff>
        </xdr:from>
        <xdr:to>
          <xdr:col>1</xdr:col>
          <xdr:colOff>1022350</xdr:colOff>
          <xdr:row>20</xdr:row>
          <xdr:rowOff>0</xdr:rowOff>
        </xdr:to>
        <xdr:sp macro="" textlink="">
          <xdr:nvSpPr>
            <xdr:cNvPr id="9249" name="Drop Dow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2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20</xdr:row>
          <xdr:rowOff>19050</xdr:rowOff>
        </xdr:from>
        <xdr:to>
          <xdr:col>1</xdr:col>
          <xdr:colOff>1022350</xdr:colOff>
          <xdr:row>21</xdr:row>
          <xdr:rowOff>0</xdr:rowOff>
        </xdr:to>
        <xdr:sp macro="" textlink="">
          <xdr:nvSpPr>
            <xdr:cNvPr id="9250" name="Drop Dow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2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21</xdr:row>
          <xdr:rowOff>19050</xdr:rowOff>
        </xdr:from>
        <xdr:to>
          <xdr:col>1</xdr:col>
          <xdr:colOff>1022350</xdr:colOff>
          <xdr:row>22</xdr:row>
          <xdr:rowOff>0</xdr:rowOff>
        </xdr:to>
        <xdr:sp macro="" textlink="">
          <xdr:nvSpPr>
            <xdr:cNvPr id="9251" name="Drop Dow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2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22</xdr:row>
          <xdr:rowOff>19050</xdr:rowOff>
        </xdr:from>
        <xdr:to>
          <xdr:col>1</xdr:col>
          <xdr:colOff>1022350</xdr:colOff>
          <xdr:row>23</xdr:row>
          <xdr:rowOff>0</xdr:rowOff>
        </xdr:to>
        <xdr:sp macro="" textlink="">
          <xdr:nvSpPr>
            <xdr:cNvPr id="9252" name="Drop Dow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2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23</xdr:row>
          <xdr:rowOff>19050</xdr:rowOff>
        </xdr:from>
        <xdr:to>
          <xdr:col>1</xdr:col>
          <xdr:colOff>1022350</xdr:colOff>
          <xdr:row>24</xdr:row>
          <xdr:rowOff>0</xdr:rowOff>
        </xdr:to>
        <xdr:sp macro="" textlink="">
          <xdr:nvSpPr>
            <xdr:cNvPr id="9253" name="Drop Dow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2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5</xdr:row>
          <xdr:rowOff>19050</xdr:rowOff>
        </xdr:from>
        <xdr:to>
          <xdr:col>6</xdr:col>
          <xdr:colOff>285750</xdr:colOff>
          <xdr:row>5</xdr:row>
          <xdr:rowOff>209550</xdr:rowOff>
        </xdr:to>
        <xdr:sp macro="" textlink="">
          <xdr:nvSpPr>
            <xdr:cNvPr id="9254" name="Drop Dow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2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3286400</xdr:colOff>
      <xdr:row>10</xdr:row>
      <xdr:rowOff>128000</xdr:rowOff>
    </xdr:to>
    <xdr:grpSp>
      <xdr:nvGrpSpPr>
        <xdr:cNvPr id="5" name="Gruppe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0" y="0"/>
          <a:ext cx="6397900" cy="2096500"/>
          <a:chOff x="12700" y="1244600"/>
          <a:chExt cx="6397900" cy="216000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9" name="Sikringens størrelse [ A ]">
                <a:extLst>
                  <a:ext uri="{FF2B5EF4-FFF2-40B4-BE49-F238E27FC236}">
                    <a16:creationId xmlns:a16="http://schemas.microsoft.com/office/drawing/2014/main" id="{00000000-0008-0000-0300-000013000000}"/>
                  </a:ext>
                </a:extLst>
              </xdr:cNvPr>
              <xdr:cNvGraphicFramePr/>
            </xdr:nvGraphicFramePr>
            <xdr:xfrm>
              <a:off x="12700" y="1244600"/>
              <a:ext cx="3517900" cy="2160000"/>
            </xdr:xfrm>
            <a:graphic>
              <a:graphicData uri="http://schemas.microsoft.com/office/drawing/2010/slicer">
                <sle:slicer xmlns:sle="http://schemas.microsoft.com/office/drawing/2010/slicer" name="Sikringens størrelse [ A ]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4330700" y="0"/>
                <a:ext cx="1828800" cy="261937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0" name="Sikrings typen">
                <a:extLst>
                  <a:ext uri="{FF2B5EF4-FFF2-40B4-BE49-F238E27FC236}">
                    <a16:creationId xmlns:a16="http://schemas.microsoft.com/office/drawing/2014/main" id="{00000000-0008-0000-0300-000014000000}"/>
                  </a:ext>
                </a:extLst>
              </xdr:cNvPr>
              <xdr:cNvGraphicFramePr/>
            </xdr:nvGraphicFramePr>
            <xdr:xfrm>
              <a:off x="3530600" y="1244600"/>
              <a:ext cx="2880000" cy="2160000"/>
            </xdr:xfrm>
            <a:graphic>
              <a:graphicData uri="http://schemas.microsoft.com/office/drawing/2010/slicer">
                <sle:slicer xmlns:sle="http://schemas.microsoft.com/office/drawing/2010/slicer" name="Sikrings typen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159500" y="0"/>
                <a:ext cx="1828800" cy="261937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</xdr:grpSp>
    <xdr:clientData/>
  </xdr:twoCellAnchor>
  <xdr:twoCellAnchor>
    <xdr:from>
      <xdr:col>5</xdr:col>
      <xdr:colOff>431800</xdr:colOff>
      <xdr:row>0</xdr:row>
      <xdr:rowOff>127000</xdr:rowOff>
    </xdr:from>
    <xdr:to>
      <xdr:col>13</xdr:col>
      <xdr:colOff>101600</xdr:colOff>
      <xdr:row>11</xdr:row>
      <xdr:rowOff>64500</xdr:rowOff>
    </xdr:to>
    <xdr:grpSp>
      <xdr:nvGrpSpPr>
        <xdr:cNvPr id="4" name="Gruppe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/>
      </xdr:nvGrpSpPr>
      <xdr:grpSpPr>
        <a:xfrm>
          <a:off x="8540750" y="127000"/>
          <a:ext cx="9074150" cy="2102850"/>
          <a:chOff x="9334500" y="2641600"/>
          <a:chExt cx="9055100" cy="217270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0" name="Standart">
                <a:extLst>
                  <a:ext uri="{FF2B5EF4-FFF2-40B4-BE49-F238E27FC236}">
                    <a16:creationId xmlns:a16="http://schemas.microsoft.com/office/drawing/2014/main" id="{00000000-0008-0000-0300-00000A000000}"/>
                  </a:ext>
                </a:extLst>
              </xdr:cNvPr>
              <xdr:cNvGraphicFramePr/>
            </xdr:nvGraphicFramePr>
            <xdr:xfrm>
              <a:off x="12941300" y="2654300"/>
              <a:ext cx="1828800" cy="2160000"/>
            </xdr:xfrm>
            <a:graphic>
              <a:graphicData uri="http://schemas.microsoft.com/office/drawing/2010/slicer">
                <sle:slicer xmlns:sle="http://schemas.microsoft.com/office/drawing/2010/slicer" name="Standart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2141200" y="139700"/>
                <a:ext cx="1828800" cy="216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1" name="Automatsikrings type">
                <a:extLst>
                  <a:ext uri="{FF2B5EF4-FFF2-40B4-BE49-F238E27FC236}">
                    <a16:creationId xmlns:a16="http://schemas.microsoft.com/office/drawing/2014/main" id="{00000000-0008-0000-0300-00000B000000}"/>
                  </a:ext>
                </a:extLst>
              </xdr:cNvPr>
              <xdr:cNvGraphicFramePr/>
            </xdr:nvGraphicFramePr>
            <xdr:xfrm>
              <a:off x="14757400" y="2641600"/>
              <a:ext cx="1828800" cy="2160000"/>
            </xdr:xfrm>
            <a:graphic>
              <a:graphicData uri="http://schemas.microsoft.com/office/drawing/2010/slicer">
                <sle:slicer xmlns:sle="http://schemas.microsoft.com/office/drawing/2010/slicer" name="Automatsikrings typ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3957300" y="127000"/>
                <a:ext cx="1828800" cy="216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7" name="Mærkestrøm [A]">
                <a:extLst>
                  <a:ext uri="{FF2B5EF4-FFF2-40B4-BE49-F238E27FC236}">
                    <a16:creationId xmlns:a16="http://schemas.microsoft.com/office/drawing/2014/main" id="{00000000-0008-0000-0300-000011000000}"/>
                  </a:ext>
                </a:extLst>
              </xdr:cNvPr>
              <xdr:cNvGraphicFramePr/>
            </xdr:nvGraphicFramePr>
            <xdr:xfrm>
              <a:off x="9334500" y="2654300"/>
              <a:ext cx="1828800" cy="2160000"/>
            </xdr:xfrm>
            <a:graphic>
              <a:graphicData uri="http://schemas.microsoft.com/office/drawing/2010/slicer">
                <sle:slicer xmlns:sle="http://schemas.microsoft.com/office/drawing/2010/slicer" name="Mærkestrøm [A]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534400" y="139700"/>
                <a:ext cx="1828800" cy="216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8" name="Kurve">
                <a:extLst>
                  <a:ext uri="{FF2B5EF4-FFF2-40B4-BE49-F238E27FC236}">
                    <a16:creationId xmlns:a16="http://schemas.microsoft.com/office/drawing/2014/main" id="{00000000-0008-0000-0300-000012000000}"/>
                  </a:ext>
                </a:extLst>
              </xdr:cNvPr>
              <xdr:cNvGraphicFramePr/>
            </xdr:nvGraphicFramePr>
            <xdr:xfrm>
              <a:off x="11112500" y="2654300"/>
              <a:ext cx="1828800" cy="2160000"/>
            </xdr:xfrm>
            <a:graphic>
              <a:graphicData uri="http://schemas.microsoft.com/office/drawing/2010/slicer">
                <sle:slicer xmlns:sle="http://schemas.microsoft.com/office/drawing/2010/slicer" name="Kurv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312400" y="139700"/>
                <a:ext cx="1828800" cy="216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1" name="Poler">
                <a:extLst>
                  <a:ext uri="{FF2B5EF4-FFF2-40B4-BE49-F238E27FC236}">
                    <a16:creationId xmlns:a16="http://schemas.microsoft.com/office/drawing/2014/main" id="{00000000-0008-0000-0300-000015000000}"/>
                  </a:ext>
                </a:extLst>
              </xdr:cNvPr>
              <xdr:cNvGraphicFramePr/>
            </xdr:nvGraphicFramePr>
            <xdr:xfrm>
              <a:off x="16560800" y="2641600"/>
              <a:ext cx="1828800" cy="2160000"/>
            </xdr:xfrm>
            <a:graphic>
              <a:graphicData uri="http://schemas.microsoft.com/office/drawing/2010/slicer">
                <sle:slicer xmlns:sle="http://schemas.microsoft.com/office/drawing/2010/slicer" name="Poler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5760700" y="127000"/>
                <a:ext cx="1828800" cy="216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537369</xdr:colOff>
          <xdr:row>0</xdr:row>
          <xdr:rowOff>-2734291</xdr:rowOff>
        </xdr:from>
        <xdr:to>
          <xdr:col>3</xdr:col>
          <xdr:colOff>537369</xdr:colOff>
          <xdr:row>0</xdr:row>
          <xdr:rowOff>-2734291</xdr:rowOff>
        </xdr:to>
        <xdr:grpSp>
          <xdr:nvGrpSpPr>
            <xdr:cNvPr id="17" name="Grupper 16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GrpSpPr/>
          </xdr:nvGrpSpPr>
          <xdr:grpSpPr>
            <a:xfrm>
              <a:off x="4798219" y="-2734291"/>
              <a:ext cx="0" cy="0"/>
              <a:chOff x="4798219" y="-2734291"/>
              <a:chExt cx="0" cy="0"/>
            </a:xfrm>
          </xdr:grpSpPr>
        </xdr:grpSp>
        <xdr:clientData/>
      </xdr:twoCellAnchor>
    </mc:Choice>
    <mc:Fallback/>
  </mc:AlternateContent>
  <xdr:twoCellAnchor>
    <xdr:from>
      <xdr:col>0</xdr:col>
      <xdr:colOff>25400</xdr:colOff>
      <xdr:row>0</xdr:row>
      <xdr:rowOff>0</xdr:rowOff>
    </xdr:from>
    <xdr:to>
      <xdr:col>7</xdr:col>
      <xdr:colOff>38100</xdr:colOff>
      <xdr:row>23</xdr:row>
      <xdr:rowOff>6400</xdr:rowOff>
    </xdr:to>
    <xdr:grpSp>
      <xdr:nvGrpSpPr>
        <xdr:cNvPr id="2" name="Gruppe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5400" y="0"/>
          <a:ext cx="8089900" cy="4533950"/>
          <a:chOff x="6604000" y="3390900"/>
          <a:chExt cx="8064500" cy="468000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7" name="Antal ledere">
                <a:extLst>
                  <a:ext uri="{FF2B5EF4-FFF2-40B4-BE49-F238E27FC236}">
                    <a16:creationId xmlns:a16="http://schemas.microsoft.com/office/drawing/2014/main" id="{00000000-0008-0000-0400-000007000000}"/>
                  </a:ext>
                </a:extLst>
              </xdr:cNvPr>
              <xdr:cNvGraphicFramePr/>
            </xdr:nvGraphicFramePr>
            <xdr:xfrm>
              <a:off x="6604000" y="5727700"/>
              <a:ext cx="1828800" cy="2340000"/>
            </xdr:xfrm>
            <a:graphic>
              <a:graphicData uri="http://schemas.microsoft.com/office/drawing/2010/slicer">
                <sle:slicer xmlns:sle="http://schemas.microsoft.com/office/drawing/2010/slicer" name="Antal leder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5400" y="2336800"/>
                <a:ext cx="1828800" cy="234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8" name="Leder type">
                <a:extLst>
                  <a:ext uri="{FF2B5EF4-FFF2-40B4-BE49-F238E27FC236}">
                    <a16:creationId xmlns:a16="http://schemas.microsoft.com/office/drawing/2014/main" id="{00000000-0008-0000-0400-000008000000}"/>
                  </a:ext>
                </a:extLst>
              </xdr:cNvPr>
              <xdr:cNvGraphicFramePr/>
            </xdr:nvGraphicFramePr>
            <xdr:xfrm>
              <a:off x="6604000" y="3390900"/>
              <a:ext cx="1828800" cy="2340000"/>
            </xdr:xfrm>
            <a:graphic>
              <a:graphicData uri="http://schemas.microsoft.com/office/drawing/2010/slicer">
                <sle:slicer xmlns:sle="http://schemas.microsoft.com/office/drawing/2010/slicer" name="Leder typ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5400" y="0"/>
                <a:ext cx="1828800" cy="234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9" name="Tværsnit">
                <a:extLst>
                  <a:ext uri="{FF2B5EF4-FFF2-40B4-BE49-F238E27FC236}">
                    <a16:creationId xmlns:a16="http://schemas.microsoft.com/office/drawing/2014/main" id="{00000000-0008-0000-0400-000009000000}"/>
                  </a:ext>
                </a:extLst>
              </xdr:cNvPr>
              <xdr:cNvGraphicFramePr/>
            </xdr:nvGraphicFramePr>
            <xdr:xfrm>
              <a:off x="8432800" y="3390900"/>
              <a:ext cx="4320000" cy="4680000"/>
            </xdr:xfrm>
            <a:graphic>
              <a:graphicData uri="http://schemas.microsoft.com/office/drawing/2010/slicer">
                <sle:slicer xmlns:sle="http://schemas.microsoft.com/office/drawing/2010/slicer" name="Tværsnit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854200" y="0"/>
                <a:ext cx="4320000" cy="468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0" name="Kabel type">
                <a:extLst>
                  <a:ext uri="{FF2B5EF4-FFF2-40B4-BE49-F238E27FC236}">
                    <a16:creationId xmlns:a16="http://schemas.microsoft.com/office/drawing/2014/main" id="{00000000-0008-0000-0400-00000A000000}"/>
                  </a:ext>
                </a:extLst>
              </xdr:cNvPr>
              <xdr:cNvGraphicFramePr/>
            </xdr:nvGraphicFramePr>
            <xdr:xfrm>
              <a:off x="12763500" y="3390900"/>
              <a:ext cx="1905000" cy="4680000"/>
            </xdr:xfrm>
            <a:graphic>
              <a:graphicData uri="http://schemas.microsoft.com/office/drawing/2010/slicer">
                <sle:slicer xmlns:sle="http://schemas.microsoft.com/office/drawing/2010/slicer" name="Kabel typ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184900" y="0"/>
                <a:ext cx="1905000" cy="468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-bruger" refreshedDate="42712.543923726851" createdVersion="4" refreshedVersion="4" minRefreshableVersion="3" recordCount="25" xr:uid="{00000000-000A-0000-FFFF-FFFF00000000}">
  <cacheSource type="worksheet">
    <worksheetSource ref="X156:AB181" sheet="Lister og genveje"/>
  </cacheSource>
  <cacheFields count="5">
    <cacheField name="Sikringens størrelse [ A ]" numFmtId="0">
      <sharedItems containsSemiMixedTypes="0" containsString="0" containsNumber="1" containsInteger="1" minValue="2" maxValue="630" count="25">
        <n v="2"/>
        <n v="4"/>
        <n v="6"/>
        <n v="10"/>
        <n v="13"/>
        <n v="16"/>
        <n v="20"/>
        <n v="25"/>
        <n v="35"/>
        <n v="50"/>
        <n v="63"/>
        <n v="80"/>
        <n v="100"/>
        <n v="125"/>
        <n v="160"/>
        <n v="200"/>
        <n v="224"/>
        <n v="250"/>
        <n v="300"/>
        <n v="315"/>
        <n v="355"/>
        <n v="400"/>
        <n v="425"/>
        <n v="500"/>
        <n v="630"/>
      </sharedItems>
    </cacheField>
    <cacheField name="Sikrings typen" numFmtId="0">
      <sharedItems count="6">
        <s v="D01"/>
        <s v="D02"/>
        <s v="NH 00 / NH 0"/>
        <s v="NH 1"/>
        <s v="NH 2"/>
        <s v="NH 3"/>
      </sharedItems>
    </cacheField>
    <cacheField name="Strøm i 5 S. [ A ]" numFmtId="0">
      <sharedItems containsSemiMixedTypes="0" containsString="0" containsNumber="1" minValue="5.2" maxValue="4600" count="23">
        <n v="5.2"/>
        <n v="12"/>
        <n v="21"/>
        <n v="36"/>
        <n v="30"/>
        <n v="69"/>
        <n v="91"/>
        <n v="160"/>
        <n v="240"/>
        <n v="280"/>
        <n v="345"/>
        <n v="460"/>
        <n v="590"/>
        <n v="740"/>
        <n v="1400"/>
        <n v="1500"/>
        <n v="1800"/>
        <n v="1850"/>
        <n v="2100"/>
        <n v="2700"/>
        <n v="2950"/>
        <n v="3650"/>
        <n v="4600"/>
      </sharedItems>
    </cacheField>
    <cacheField name="Sikrings holder" numFmtId="0">
      <sharedItems count="6">
        <s v="Gruppe afbryder"/>
        <s v="Tytan afbryder ( 2 )"/>
        <s v="INFD 160"/>
        <s v="INFD 250"/>
        <s v="INFD 400"/>
        <s v="INFD 630"/>
      </sharedItems>
    </cacheField>
    <cacheField name="Max kortslutnings størm for sikringsholderen" numFmtId="0">
      <sharedItems count="7">
        <s v="50 kA"/>
        <s v="22 kA"/>
        <s v="40 kA"/>
        <s v="47 kA"/>
        <s v="48 kA"/>
        <s v="49 kA"/>
        <s v="75 kA"/>
      </sharedItems>
    </cacheField>
  </cacheFields>
  <extLst>
    <ext xmlns:x14="http://schemas.microsoft.com/office/spreadsheetml/2009/9/main" uri="{725AE2AE-9491-48be-B2B4-4EB974FC3084}">
      <x14:pivotCacheDefinition pivotCacheId="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-bruger" refreshedDate="42718.468963657404" createdVersion="4" refreshedVersion="4" minRefreshableVersion="3" recordCount="750" xr:uid="{00000000-000A-0000-FFFF-FFFF01000000}">
  <cacheSource type="worksheet">
    <worksheetSource name="Tabel1"/>
  </cacheSource>
  <cacheFields count="9">
    <cacheField name="Standart" numFmtId="0">
      <sharedItems count="2">
        <s v="IEC 947-2"/>
        <s v="EN60898"/>
      </sharedItems>
    </cacheField>
    <cacheField name="Automatsikring" numFmtId="0">
      <sharedItems count="5">
        <s v="C60N"/>
        <s v="C120N"/>
        <s v="C120H"/>
        <s v="NG125N"/>
        <s v="C60H"/>
      </sharedItems>
    </cacheField>
    <cacheField name="mærkestrøm" numFmtId="0">
      <sharedItems containsSemiMixedTypes="0" containsString="0" containsNumber="1" minValue="0.5" maxValue="125" count="18">
        <n v="0.5"/>
        <n v="1"/>
        <n v="2"/>
        <n v="3"/>
        <n v="4"/>
        <n v="6"/>
        <n v="10"/>
        <n v="13"/>
        <n v="16"/>
        <n v="20"/>
        <n v="25"/>
        <n v="32"/>
        <n v="40"/>
        <n v="50"/>
        <n v="63"/>
        <n v="80"/>
        <n v="100"/>
        <n v="125"/>
      </sharedItems>
    </cacheField>
    <cacheField name="Kurve" numFmtId="0">
      <sharedItems count="3">
        <s v="B"/>
        <s v="C"/>
        <s v="D"/>
      </sharedItems>
    </cacheField>
    <cacheField name="Poler" numFmtId="0">
      <sharedItems count="2">
        <s v="1 Pol"/>
        <s v="Flere poler"/>
      </sharedItems>
    </cacheField>
    <cacheField name="Icu [ kA ]" numFmtId="0">
      <sharedItems containsSemiMixedTypes="0" containsString="0" containsNumber="1" minValue="3" maxValue="30" count="6">
        <n v="3"/>
        <n v="10"/>
        <n v="15"/>
        <n v="30"/>
        <n v="4.5"/>
        <n v="25"/>
      </sharedItems>
    </cacheField>
    <cacheField name="Isd min" numFmtId="0">
      <sharedItems containsSemiMixedTypes="0" containsString="0" containsNumber="1" minValue="3" maxValue="10" count="5">
        <n v="3.2"/>
        <n v="7"/>
        <n v="10"/>
        <n v="3"/>
        <n v="5"/>
      </sharedItems>
    </cacheField>
    <cacheField name="Isd max" numFmtId="0">
      <sharedItems containsSemiMixedTypes="0" containsString="0" containsNumber="1" minValue="4.8" maxValue="14" count="4">
        <n v="4.8"/>
        <n v="10"/>
        <n v="14"/>
        <n v="5"/>
      </sharedItems>
    </cacheField>
    <cacheField name="Ics" numFmtId="0">
      <sharedItems containsSemiMixedTypes="0" containsString="0" containsNumber="1" minValue="0.5" maxValue="0.75" count="2">
        <n v="0.75"/>
        <n v="0.5"/>
      </sharedItems>
    </cacheField>
  </cacheFields>
  <extLst>
    <ext xmlns:x14="http://schemas.microsoft.com/office/spreadsheetml/2009/9/main" uri="{725AE2AE-9491-48be-B2B4-4EB974FC3084}">
      <x14:pivotCacheDefinition pivotCacheId="1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ger" refreshedDate="43181.847415856479" createdVersion="4" refreshedVersion="4" minRefreshableVersion="3" recordCount="121" xr:uid="{00000000-000A-0000-FFFF-FFFF02000000}">
  <cacheSource type="worksheet">
    <worksheetSource name="Tabel3"/>
  </cacheSource>
  <cacheFields count="6">
    <cacheField name="Antal ledere" numFmtId="0">
      <sharedItems containsBlank="1" count="8">
        <s v="5 G"/>
        <s v="4 X"/>
        <s v="3 X"/>
        <s v="3 G"/>
        <s v="2 X"/>
        <s v="4 G"/>
        <s v="1 G"/>
        <m/>
      </sharedItems>
    </cacheField>
    <cacheField name="Leder type" numFmtId="0">
      <sharedItems containsBlank="1" count="5">
        <s v="Kobber kabel"/>
        <s v="Aluminium kabel"/>
        <s v="Tillednings kabel"/>
        <s v="Separat PE leder"/>
        <m/>
      </sharedItems>
    </cacheField>
    <cacheField name="Tværsnit" numFmtId="0">
      <sharedItems containsBlank="1" containsMixedTypes="1" containsNumber="1" minValue="0.75" maxValue="300" count="31">
        <n v="1.5"/>
        <n v="2.5"/>
        <n v="4"/>
        <n v="6"/>
        <n v="10"/>
        <n v="16"/>
        <n v="25"/>
        <n v="35"/>
        <n v="50"/>
        <n v="70"/>
        <n v="95"/>
        <n v="120"/>
        <n v="150"/>
        <n v="185"/>
        <n v="240"/>
        <s v="70 + 35"/>
        <s v="95 + 50"/>
        <s v="120 + 70"/>
        <s v="185 + 95"/>
        <n v="300"/>
        <s v="50 + 35"/>
        <s v="70 + 25"/>
        <s v="95 + 35"/>
        <s v="120 + 50"/>
        <s v="150 + 50"/>
        <s v="185 + 70"/>
        <s v="240 + 95"/>
        <s v="50 + 16"/>
        <n v="0.75"/>
        <n v="1"/>
        <m/>
      </sharedItems>
    </cacheField>
    <cacheField name="Kabel type" numFmtId="0">
      <sharedItems containsBlank="1" count="15">
        <s v="NOIKLX"/>
        <s v="NOIKX-Flex"/>
        <s v="NOSP-CU"/>
        <s v="NOIK-AL-M"/>
        <s v="NOIK-AL-S"/>
        <s v="NOSP-AL"/>
        <s v="H03VV-F"/>
        <s v="H05VV-F"/>
        <s v="H07RR-F"/>
        <s v="H05RR-F"/>
        <s v="H07RN-F"/>
        <s v="PVL®  - H07V-R"/>
        <s v="NOIK®-AL"/>
        <s v="NOIKX®-Flex"/>
        <m/>
      </sharedItems>
    </cacheField>
    <cacheField name="R" numFmtId="0">
      <sharedItems containsString="0" containsBlank="1" containsNumber="1" minValue="7.8700000000000006E-2" maxValue="26" count="32">
        <n v="12.1"/>
        <n v="7.41"/>
        <n v="4.6100000000000003"/>
        <n v="3.08"/>
        <n v="1.83"/>
        <n v="1.1499999999999999"/>
        <n v="0.72699999999999998"/>
        <n v="0.52500000000000002"/>
        <n v="0.38800000000000001"/>
        <n v="0.26900000000000002"/>
        <n v="0.19400000000000001"/>
        <n v="0.155"/>
        <n v="0.126"/>
        <n v="0.1017"/>
        <n v="7.8700000000000006E-2"/>
        <n v="1.91"/>
        <n v="1.2"/>
        <n v="0.64100000000000001"/>
        <n v="0.32100000000000001"/>
        <n v="0.20699999999999999"/>
        <n v="0.127"/>
        <n v="0.44400000000000001"/>
        <n v="0.253"/>
        <n v="0.16600000000000001"/>
        <n v="0.10299999999999999"/>
        <n v="26"/>
        <n v="19.5"/>
        <n v="13.3"/>
        <n v="7.98"/>
        <n v="4.95"/>
        <m/>
        <n v="0.78700000000000003" u="1"/>
      </sharedItems>
    </cacheField>
    <cacheField name="X" numFmtId="0">
      <sharedItems containsString="0" containsBlank="1" containsNumber="1" minValue="6.9000000000000006E-2" maxValue="3.08" count="49">
        <n v="0.113"/>
        <n v="0.105"/>
        <n v="9.9000000000000005E-2"/>
        <n v="9.7000000000000003E-2"/>
        <n v="9.1999999999999998E-2"/>
        <n v="8.7999999999999995E-2"/>
        <n v="9.6000000000000002E-2"/>
        <n v="9.4E-2"/>
        <n v="8.8999999999999996E-2"/>
        <n v="8.5000000000000006E-2"/>
        <n v="8.5999999999999993E-2"/>
        <n v="8.2000000000000003E-2"/>
        <n v="8.4000000000000005E-2"/>
        <n v="8.1000000000000003E-2"/>
        <n v="8.3000000000000004E-2"/>
        <n v="7.9000000000000001E-2"/>
        <n v="7.6999999999999999E-2"/>
        <n v="6.9000000000000006E-2"/>
        <n v="7.8E-2"/>
        <n v="7.1999999999999995E-2"/>
        <n v="8.6999999999999994E-2"/>
        <n v="0.08"/>
        <n v="7.2999999999999995E-2"/>
        <n v="7.0000000000000007E-2"/>
        <n v="7.0999999999999994E-2"/>
        <n v="0.111"/>
        <n v="0.107"/>
        <n v="0.114"/>
        <n v="0.13"/>
        <n v="0.11799999999999999"/>
        <n v="0.13100000000000001"/>
        <n v="0.126"/>
        <n v="0.128"/>
        <n v="0.124"/>
        <n v="0.10299999999999999"/>
        <n v="0.121"/>
        <n v="3.08"/>
        <n v="1.83"/>
        <n v="1.1499999999999999"/>
        <n v="0.72699999999999998"/>
        <n v="0.52500000000000002"/>
        <n v="0.38800000000000001"/>
        <n v="0.26900000000000002"/>
        <n v="0.19400000000000001"/>
        <n v="0.155"/>
        <n v="0.1017"/>
        <n v="7.8700000000000006E-2"/>
        <m/>
        <n v="0.78700000000000003" u="1"/>
      </sharedItems>
    </cacheField>
  </cacheFields>
  <extLst>
    <ext xmlns:x14="http://schemas.microsoft.com/office/spreadsheetml/2009/9/main" uri="{725AE2AE-9491-48be-B2B4-4EB974FC3084}">
      <x14:pivotCacheDefinition pivotCacheId="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x v="0"/>
    <x v="0"/>
    <x v="0"/>
    <x v="0"/>
    <x v="0"/>
  </r>
  <r>
    <x v="1"/>
    <x v="0"/>
    <x v="1"/>
    <x v="0"/>
    <x v="0"/>
  </r>
  <r>
    <x v="2"/>
    <x v="0"/>
    <x v="2"/>
    <x v="0"/>
    <x v="0"/>
  </r>
  <r>
    <x v="3"/>
    <x v="0"/>
    <x v="3"/>
    <x v="0"/>
    <x v="0"/>
  </r>
  <r>
    <x v="4"/>
    <x v="0"/>
    <x v="3"/>
    <x v="0"/>
    <x v="0"/>
  </r>
  <r>
    <x v="5"/>
    <x v="0"/>
    <x v="4"/>
    <x v="0"/>
    <x v="0"/>
  </r>
  <r>
    <x v="6"/>
    <x v="1"/>
    <x v="5"/>
    <x v="1"/>
    <x v="0"/>
  </r>
  <r>
    <x v="7"/>
    <x v="1"/>
    <x v="6"/>
    <x v="1"/>
    <x v="0"/>
  </r>
  <r>
    <x v="8"/>
    <x v="1"/>
    <x v="7"/>
    <x v="1"/>
    <x v="0"/>
  </r>
  <r>
    <x v="9"/>
    <x v="1"/>
    <x v="8"/>
    <x v="1"/>
    <x v="0"/>
  </r>
  <r>
    <x v="10"/>
    <x v="1"/>
    <x v="9"/>
    <x v="1"/>
    <x v="0"/>
  </r>
  <r>
    <x v="11"/>
    <x v="2"/>
    <x v="10"/>
    <x v="2"/>
    <x v="1"/>
  </r>
  <r>
    <x v="12"/>
    <x v="2"/>
    <x v="11"/>
    <x v="2"/>
    <x v="1"/>
  </r>
  <r>
    <x v="13"/>
    <x v="2"/>
    <x v="12"/>
    <x v="2"/>
    <x v="1"/>
  </r>
  <r>
    <x v="14"/>
    <x v="2"/>
    <x v="13"/>
    <x v="2"/>
    <x v="1"/>
  </r>
  <r>
    <x v="15"/>
    <x v="3"/>
    <x v="14"/>
    <x v="3"/>
    <x v="2"/>
  </r>
  <r>
    <x v="16"/>
    <x v="3"/>
    <x v="15"/>
    <x v="3"/>
    <x v="2"/>
  </r>
  <r>
    <x v="17"/>
    <x v="3"/>
    <x v="16"/>
    <x v="3"/>
    <x v="2"/>
  </r>
  <r>
    <x v="18"/>
    <x v="4"/>
    <x v="17"/>
    <x v="4"/>
    <x v="3"/>
  </r>
  <r>
    <x v="19"/>
    <x v="4"/>
    <x v="17"/>
    <x v="4"/>
    <x v="4"/>
  </r>
  <r>
    <x v="20"/>
    <x v="4"/>
    <x v="18"/>
    <x v="4"/>
    <x v="5"/>
  </r>
  <r>
    <x v="21"/>
    <x v="4"/>
    <x v="19"/>
    <x v="4"/>
    <x v="0"/>
  </r>
  <r>
    <x v="22"/>
    <x v="5"/>
    <x v="20"/>
    <x v="5"/>
    <x v="6"/>
  </r>
  <r>
    <x v="23"/>
    <x v="5"/>
    <x v="21"/>
    <x v="5"/>
    <x v="6"/>
  </r>
  <r>
    <x v="24"/>
    <x v="5"/>
    <x v="22"/>
    <x v="5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50">
  <r>
    <x v="0"/>
    <x v="0"/>
    <x v="0"/>
    <x v="0"/>
    <x v="0"/>
    <x v="0"/>
    <x v="0"/>
    <x v="0"/>
    <x v="0"/>
  </r>
  <r>
    <x v="0"/>
    <x v="0"/>
    <x v="1"/>
    <x v="0"/>
    <x v="0"/>
    <x v="0"/>
    <x v="0"/>
    <x v="0"/>
    <x v="0"/>
  </r>
  <r>
    <x v="0"/>
    <x v="0"/>
    <x v="2"/>
    <x v="0"/>
    <x v="0"/>
    <x v="0"/>
    <x v="0"/>
    <x v="0"/>
    <x v="0"/>
  </r>
  <r>
    <x v="0"/>
    <x v="0"/>
    <x v="3"/>
    <x v="0"/>
    <x v="0"/>
    <x v="0"/>
    <x v="0"/>
    <x v="0"/>
    <x v="0"/>
  </r>
  <r>
    <x v="0"/>
    <x v="0"/>
    <x v="4"/>
    <x v="0"/>
    <x v="0"/>
    <x v="0"/>
    <x v="0"/>
    <x v="0"/>
    <x v="0"/>
  </r>
  <r>
    <x v="0"/>
    <x v="0"/>
    <x v="5"/>
    <x v="0"/>
    <x v="0"/>
    <x v="0"/>
    <x v="0"/>
    <x v="0"/>
    <x v="0"/>
  </r>
  <r>
    <x v="0"/>
    <x v="0"/>
    <x v="6"/>
    <x v="0"/>
    <x v="0"/>
    <x v="0"/>
    <x v="0"/>
    <x v="0"/>
    <x v="0"/>
  </r>
  <r>
    <x v="0"/>
    <x v="0"/>
    <x v="7"/>
    <x v="0"/>
    <x v="0"/>
    <x v="0"/>
    <x v="0"/>
    <x v="0"/>
    <x v="0"/>
  </r>
  <r>
    <x v="0"/>
    <x v="0"/>
    <x v="8"/>
    <x v="0"/>
    <x v="0"/>
    <x v="0"/>
    <x v="0"/>
    <x v="0"/>
    <x v="0"/>
  </r>
  <r>
    <x v="0"/>
    <x v="0"/>
    <x v="9"/>
    <x v="0"/>
    <x v="0"/>
    <x v="0"/>
    <x v="0"/>
    <x v="0"/>
    <x v="0"/>
  </r>
  <r>
    <x v="0"/>
    <x v="0"/>
    <x v="10"/>
    <x v="0"/>
    <x v="0"/>
    <x v="0"/>
    <x v="0"/>
    <x v="0"/>
    <x v="0"/>
  </r>
  <r>
    <x v="0"/>
    <x v="0"/>
    <x v="11"/>
    <x v="0"/>
    <x v="0"/>
    <x v="0"/>
    <x v="0"/>
    <x v="0"/>
    <x v="0"/>
  </r>
  <r>
    <x v="0"/>
    <x v="0"/>
    <x v="12"/>
    <x v="0"/>
    <x v="0"/>
    <x v="0"/>
    <x v="0"/>
    <x v="0"/>
    <x v="0"/>
  </r>
  <r>
    <x v="0"/>
    <x v="0"/>
    <x v="13"/>
    <x v="0"/>
    <x v="0"/>
    <x v="0"/>
    <x v="0"/>
    <x v="0"/>
    <x v="0"/>
  </r>
  <r>
    <x v="0"/>
    <x v="0"/>
    <x v="14"/>
    <x v="0"/>
    <x v="0"/>
    <x v="0"/>
    <x v="0"/>
    <x v="0"/>
    <x v="0"/>
  </r>
  <r>
    <x v="0"/>
    <x v="0"/>
    <x v="1"/>
    <x v="0"/>
    <x v="1"/>
    <x v="1"/>
    <x v="0"/>
    <x v="0"/>
    <x v="0"/>
  </r>
  <r>
    <x v="0"/>
    <x v="0"/>
    <x v="2"/>
    <x v="0"/>
    <x v="1"/>
    <x v="1"/>
    <x v="0"/>
    <x v="0"/>
    <x v="0"/>
  </r>
  <r>
    <x v="0"/>
    <x v="0"/>
    <x v="3"/>
    <x v="0"/>
    <x v="1"/>
    <x v="1"/>
    <x v="0"/>
    <x v="0"/>
    <x v="0"/>
  </r>
  <r>
    <x v="0"/>
    <x v="0"/>
    <x v="4"/>
    <x v="0"/>
    <x v="1"/>
    <x v="1"/>
    <x v="0"/>
    <x v="0"/>
    <x v="0"/>
  </r>
  <r>
    <x v="0"/>
    <x v="0"/>
    <x v="5"/>
    <x v="0"/>
    <x v="1"/>
    <x v="1"/>
    <x v="0"/>
    <x v="0"/>
    <x v="0"/>
  </r>
  <r>
    <x v="0"/>
    <x v="0"/>
    <x v="6"/>
    <x v="0"/>
    <x v="1"/>
    <x v="1"/>
    <x v="0"/>
    <x v="0"/>
    <x v="0"/>
  </r>
  <r>
    <x v="0"/>
    <x v="0"/>
    <x v="7"/>
    <x v="0"/>
    <x v="1"/>
    <x v="1"/>
    <x v="0"/>
    <x v="0"/>
    <x v="0"/>
  </r>
  <r>
    <x v="0"/>
    <x v="0"/>
    <x v="8"/>
    <x v="0"/>
    <x v="1"/>
    <x v="1"/>
    <x v="0"/>
    <x v="0"/>
    <x v="0"/>
  </r>
  <r>
    <x v="0"/>
    <x v="0"/>
    <x v="9"/>
    <x v="0"/>
    <x v="1"/>
    <x v="1"/>
    <x v="0"/>
    <x v="0"/>
    <x v="0"/>
  </r>
  <r>
    <x v="0"/>
    <x v="0"/>
    <x v="10"/>
    <x v="0"/>
    <x v="1"/>
    <x v="1"/>
    <x v="0"/>
    <x v="0"/>
    <x v="0"/>
  </r>
  <r>
    <x v="0"/>
    <x v="0"/>
    <x v="11"/>
    <x v="0"/>
    <x v="1"/>
    <x v="1"/>
    <x v="0"/>
    <x v="0"/>
    <x v="0"/>
  </r>
  <r>
    <x v="0"/>
    <x v="0"/>
    <x v="12"/>
    <x v="0"/>
    <x v="1"/>
    <x v="1"/>
    <x v="0"/>
    <x v="0"/>
    <x v="0"/>
  </r>
  <r>
    <x v="0"/>
    <x v="0"/>
    <x v="13"/>
    <x v="0"/>
    <x v="1"/>
    <x v="1"/>
    <x v="0"/>
    <x v="0"/>
    <x v="0"/>
  </r>
  <r>
    <x v="0"/>
    <x v="0"/>
    <x v="14"/>
    <x v="0"/>
    <x v="1"/>
    <x v="1"/>
    <x v="0"/>
    <x v="0"/>
    <x v="0"/>
  </r>
  <r>
    <x v="0"/>
    <x v="1"/>
    <x v="14"/>
    <x v="0"/>
    <x v="0"/>
    <x v="0"/>
    <x v="0"/>
    <x v="0"/>
    <x v="0"/>
  </r>
  <r>
    <x v="0"/>
    <x v="1"/>
    <x v="15"/>
    <x v="0"/>
    <x v="0"/>
    <x v="0"/>
    <x v="0"/>
    <x v="0"/>
    <x v="0"/>
  </r>
  <r>
    <x v="0"/>
    <x v="1"/>
    <x v="16"/>
    <x v="0"/>
    <x v="0"/>
    <x v="0"/>
    <x v="0"/>
    <x v="0"/>
    <x v="0"/>
  </r>
  <r>
    <x v="0"/>
    <x v="1"/>
    <x v="17"/>
    <x v="0"/>
    <x v="0"/>
    <x v="0"/>
    <x v="0"/>
    <x v="0"/>
    <x v="0"/>
  </r>
  <r>
    <x v="0"/>
    <x v="1"/>
    <x v="14"/>
    <x v="0"/>
    <x v="1"/>
    <x v="1"/>
    <x v="0"/>
    <x v="0"/>
    <x v="0"/>
  </r>
  <r>
    <x v="0"/>
    <x v="1"/>
    <x v="15"/>
    <x v="0"/>
    <x v="1"/>
    <x v="1"/>
    <x v="0"/>
    <x v="0"/>
    <x v="0"/>
  </r>
  <r>
    <x v="0"/>
    <x v="1"/>
    <x v="16"/>
    <x v="0"/>
    <x v="1"/>
    <x v="1"/>
    <x v="0"/>
    <x v="0"/>
    <x v="0"/>
  </r>
  <r>
    <x v="0"/>
    <x v="1"/>
    <x v="17"/>
    <x v="0"/>
    <x v="1"/>
    <x v="1"/>
    <x v="0"/>
    <x v="0"/>
    <x v="0"/>
  </r>
  <r>
    <x v="0"/>
    <x v="2"/>
    <x v="1"/>
    <x v="0"/>
    <x v="0"/>
    <x v="2"/>
    <x v="0"/>
    <x v="0"/>
    <x v="1"/>
  </r>
  <r>
    <x v="0"/>
    <x v="2"/>
    <x v="2"/>
    <x v="0"/>
    <x v="0"/>
    <x v="2"/>
    <x v="0"/>
    <x v="0"/>
    <x v="1"/>
  </r>
  <r>
    <x v="0"/>
    <x v="2"/>
    <x v="3"/>
    <x v="0"/>
    <x v="0"/>
    <x v="2"/>
    <x v="0"/>
    <x v="0"/>
    <x v="1"/>
  </r>
  <r>
    <x v="0"/>
    <x v="2"/>
    <x v="4"/>
    <x v="0"/>
    <x v="0"/>
    <x v="2"/>
    <x v="0"/>
    <x v="0"/>
    <x v="1"/>
  </r>
  <r>
    <x v="0"/>
    <x v="2"/>
    <x v="5"/>
    <x v="0"/>
    <x v="0"/>
    <x v="2"/>
    <x v="0"/>
    <x v="0"/>
    <x v="1"/>
  </r>
  <r>
    <x v="0"/>
    <x v="2"/>
    <x v="6"/>
    <x v="0"/>
    <x v="0"/>
    <x v="2"/>
    <x v="0"/>
    <x v="0"/>
    <x v="1"/>
  </r>
  <r>
    <x v="0"/>
    <x v="2"/>
    <x v="7"/>
    <x v="0"/>
    <x v="0"/>
    <x v="2"/>
    <x v="0"/>
    <x v="0"/>
    <x v="1"/>
  </r>
  <r>
    <x v="0"/>
    <x v="2"/>
    <x v="8"/>
    <x v="0"/>
    <x v="0"/>
    <x v="2"/>
    <x v="0"/>
    <x v="0"/>
    <x v="1"/>
  </r>
  <r>
    <x v="0"/>
    <x v="2"/>
    <x v="9"/>
    <x v="0"/>
    <x v="0"/>
    <x v="2"/>
    <x v="0"/>
    <x v="0"/>
    <x v="1"/>
  </r>
  <r>
    <x v="0"/>
    <x v="2"/>
    <x v="10"/>
    <x v="0"/>
    <x v="0"/>
    <x v="2"/>
    <x v="0"/>
    <x v="0"/>
    <x v="1"/>
  </r>
  <r>
    <x v="0"/>
    <x v="2"/>
    <x v="11"/>
    <x v="0"/>
    <x v="0"/>
    <x v="2"/>
    <x v="0"/>
    <x v="0"/>
    <x v="1"/>
  </r>
  <r>
    <x v="0"/>
    <x v="2"/>
    <x v="12"/>
    <x v="0"/>
    <x v="0"/>
    <x v="2"/>
    <x v="0"/>
    <x v="0"/>
    <x v="1"/>
  </r>
  <r>
    <x v="0"/>
    <x v="2"/>
    <x v="13"/>
    <x v="0"/>
    <x v="0"/>
    <x v="2"/>
    <x v="0"/>
    <x v="0"/>
    <x v="1"/>
  </r>
  <r>
    <x v="0"/>
    <x v="2"/>
    <x v="14"/>
    <x v="0"/>
    <x v="0"/>
    <x v="2"/>
    <x v="0"/>
    <x v="0"/>
    <x v="1"/>
  </r>
  <r>
    <x v="0"/>
    <x v="2"/>
    <x v="15"/>
    <x v="0"/>
    <x v="0"/>
    <x v="2"/>
    <x v="0"/>
    <x v="0"/>
    <x v="1"/>
  </r>
  <r>
    <x v="0"/>
    <x v="2"/>
    <x v="16"/>
    <x v="0"/>
    <x v="0"/>
    <x v="2"/>
    <x v="0"/>
    <x v="0"/>
    <x v="1"/>
  </r>
  <r>
    <x v="0"/>
    <x v="2"/>
    <x v="17"/>
    <x v="0"/>
    <x v="0"/>
    <x v="2"/>
    <x v="0"/>
    <x v="0"/>
    <x v="1"/>
  </r>
  <r>
    <x v="0"/>
    <x v="2"/>
    <x v="1"/>
    <x v="0"/>
    <x v="1"/>
    <x v="3"/>
    <x v="0"/>
    <x v="0"/>
    <x v="1"/>
  </r>
  <r>
    <x v="0"/>
    <x v="2"/>
    <x v="2"/>
    <x v="0"/>
    <x v="1"/>
    <x v="3"/>
    <x v="0"/>
    <x v="0"/>
    <x v="1"/>
  </r>
  <r>
    <x v="0"/>
    <x v="2"/>
    <x v="3"/>
    <x v="0"/>
    <x v="1"/>
    <x v="3"/>
    <x v="0"/>
    <x v="0"/>
    <x v="1"/>
  </r>
  <r>
    <x v="0"/>
    <x v="2"/>
    <x v="4"/>
    <x v="0"/>
    <x v="1"/>
    <x v="3"/>
    <x v="0"/>
    <x v="0"/>
    <x v="1"/>
  </r>
  <r>
    <x v="0"/>
    <x v="2"/>
    <x v="5"/>
    <x v="0"/>
    <x v="1"/>
    <x v="3"/>
    <x v="0"/>
    <x v="0"/>
    <x v="1"/>
  </r>
  <r>
    <x v="0"/>
    <x v="2"/>
    <x v="6"/>
    <x v="0"/>
    <x v="1"/>
    <x v="3"/>
    <x v="0"/>
    <x v="0"/>
    <x v="1"/>
  </r>
  <r>
    <x v="0"/>
    <x v="2"/>
    <x v="7"/>
    <x v="0"/>
    <x v="1"/>
    <x v="3"/>
    <x v="0"/>
    <x v="0"/>
    <x v="1"/>
  </r>
  <r>
    <x v="0"/>
    <x v="2"/>
    <x v="8"/>
    <x v="0"/>
    <x v="1"/>
    <x v="3"/>
    <x v="0"/>
    <x v="0"/>
    <x v="1"/>
  </r>
  <r>
    <x v="0"/>
    <x v="2"/>
    <x v="9"/>
    <x v="0"/>
    <x v="1"/>
    <x v="3"/>
    <x v="0"/>
    <x v="0"/>
    <x v="1"/>
  </r>
  <r>
    <x v="0"/>
    <x v="2"/>
    <x v="10"/>
    <x v="0"/>
    <x v="1"/>
    <x v="3"/>
    <x v="0"/>
    <x v="0"/>
    <x v="1"/>
  </r>
  <r>
    <x v="0"/>
    <x v="2"/>
    <x v="11"/>
    <x v="0"/>
    <x v="1"/>
    <x v="3"/>
    <x v="0"/>
    <x v="0"/>
    <x v="1"/>
  </r>
  <r>
    <x v="0"/>
    <x v="2"/>
    <x v="12"/>
    <x v="0"/>
    <x v="1"/>
    <x v="3"/>
    <x v="0"/>
    <x v="0"/>
    <x v="1"/>
  </r>
  <r>
    <x v="0"/>
    <x v="2"/>
    <x v="13"/>
    <x v="0"/>
    <x v="1"/>
    <x v="3"/>
    <x v="0"/>
    <x v="0"/>
    <x v="1"/>
  </r>
  <r>
    <x v="0"/>
    <x v="2"/>
    <x v="14"/>
    <x v="0"/>
    <x v="1"/>
    <x v="3"/>
    <x v="0"/>
    <x v="0"/>
    <x v="1"/>
  </r>
  <r>
    <x v="0"/>
    <x v="2"/>
    <x v="15"/>
    <x v="0"/>
    <x v="1"/>
    <x v="3"/>
    <x v="0"/>
    <x v="0"/>
    <x v="1"/>
  </r>
  <r>
    <x v="0"/>
    <x v="2"/>
    <x v="16"/>
    <x v="0"/>
    <x v="1"/>
    <x v="3"/>
    <x v="0"/>
    <x v="0"/>
    <x v="1"/>
  </r>
  <r>
    <x v="0"/>
    <x v="2"/>
    <x v="17"/>
    <x v="0"/>
    <x v="1"/>
    <x v="3"/>
    <x v="0"/>
    <x v="0"/>
    <x v="1"/>
  </r>
  <r>
    <x v="0"/>
    <x v="3"/>
    <x v="6"/>
    <x v="0"/>
    <x v="0"/>
    <x v="4"/>
    <x v="0"/>
    <x v="0"/>
    <x v="0"/>
  </r>
  <r>
    <x v="0"/>
    <x v="3"/>
    <x v="7"/>
    <x v="0"/>
    <x v="0"/>
    <x v="4"/>
    <x v="0"/>
    <x v="0"/>
    <x v="0"/>
  </r>
  <r>
    <x v="0"/>
    <x v="3"/>
    <x v="8"/>
    <x v="0"/>
    <x v="0"/>
    <x v="4"/>
    <x v="0"/>
    <x v="0"/>
    <x v="0"/>
  </r>
  <r>
    <x v="0"/>
    <x v="3"/>
    <x v="9"/>
    <x v="0"/>
    <x v="0"/>
    <x v="4"/>
    <x v="0"/>
    <x v="0"/>
    <x v="0"/>
  </r>
  <r>
    <x v="0"/>
    <x v="3"/>
    <x v="10"/>
    <x v="0"/>
    <x v="0"/>
    <x v="4"/>
    <x v="0"/>
    <x v="0"/>
    <x v="0"/>
  </r>
  <r>
    <x v="0"/>
    <x v="3"/>
    <x v="11"/>
    <x v="0"/>
    <x v="0"/>
    <x v="4"/>
    <x v="0"/>
    <x v="0"/>
    <x v="0"/>
  </r>
  <r>
    <x v="0"/>
    <x v="3"/>
    <x v="12"/>
    <x v="0"/>
    <x v="0"/>
    <x v="4"/>
    <x v="0"/>
    <x v="0"/>
    <x v="0"/>
  </r>
  <r>
    <x v="0"/>
    <x v="3"/>
    <x v="13"/>
    <x v="0"/>
    <x v="0"/>
    <x v="4"/>
    <x v="0"/>
    <x v="0"/>
    <x v="0"/>
  </r>
  <r>
    <x v="0"/>
    <x v="3"/>
    <x v="14"/>
    <x v="0"/>
    <x v="0"/>
    <x v="4"/>
    <x v="0"/>
    <x v="0"/>
    <x v="0"/>
  </r>
  <r>
    <x v="0"/>
    <x v="3"/>
    <x v="15"/>
    <x v="0"/>
    <x v="0"/>
    <x v="4"/>
    <x v="0"/>
    <x v="0"/>
    <x v="0"/>
  </r>
  <r>
    <x v="0"/>
    <x v="3"/>
    <x v="16"/>
    <x v="0"/>
    <x v="0"/>
    <x v="4"/>
    <x v="0"/>
    <x v="0"/>
    <x v="0"/>
  </r>
  <r>
    <x v="0"/>
    <x v="3"/>
    <x v="17"/>
    <x v="0"/>
    <x v="0"/>
    <x v="4"/>
    <x v="0"/>
    <x v="0"/>
    <x v="0"/>
  </r>
  <r>
    <x v="0"/>
    <x v="3"/>
    <x v="6"/>
    <x v="0"/>
    <x v="1"/>
    <x v="5"/>
    <x v="0"/>
    <x v="0"/>
    <x v="0"/>
  </r>
  <r>
    <x v="0"/>
    <x v="3"/>
    <x v="7"/>
    <x v="0"/>
    <x v="1"/>
    <x v="5"/>
    <x v="0"/>
    <x v="0"/>
    <x v="0"/>
  </r>
  <r>
    <x v="0"/>
    <x v="3"/>
    <x v="8"/>
    <x v="0"/>
    <x v="1"/>
    <x v="5"/>
    <x v="0"/>
    <x v="0"/>
    <x v="0"/>
  </r>
  <r>
    <x v="0"/>
    <x v="3"/>
    <x v="9"/>
    <x v="0"/>
    <x v="1"/>
    <x v="5"/>
    <x v="0"/>
    <x v="0"/>
    <x v="0"/>
  </r>
  <r>
    <x v="0"/>
    <x v="3"/>
    <x v="10"/>
    <x v="0"/>
    <x v="1"/>
    <x v="5"/>
    <x v="0"/>
    <x v="0"/>
    <x v="0"/>
  </r>
  <r>
    <x v="0"/>
    <x v="3"/>
    <x v="11"/>
    <x v="0"/>
    <x v="1"/>
    <x v="5"/>
    <x v="0"/>
    <x v="0"/>
    <x v="0"/>
  </r>
  <r>
    <x v="0"/>
    <x v="3"/>
    <x v="12"/>
    <x v="0"/>
    <x v="1"/>
    <x v="5"/>
    <x v="0"/>
    <x v="0"/>
    <x v="0"/>
  </r>
  <r>
    <x v="0"/>
    <x v="3"/>
    <x v="13"/>
    <x v="0"/>
    <x v="1"/>
    <x v="5"/>
    <x v="0"/>
    <x v="0"/>
    <x v="0"/>
  </r>
  <r>
    <x v="0"/>
    <x v="3"/>
    <x v="14"/>
    <x v="0"/>
    <x v="1"/>
    <x v="5"/>
    <x v="0"/>
    <x v="0"/>
    <x v="0"/>
  </r>
  <r>
    <x v="0"/>
    <x v="3"/>
    <x v="15"/>
    <x v="0"/>
    <x v="1"/>
    <x v="5"/>
    <x v="0"/>
    <x v="0"/>
    <x v="0"/>
  </r>
  <r>
    <x v="0"/>
    <x v="3"/>
    <x v="16"/>
    <x v="0"/>
    <x v="1"/>
    <x v="5"/>
    <x v="0"/>
    <x v="0"/>
    <x v="0"/>
  </r>
  <r>
    <x v="0"/>
    <x v="3"/>
    <x v="17"/>
    <x v="0"/>
    <x v="1"/>
    <x v="5"/>
    <x v="0"/>
    <x v="0"/>
    <x v="0"/>
  </r>
  <r>
    <x v="0"/>
    <x v="0"/>
    <x v="0"/>
    <x v="1"/>
    <x v="0"/>
    <x v="0"/>
    <x v="1"/>
    <x v="1"/>
    <x v="0"/>
  </r>
  <r>
    <x v="0"/>
    <x v="0"/>
    <x v="1"/>
    <x v="1"/>
    <x v="0"/>
    <x v="0"/>
    <x v="1"/>
    <x v="1"/>
    <x v="0"/>
  </r>
  <r>
    <x v="0"/>
    <x v="0"/>
    <x v="2"/>
    <x v="1"/>
    <x v="0"/>
    <x v="0"/>
    <x v="1"/>
    <x v="1"/>
    <x v="0"/>
  </r>
  <r>
    <x v="0"/>
    <x v="0"/>
    <x v="3"/>
    <x v="1"/>
    <x v="0"/>
    <x v="0"/>
    <x v="1"/>
    <x v="1"/>
    <x v="0"/>
  </r>
  <r>
    <x v="0"/>
    <x v="0"/>
    <x v="4"/>
    <x v="1"/>
    <x v="0"/>
    <x v="0"/>
    <x v="1"/>
    <x v="1"/>
    <x v="0"/>
  </r>
  <r>
    <x v="0"/>
    <x v="0"/>
    <x v="5"/>
    <x v="1"/>
    <x v="0"/>
    <x v="0"/>
    <x v="1"/>
    <x v="1"/>
    <x v="0"/>
  </r>
  <r>
    <x v="0"/>
    <x v="0"/>
    <x v="6"/>
    <x v="1"/>
    <x v="0"/>
    <x v="0"/>
    <x v="1"/>
    <x v="1"/>
    <x v="0"/>
  </r>
  <r>
    <x v="0"/>
    <x v="0"/>
    <x v="7"/>
    <x v="1"/>
    <x v="0"/>
    <x v="0"/>
    <x v="1"/>
    <x v="1"/>
    <x v="0"/>
  </r>
  <r>
    <x v="0"/>
    <x v="0"/>
    <x v="8"/>
    <x v="1"/>
    <x v="0"/>
    <x v="0"/>
    <x v="1"/>
    <x v="1"/>
    <x v="0"/>
  </r>
  <r>
    <x v="0"/>
    <x v="0"/>
    <x v="9"/>
    <x v="1"/>
    <x v="0"/>
    <x v="0"/>
    <x v="1"/>
    <x v="1"/>
    <x v="0"/>
  </r>
  <r>
    <x v="0"/>
    <x v="0"/>
    <x v="10"/>
    <x v="1"/>
    <x v="0"/>
    <x v="0"/>
    <x v="1"/>
    <x v="1"/>
    <x v="0"/>
  </r>
  <r>
    <x v="0"/>
    <x v="0"/>
    <x v="11"/>
    <x v="1"/>
    <x v="0"/>
    <x v="0"/>
    <x v="1"/>
    <x v="1"/>
    <x v="0"/>
  </r>
  <r>
    <x v="0"/>
    <x v="0"/>
    <x v="12"/>
    <x v="1"/>
    <x v="0"/>
    <x v="0"/>
    <x v="1"/>
    <x v="1"/>
    <x v="0"/>
  </r>
  <r>
    <x v="0"/>
    <x v="0"/>
    <x v="13"/>
    <x v="1"/>
    <x v="0"/>
    <x v="0"/>
    <x v="1"/>
    <x v="1"/>
    <x v="0"/>
  </r>
  <r>
    <x v="0"/>
    <x v="0"/>
    <x v="14"/>
    <x v="1"/>
    <x v="0"/>
    <x v="0"/>
    <x v="1"/>
    <x v="1"/>
    <x v="0"/>
  </r>
  <r>
    <x v="0"/>
    <x v="0"/>
    <x v="1"/>
    <x v="1"/>
    <x v="1"/>
    <x v="1"/>
    <x v="1"/>
    <x v="1"/>
    <x v="0"/>
  </r>
  <r>
    <x v="0"/>
    <x v="0"/>
    <x v="2"/>
    <x v="1"/>
    <x v="1"/>
    <x v="1"/>
    <x v="1"/>
    <x v="1"/>
    <x v="0"/>
  </r>
  <r>
    <x v="0"/>
    <x v="0"/>
    <x v="3"/>
    <x v="1"/>
    <x v="1"/>
    <x v="1"/>
    <x v="1"/>
    <x v="1"/>
    <x v="0"/>
  </r>
  <r>
    <x v="0"/>
    <x v="0"/>
    <x v="4"/>
    <x v="1"/>
    <x v="1"/>
    <x v="1"/>
    <x v="1"/>
    <x v="1"/>
    <x v="0"/>
  </r>
  <r>
    <x v="0"/>
    <x v="0"/>
    <x v="5"/>
    <x v="1"/>
    <x v="1"/>
    <x v="1"/>
    <x v="1"/>
    <x v="1"/>
    <x v="0"/>
  </r>
  <r>
    <x v="0"/>
    <x v="0"/>
    <x v="6"/>
    <x v="1"/>
    <x v="1"/>
    <x v="1"/>
    <x v="1"/>
    <x v="1"/>
    <x v="0"/>
  </r>
  <r>
    <x v="0"/>
    <x v="0"/>
    <x v="7"/>
    <x v="1"/>
    <x v="1"/>
    <x v="1"/>
    <x v="1"/>
    <x v="1"/>
    <x v="0"/>
  </r>
  <r>
    <x v="0"/>
    <x v="0"/>
    <x v="8"/>
    <x v="1"/>
    <x v="1"/>
    <x v="1"/>
    <x v="1"/>
    <x v="1"/>
    <x v="0"/>
  </r>
  <r>
    <x v="0"/>
    <x v="0"/>
    <x v="9"/>
    <x v="1"/>
    <x v="1"/>
    <x v="1"/>
    <x v="1"/>
    <x v="1"/>
    <x v="0"/>
  </r>
  <r>
    <x v="0"/>
    <x v="0"/>
    <x v="10"/>
    <x v="1"/>
    <x v="1"/>
    <x v="1"/>
    <x v="1"/>
    <x v="1"/>
    <x v="0"/>
  </r>
  <r>
    <x v="0"/>
    <x v="0"/>
    <x v="11"/>
    <x v="1"/>
    <x v="1"/>
    <x v="1"/>
    <x v="1"/>
    <x v="1"/>
    <x v="0"/>
  </r>
  <r>
    <x v="0"/>
    <x v="0"/>
    <x v="12"/>
    <x v="1"/>
    <x v="1"/>
    <x v="1"/>
    <x v="1"/>
    <x v="1"/>
    <x v="0"/>
  </r>
  <r>
    <x v="0"/>
    <x v="0"/>
    <x v="13"/>
    <x v="1"/>
    <x v="1"/>
    <x v="1"/>
    <x v="1"/>
    <x v="1"/>
    <x v="0"/>
  </r>
  <r>
    <x v="0"/>
    <x v="0"/>
    <x v="14"/>
    <x v="1"/>
    <x v="1"/>
    <x v="1"/>
    <x v="1"/>
    <x v="1"/>
    <x v="0"/>
  </r>
  <r>
    <x v="0"/>
    <x v="1"/>
    <x v="14"/>
    <x v="1"/>
    <x v="0"/>
    <x v="0"/>
    <x v="1"/>
    <x v="1"/>
    <x v="0"/>
  </r>
  <r>
    <x v="0"/>
    <x v="1"/>
    <x v="15"/>
    <x v="1"/>
    <x v="0"/>
    <x v="0"/>
    <x v="1"/>
    <x v="1"/>
    <x v="0"/>
  </r>
  <r>
    <x v="0"/>
    <x v="1"/>
    <x v="16"/>
    <x v="1"/>
    <x v="0"/>
    <x v="0"/>
    <x v="1"/>
    <x v="1"/>
    <x v="0"/>
  </r>
  <r>
    <x v="0"/>
    <x v="1"/>
    <x v="17"/>
    <x v="1"/>
    <x v="0"/>
    <x v="0"/>
    <x v="1"/>
    <x v="1"/>
    <x v="0"/>
  </r>
  <r>
    <x v="0"/>
    <x v="1"/>
    <x v="14"/>
    <x v="1"/>
    <x v="1"/>
    <x v="1"/>
    <x v="1"/>
    <x v="1"/>
    <x v="0"/>
  </r>
  <r>
    <x v="0"/>
    <x v="1"/>
    <x v="15"/>
    <x v="1"/>
    <x v="1"/>
    <x v="1"/>
    <x v="1"/>
    <x v="1"/>
    <x v="0"/>
  </r>
  <r>
    <x v="0"/>
    <x v="1"/>
    <x v="16"/>
    <x v="1"/>
    <x v="1"/>
    <x v="1"/>
    <x v="1"/>
    <x v="1"/>
    <x v="0"/>
  </r>
  <r>
    <x v="0"/>
    <x v="1"/>
    <x v="17"/>
    <x v="1"/>
    <x v="1"/>
    <x v="1"/>
    <x v="1"/>
    <x v="1"/>
    <x v="0"/>
  </r>
  <r>
    <x v="0"/>
    <x v="2"/>
    <x v="1"/>
    <x v="1"/>
    <x v="0"/>
    <x v="2"/>
    <x v="1"/>
    <x v="1"/>
    <x v="1"/>
  </r>
  <r>
    <x v="0"/>
    <x v="2"/>
    <x v="2"/>
    <x v="1"/>
    <x v="0"/>
    <x v="2"/>
    <x v="1"/>
    <x v="1"/>
    <x v="1"/>
  </r>
  <r>
    <x v="0"/>
    <x v="2"/>
    <x v="3"/>
    <x v="1"/>
    <x v="0"/>
    <x v="2"/>
    <x v="1"/>
    <x v="1"/>
    <x v="1"/>
  </r>
  <r>
    <x v="0"/>
    <x v="2"/>
    <x v="4"/>
    <x v="1"/>
    <x v="0"/>
    <x v="2"/>
    <x v="1"/>
    <x v="1"/>
    <x v="1"/>
  </r>
  <r>
    <x v="0"/>
    <x v="2"/>
    <x v="5"/>
    <x v="1"/>
    <x v="0"/>
    <x v="2"/>
    <x v="1"/>
    <x v="1"/>
    <x v="1"/>
  </r>
  <r>
    <x v="0"/>
    <x v="2"/>
    <x v="6"/>
    <x v="1"/>
    <x v="0"/>
    <x v="2"/>
    <x v="1"/>
    <x v="1"/>
    <x v="1"/>
  </r>
  <r>
    <x v="0"/>
    <x v="2"/>
    <x v="7"/>
    <x v="1"/>
    <x v="0"/>
    <x v="2"/>
    <x v="1"/>
    <x v="1"/>
    <x v="1"/>
  </r>
  <r>
    <x v="0"/>
    <x v="2"/>
    <x v="8"/>
    <x v="1"/>
    <x v="0"/>
    <x v="2"/>
    <x v="1"/>
    <x v="1"/>
    <x v="1"/>
  </r>
  <r>
    <x v="0"/>
    <x v="2"/>
    <x v="9"/>
    <x v="1"/>
    <x v="0"/>
    <x v="2"/>
    <x v="1"/>
    <x v="1"/>
    <x v="1"/>
  </r>
  <r>
    <x v="0"/>
    <x v="2"/>
    <x v="10"/>
    <x v="1"/>
    <x v="0"/>
    <x v="2"/>
    <x v="1"/>
    <x v="1"/>
    <x v="1"/>
  </r>
  <r>
    <x v="0"/>
    <x v="2"/>
    <x v="11"/>
    <x v="1"/>
    <x v="0"/>
    <x v="2"/>
    <x v="1"/>
    <x v="1"/>
    <x v="1"/>
  </r>
  <r>
    <x v="0"/>
    <x v="2"/>
    <x v="12"/>
    <x v="1"/>
    <x v="0"/>
    <x v="2"/>
    <x v="1"/>
    <x v="1"/>
    <x v="1"/>
  </r>
  <r>
    <x v="0"/>
    <x v="2"/>
    <x v="13"/>
    <x v="1"/>
    <x v="0"/>
    <x v="2"/>
    <x v="1"/>
    <x v="1"/>
    <x v="1"/>
  </r>
  <r>
    <x v="0"/>
    <x v="2"/>
    <x v="14"/>
    <x v="1"/>
    <x v="0"/>
    <x v="2"/>
    <x v="1"/>
    <x v="1"/>
    <x v="1"/>
  </r>
  <r>
    <x v="0"/>
    <x v="2"/>
    <x v="15"/>
    <x v="1"/>
    <x v="0"/>
    <x v="2"/>
    <x v="1"/>
    <x v="1"/>
    <x v="1"/>
  </r>
  <r>
    <x v="0"/>
    <x v="2"/>
    <x v="16"/>
    <x v="1"/>
    <x v="0"/>
    <x v="2"/>
    <x v="1"/>
    <x v="1"/>
    <x v="1"/>
  </r>
  <r>
    <x v="0"/>
    <x v="2"/>
    <x v="17"/>
    <x v="1"/>
    <x v="0"/>
    <x v="2"/>
    <x v="1"/>
    <x v="1"/>
    <x v="1"/>
  </r>
  <r>
    <x v="0"/>
    <x v="2"/>
    <x v="1"/>
    <x v="1"/>
    <x v="1"/>
    <x v="3"/>
    <x v="1"/>
    <x v="1"/>
    <x v="1"/>
  </r>
  <r>
    <x v="0"/>
    <x v="2"/>
    <x v="2"/>
    <x v="1"/>
    <x v="1"/>
    <x v="3"/>
    <x v="1"/>
    <x v="1"/>
    <x v="1"/>
  </r>
  <r>
    <x v="0"/>
    <x v="2"/>
    <x v="3"/>
    <x v="1"/>
    <x v="1"/>
    <x v="3"/>
    <x v="1"/>
    <x v="1"/>
    <x v="1"/>
  </r>
  <r>
    <x v="0"/>
    <x v="2"/>
    <x v="4"/>
    <x v="1"/>
    <x v="1"/>
    <x v="3"/>
    <x v="1"/>
    <x v="1"/>
    <x v="1"/>
  </r>
  <r>
    <x v="0"/>
    <x v="2"/>
    <x v="5"/>
    <x v="1"/>
    <x v="1"/>
    <x v="3"/>
    <x v="1"/>
    <x v="1"/>
    <x v="1"/>
  </r>
  <r>
    <x v="0"/>
    <x v="2"/>
    <x v="6"/>
    <x v="1"/>
    <x v="1"/>
    <x v="3"/>
    <x v="1"/>
    <x v="1"/>
    <x v="1"/>
  </r>
  <r>
    <x v="0"/>
    <x v="2"/>
    <x v="7"/>
    <x v="1"/>
    <x v="1"/>
    <x v="3"/>
    <x v="1"/>
    <x v="1"/>
    <x v="1"/>
  </r>
  <r>
    <x v="0"/>
    <x v="2"/>
    <x v="8"/>
    <x v="1"/>
    <x v="1"/>
    <x v="3"/>
    <x v="1"/>
    <x v="1"/>
    <x v="1"/>
  </r>
  <r>
    <x v="0"/>
    <x v="2"/>
    <x v="9"/>
    <x v="1"/>
    <x v="1"/>
    <x v="3"/>
    <x v="1"/>
    <x v="1"/>
    <x v="1"/>
  </r>
  <r>
    <x v="0"/>
    <x v="2"/>
    <x v="10"/>
    <x v="1"/>
    <x v="1"/>
    <x v="3"/>
    <x v="1"/>
    <x v="1"/>
    <x v="1"/>
  </r>
  <r>
    <x v="0"/>
    <x v="2"/>
    <x v="11"/>
    <x v="1"/>
    <x v="1"/>
    <x v="3"/>
    <x v="1"/>
    <x v="1"/>
    <x v="1"/>
  </r>
  <r>
    <x v="0"/>
    <x v="2"/>
    <x v="12"/>
    <x v="1"/>
    <x v="1"/>
    <x v="3"/>
    <x v="1"/>
    <x v="1"/>
    <x v="1"/>
  </r>
  <r>
    <x v="0"/>
    <x v="2"/>
    <x v="13"/>
    <x v="1"/>
    <x v="1"/>
    <x v="3"/>
    <x v="1"/>
    <x v="1"/>
    <x v="1"/>
  </r>
  <r>
    <x v="0"/>
    <x v="2"/>
    <x v="14"/>
    <x v="1"/>
    <x v="1"/>
    <x v="3"/>
    <x v="1"/>
    <x v="1"/>
    <x v="1"/>
  </r>
  <r>
    <x v="0"/>
    <x v="2"/>
    <x v="15"/>
    <x v="1"/>
    <x v="1"/>
    <x v="3"/>
    <x v="1"/>
    <x v="1"/>
    <x v="1"/>
  </r>
  <r>
    <x v="0"/>
    <x v="2"/>
    <x v="16"/>
    <x v="1"/>
    <x v="1"/>
    <x v="3"/>
    <x v="1"/>
    <x v="1"/>
    <x v="1"/>
  </r>
  <r>
    <x v="0"/>
    <x v="2"/>
    <x v="17"/>
    <x v="1"/>
    <x v="1"/>
    <x v="3"/>
    <x v="1"/>
    <x v="1"/>
    <x v="1"/>
  </r>
  <r>
    <x v="0"/>
    <x v="3"/>
    <x v="6"/>
    <x v="1"/>
    <x v="0"/>
    <x v="4"/>
    <x v="1"/>
    <x v="1"/>
    <x v="0"/>
  </r>
  <r>
    <x v="0"/>
    <x v="3"/>
    <x v="7"/>
    <x v="1"/>
    <x v="0"/>
    <x v="4"/>
    <x v="1"/>
    <x v="1"/>
    <x v="0"/>
  </r>
  <r>
    <x v="0"/>
    <x v="3"/>
    <x v="8"/>
    <x v="1"/>
    <x v="0"/>
    <x v="4"/>
    <x v="1"/>
    <x v="1"/>
    <x v="0"/>
  </r>
  <r>
    <x v="0"/>
    <x v="3"/>
    <x v="9"/>
    <x v="1"/>
    <x v="0"/>
    <x v="4"/>
    <x v="1"/>
    <x v="1"/>
    <x v="0"/>
  </r>
  <r>
    <x v="0"/>
    <x v="3"/>
    <x v="10"/>
    <x v="1"/>
    <x v="0"/>
    <x v="4"/>
    <x v="1"/>
    <x v="1"/>
    <x v="0"/>
  </r>
  <r>
    <x v="0"/>
    <x v="3"/>
    <x v="11"/>
    <x v="1"/>
    <x v="0"/>
    <x v="4"/>
    <x v="1"/>
    <x v="1"/>
    <x v="0"/>
  </r>
  <r>
    <x v="0"/>
    <x v="3"/>
    <x v="12"/>
    <x v="1"/>
    <x v="0"/>
    <x v="4"/>
    <x v="1"/>
    <x v="1"/>
    <x v="0"/>
  </r>
  <r>
    <x v="0"/>
    <x v="3"/>
    <x v="13"/>
    <x v="1"/>
    <x v="0"/>
    <x v="4"/>
    <x v="1"/>
    <x v="1"/>
    <x v="0"/>
  </r>
  <r>
    <x v="0"/>
    <x v="3"/>
    <x v="14"/>
    <x v="1"/>
    <x v="0"/>
    <x v="4"/>
    <x v="1"/>
    <x v="1"/>
    <x v="0"/>
  </r>
  <r>
    <x v="0"/>
    <x v="3"/>
    <x v="15"/>
    <x v="1"/>
    <x v="0"/>
    <x v="4"/>
    <x v="1"/>
    <x v="1"/>
    <x v="0"/>
  </r>
  <r>
    <x v="0"/>
    <x v="3"/>
    <x v="16"/>
    <x v="1"/>
    <x v="0"/>
    <x v="4"/>
    <x v="1"/>
    <x v="1"/>
    <x v="0"/>
  </r>
  <r>
    <x v="0"/>
    <x v="3"/>
    <x v="17"/>
    <x v="1"/>
    <x v="0"/>
    <x v="4"/>
    <x v="1"/>
    <x v="1"/>
    <x v="0"/>
  </r>
  <r>
    <x v="0"/>
    <x v="3"/>
    <x v="6"/>
    <x v="1"/>
    <x v="1"/>
    <x v="5"/>
    <x v="1"/>
    <x v="1"/>
    <x v="0"/>
  </r>
  <r>
    <x v="0"/>
    <x v="3"/>
    <x v="7"/>
    <x v="1"/>
    <x v="1"/>
    <x v="5"/>
    <x v="1"/>
    <x v="1"/>
    <x v="0"/>
  </r>
  <r>
    <x v="0"/>
    <x v="3"/>
    <x v="8"/>
    <x v="1"/>
    <x v="1"/>
    <x v="5"/>
    <x v="1"/>
    <x v="1"/>
    <x v="0"/>
  </r>
  <r>
    <x v="0"/>
    <x v="3"/>
    <x v="9"/>
    <x v="1"/>
    <x v="1"/>
    <x v="5"/>
    <x v="1"/>
    <x v="1"/>
    <x v="0"/>
  </r>
  <r>
    <x v="0"/>
    <x v="3"/>
    <x v="10"/>
    <x v="1"/>
    <x v="1"/>
    <x v="5"/>
    <x v="1"/>
    <x v="1"/>
    <x v="0"/>
  </r>
  <r>
    <x v="0"/>
    <x v="3"/>
    <x v="11"/>
    <x v="1"/>
    <x v="1"/>
    <x v="5"/>
    <x v="1"/>
    <x v="1"/>
    <x v="0"/>
  </r>
  <r>
    <x v="0"/>
    <x v="3"/>
    <x v="12"/>
    <x v="1"/>
    <x v="1"/>
    <x v="5"/>
    <x v="1"/>
    <x v="1"/>
    <x v="0"/>
  </r>
  <r>
    <x v="0"/>
    <x v="3"/>
    <x v="13"/>
    <x v="1"/>
    <x v="1"/>
    <x v="5"/>
    <x v="1"/>
    <x v="1"/>
    <x v="0"/>
  </r>
  <r>
    <x v="0"/>
    <x v="3"/>
    <x v="14"/>
    <x v="1"/>
    <x v="1"/>
    <x v="5"/>
    <x v="1"/>
    <x v="1"/>
    <x v="0"/>
  </r>
  <r>
    <x v="0"/>
    <x v="3"/>
    <x v="15"/>
    <x v="1"/>
    <x v="1"/>
    <x v="5"/>
    <x v="1"/>
    <x v="1"/>
    <x v="0"/>
  </r>
  <r>
    <x v="0"/>
    <x v="3"/>
    <x v="16"/>
    <x v="1"/>
    <x v="1"/>
    <x v="5"/>
    <x v="1"/>
    <x v="1"/>
    <x v="0"/>
  </r>
  <r>
    <x v="0"/>
    <x v="3"/>
    <x v="17"/>
    <x v="1"/>
    <x v="1"/>
    <x v="5"/>
    <x v="1"/>
    <x v="1"/>
    <x v="0"/>
  </r>
  <r>
    <x v="0"/>
    <x v="0"/>
    <x v="0"/>
    <x v="2"/>
    <x v="0"/>
    <x v="0"/>
    <x v="2"/>
    <x v="2"/>
    <x v="0"/>
  </r>
  <r>
    <x v="0"/>
    <x v="0"/>
    <x v="1"/>
    <x v="2"/>
    <x v="0"/>
    <x v="0"/>
    <x v="2"/>
    <x v="2"/>
    <x v="0"/>
  </r>
  <r>
    <x v="0"/>
    <x v="0"/>
    <x v="2"/>
    <x v="2"/>
    <x v="0"/>
    <x v="0"/>
    <x v="2"/>
    <x v="2"/>
    <x v="0"/>
  </r>
  <r>
    <x v="0"/>
    <x v="0"/>
    <x v="3"/>
    <x v="2"/>
    <x v="0"/>
    <x v="0"/>
    <x v="2"/>
    <x v="2"/>
    <x v="0"/>
  </r>
  <r>
    <x v="0"/>
    <x v="0"/>
    <x v="4"/>
    <x v="2"/>
    <x v="0"/>
    <x v="0"/>
    <x v="2"/>
    <x v="2"/>
    <x v="0"/>
  </r>
  <r>
    <x v="0"/>
    <x v="0"/>
    <x v="5"/>
    <x v="2"/>
    <x v="0"/>
    <x v="0"/>
    <x v="2"/>
    <x v="2"/>
    <x v="0"/>
  </r>
  <r>
    <x v="0"/>
    <x v="0"/>
    <x v="6"/>
    <x v="2"/>
    <x v="0"/>
    <x v="0"/>
    <x v="2"/>
    <x v="2"/>
    <x v="0"/>
  </r>
  <r>
    <x v="0"/>
    <x v="0"/>
    <x v="7"/>
    <x v="2"/>
    <x v="0"/>
    <x v="0"/>
    <x v="2"/>
    <x v="2"/>
    <x v="0"/>
  </r>
  <r>
    <x v="0"/>
    <x v="0"/>
    <x v="8"/>
    <x v="2"/>
    <x v="0"/>
    <x v="0"/>
    <x v="2"/>
    <x v="2"/>
    <x v="0"/>
  </r>
  <r>
    <x v="0"/>
    <x v="0"/>
    <x v="9"/>
    <x v="2"/>
    <x v="0"/>
    <x v="0"/>
    <x v="2"/>
    <x v="2"/>
    <x v="0"/>
  </r>
  <r>
    <x v="0"/>
    <x v="0"/>
    <x v="10"/>
    <x v="2"/>
    <x v="0"/>
    <x v="0"/>
    <x v="2"/>
    <x v="2"/>
    <x v="0"/>
  </r>
  <r>
    <x v="0"/>
    <x v="0"/>
    <x v="11"/>
    <x v="2"/>
    <x v="0"/>
    <x v="0"/>
    <x v="2"/>
    <x v="2"/>
    <x v="0"/>
  </r>
  <r>
    <x v="0"/>
    <x v="0"/>
    <x v="12"/>
    <x v="2"/>
    <x v="0"/>
    <x v="0"/>
    <x v="2"/>
    <x v="2"/>
    <x v="0"/>
  </r>
  <r>
    <x v="0"/>
    <x v="0"/>
    <x v="13"/>
    <x v="2"/>
    <x v="0"/>
    <x v="0"/>
    <x v="2"/>
    <x v="2"/>
    <x v="0"/>
  </r>
  <r>
    <x v="0"/>
    <x v="0"/>
    <x v="14"/>
    <x v="2"/>
    <x v="0"/>
    <x v="0"/>
    <x v="2"/>
    <x v="2"/>
    <x v="0"/>
  </r>
  <r>
    <x v="0"/>
    <x v="0"/>
    <x v="1"/>
    <x v="2"/>
    <x v="1"/>
    <x v="1"/>
    <x v="2"/>
    <x v="2"/>
    <x v="0"/>
  </r>
  <r>
    <x v="0"/>
    <x v="0"/>
    <x v="2"/>
    <x v="2"/>
    <x v="1"/>
    <x v="1"/>
    <x v="2"/>
    <x v="2"/>
    <x v="0"/>
  </r>
  <r>
    <x v="0"/>
    <x v="0"/>
    <x v="3"/>
    <x v="2"/>
    <x v="1"/>
    <x v="1"/>
    <x v="2"/>
    <x v="2"/>
    <x v="0"/>
  </r>
  <r>
    <x v="0"/>
    <x v="0"/>
    <x v="4"/>
    <x v="2"/>
    <x v="1"/>
    <x v="1"/>
    <x v="2"/>
    <x v="2"/>
    <x v="0"/>
  </r>
  <r>
    <x v="0"/>
    <x v="0"/>
    <x v="5"/>
    <x v="2"/>
    <x v="1"/>
    <x v="1"/>
    <x v="2"/>
    <x v="2"/>
    <x v="0"/>
  </r>
  <r>
    <x v="0"/>
    <x v="0"/>
    <x v="6"/>
    <x v="2"/>
    <x v="1"/>
    <x v="1"/>
    <x v="2"/>
    <x v="2"/>
    <x v="0"/>
  </r>
  <r>
    <x v="0"/>
    <x v="0"/>
    <x v="7"/>
    <x v="2"/>
    <x v="1"/>
    <x v="1"/>
    <x v="2"/>
    <x v="2"/>
    <x v="0"/>
  </r>
  <r>
    <x v="0"/>
    <x v="0"/>
    <x v="8"/>
    <x v="2"/>
    <x v="1"/>
    <x v="1"/>
    <x v="2"/>
    <x v="2"/>
    <x v="0"/>
  </r>
  <r>
    <x v="0"/>
    <x v="0"/>
    <x v="9"/>
    <x v="2"/>
    <x v="1"/>
    <x v="1"/>
    <x v="2"/>
    <x v="2"/>
    <x v="0"/>
  </r>
  <r>
    <x v="0"/>
    <x v="0"/>
    <x v="10"/>
    <x v="2"/>
    <x v="1"/>
    <x v="1"/>
    <x v="2"/>
    <x v="2"/>
    <x v="0"/>
  </r>
  <r>
    <x v="0"/>
    <x v="0"/>
    <x v="11"/>
    <x v="2"/>
    <x v="1"/>
    <x v="1"/>
    <x v="2"/>
    <x v="2"/>
    <x v="0"/>
  </r>
  <r>
    <x v="0"/>
    <x v="0"/>
    <x v="12"/>
    <x v="2"/>
    <x v="1"/>
    <x v="1"/>
    <x v="2"/>
    <x v="2"/>
    <x v="0"/>
  </r>
  <r>
    <x v="0"/>
    <x v="0"/>
    <x v="13"/>
    <x v="2"/>
    <x v="1"/>
    <x v="1"/>
    <x v="2"/>
    <x v="2"/>
    <x v="0"/>
  </r>
  <r>
    <x v="0"/>
    <x v="0"/>
    <x v="14"/>
    <x v="2"/>
    <x v="1"/>
    <x v="1"/>
    <x v="2"/>
    <x v="2"/>
    <x v="0"/>
  </r>
  <r>
    <x v="0"/>
    <x v="1"/>
    <x v="14"/>
    <x v="2"/>
    <x v="0"/>
    <x v="0"/>
    <x v="2"/>
    <x v="2"/>
    <x v="0"/>
  </r>
  <r>
    <x v="0"/>
    <x v="1"/>
    <x v="15"/>
    <x v="2"/>
    <x v="0"/>
    <x v="0"/>
    <x v="2"/>
    <x v="2"/>
    <x v="0"/>
  </r>
  <r>
    <x v="0"/>
    <x v="1"/>
    <x v="16"/>
    <x v="2"/>
    <x v="0"/>
    <x v="0"/>
    <x v="2"/>
    <x v="2"/>
    <x v="0"/>
  </r>
  <r>
    <x v="0"/>
    <x v="1"/>
    <x v="17"/>
    <x v="2"/>
    <x v="0"/>
    <x v="0"/>
    <x v="2"/>
    <x v="2"/>
    <x v="0"/>
  </r>
  <r>
    <x v="0"/>
    <x v="1"/>
    <x v="14"/>
    <x v="2"/>
    <x v="1"/>
    <x v="1"/>
    <x v="2"/>
    <x v="2"/>
    <x v="0"/>
  </r>
  <r>
    <x v="0"/>
    <x v="1"/>
    <x v="15"/>
    <x v="2"/>
    <x v="1"/>
    <x v="1"/>
    <x v="2"/>
    <x v="2"/>
    <x v="0"/>
  </r>
  <r>
    <x v="0"/>
    <x v="1"/>
    <x v="16"/>
    <x v="2"/>
    <x v="1"/>
    <x v="1"/>
    <x v="2"/>
    <x v="2"/>
    <x v="0"/>
  </r>
  <r>
    <x v="0"/>
    <x v="1"/>
    <x v="17"/>
    <x v="2"/>
    <x v="1"/>
    <x v="1"/>
    <x v="2"/>
    <x v="2"/>
    <x v="0"/>
  </r>
  <r>
    <x v="0"/>
    <x v="2"/>
    <x v="1"/>
    <x v="2"/>
    <x v="0"/>
    <x v="2"/>
    <x v="2"/>
    <x v="2"/>
    <x v="1"/>
  </r>
  <r>
    <x v="0"/>
    <x v="2"/>
    <x v="2"/>
    <x v="2"/>
    <x v="0"/>
    <x v="2"/>
    <x v="2"/>
    <x v="2"/>
    <x v="1"/>
  </r>
  <r>
    <x v="0"/>
    <x v="2"/>
    <x v="3"/>
    <x v="2"/>
    <x v="0"/>
    <x v="2"/>
    <x v="2"/>
    <x v="2"/>
    <x v="1"/>
  </r>
  <r>
    <x v="0"/>
    <x v="2"/>
    <x v="4"/>
    <x v="2"/>
    <x v="0"/>
    <x v="2"/>
    <x v="2"/>
    <x v="2"/>
    <x v="1"/>
  </r>
  <r>
    <x v="0"/>
    <x v="2"/>
    <x v="5"/>
    <x v="2"/>
    <x v="0"/>
    <x v="2"/>
    <x v="2"/>
    <x v="2"/>
    <x v="1"/>
  </r>
  <r>
    <x v="0"/>
    <x v="2"/>
    <x v="6"/>
    <x v="2"/>
    <x v="0"/>
    <x v="2"/>
    <x v="2"/>
    <x v="2"/>
    <x v="1"/>
  </r>
  <r>
    <x v="0"/>
    <x v="2"/>
    <x v="7"/>
    <x v="2"/>
    <x v="0"/>
    <x v="2"/>
    <x v="2"/>
    <x v="2"/>
    <x v="1"/>
  </r>
  <r>
    <x v="0"/>
    <x v="2"/>
    <x v="8"/>
    <x v="2"/>
    <x v="0"/>
    <x v="2"/>
    <x v="2"/>
    <x v="2"/>
    <x v="1"/>
  </r>
  <r>
    <x v="0"/>
    <x v="2"/>
    <x v="9"/>
    <x v="2"/>
    <x v="0"/>
    <x v="2"/>
    <x v="2"/>
    <x v="2"/>
    <x v="1"/>
  </r>
  <r>
    <x v="0"/>
    <x v="2"/>
    <x v="10"/>
    <x v="2"/>
    <x v="0"/>
    <x v="2"/>
    <x v="2"/>
    <x v="2"/>
    <x v="1"/>
  </r>
  <r>
    <x v="0"/>
    <x v="2"/>
    <x v="11"/>
    <x v="2"/>
    <x v="0"/>
    <x v="2"/>
    <x v="2"/>
    <x v="2"/>
    <x v="1"/>
  </r>
  <r>
    <x v="0"/>
    <x v="2"/>
    <x v="12"/>
    <x v="2"/>
    <x v="0"/>
    <x v="2"/>
    <x v="2"/>
    <x v="2"/>
    <x v="1"/>
  </r>
  <r>
    <x v="0"/>
    <x v="2"/>
    <x v="13"/>
    <x v="2"/>
    <x v="0"/>
    <x v="2"/>
    <x v="2"/>
    <x v="2"/>
    <x v="1"/>
  </r>
  <r>
    <x v="0"/>
    <x v="2"/>
    <x v="14"/>
    <x v="2"/>
    <x v="0"/>
    <x v="2"/>
    <x v="2"/>
    <x v="2"/>
    <x v="1"/>
  </r>
  <r>
    <x v="0"/>
    <x v="2"/>
    <x v="15"/>
    <x v="2"/>
    <x v="0"/>
    <x v="2"/>
    <x v="2"/>
    <x v="2"/>
    <x v="1"/>
  </r>
  <r>
    <x v="0"/>
    <x v="2"/>
    <x v="16"/>
    <x v="2"/>
    <x v="0"/>
    <x v="2"/>
    <x v="2"/>
    <x v="2"/>
    <x v="1"/>
  </r>
  <r>
    <x v="0"/>
    <x v="2"/>
    <x v="17"/>
    <x v="2"/>
    <x v="0"/>
    <x v="2"/>
    <x v="2"/>
    <x v="2"/>
    <x v="1"/>
  </r>
  <r>
    <x v="0"/>
    <x v="2"/>
    <x v="1"/>
    <x v="2"/>
    <x v="1"/>
    <x v="3"/>
    <x v="2"/>
    <x v="2"/>
    <x v="1"/>
  </r>
  <r>
    <x v="0"/>
    <x v="2"/>
    <x v="2"/>
    <x v="2"/>
    <x v="1"/>
    <x v="3"/>
    <x v="2"/>
    <x v="2"/>
    <x v="1"/>
  </r>
  <r>
    <x v="0"/>
    <x v="2"/>
    <x v="3"/>
    <x v="2"/>
    <x v="1"/>
    <x v="3"/>
    <x v="2"/>
    <x v="2"/>
    <x v="1"/>
  </r>
  <r>
    <x v="0"/>
    <x v="2"/>
    <x v="4"/>
    <x v="2"/>
    <x v="1"/>
    <x v="3"/>
    <x v="2"/>
    <x v="2"/>
    <x v="1"/>
  </r>
  <r>
    <x v="0"/>
    <x v="2"/>
    <x v="5"/>
    <x v="2"/>
    <x v="1"/>
    <x v="3"/>
    <x v="2"/>
    <x v="2"/>
    <x v="1"/>
  </r>
  <r>
    <x v="0"/>
    <x v="2"/>
    <x v="6"/>
    <x v="2"/>
    <x v="1"/>
    <x v="3"/>
    <x v="2"/>
    <x v="2"/>
    <x v="1"/>
  </r>
  <r>
    <x v="0"/>
    <x v="2"/>
    <x v="7"/>
    <x v="2"/>
    <x v="1"/>
    <x v="3"/>
    <x v="2"/>
    <x v="2"/>
    <x v="1"/>
  </r>
  <r>
    <x v="0"/>
    <x v="2"/>
    <x v="8"/>
    <x v="2"/>
    <x v="1"/>
    <x v="3"/>
    <x v="2"/>
    <x v="2"/>
    <x v="1"/>
  </r>
  <r>
    <x v="0"/>
    <x v="2"/>
    <x v="9"/>
    <x v="2"/>
    <x v="1"/>
    <x v="3"/>
    <x v="2"/>
    <x v="2"/>
    <x v="1"/>
  </r>
  <r>
    <x v="0"/>
    <x v="2"/>
    <x v="10"/>
    <x v="2"/>
    <x v="1"/>
    <x v="3"/>
    <x v="2"/>
    <x v="2"/>
    <x v="1"/>
  </r>
  <r>
    <x v="0"/>
    <x v="2"/>
    <x v="11"/>
    <x v="2"/>
    <x v="1"/>
    <x v="3"/>
    <x v="2"/>
    <x v="2"/>
    <x v="1"/>
  </r>
  <r>
    <x v="0"/>
    <x v="2"/>
    <x v="12"/>
    <x v="2"/>
    <x v="1"/>
    <x v="3"/>
    <x v="2"/>
    <x v="2"/>
    <x v="1"/>
  </r>
  <r>
    <x v="0"/>
    <x v="2"/>
    <x v="13"/>
    <x v="2"/>
    <x v="1"/>
    <x v="3"/>
    <x v="2"/>
    <x v="2"/>
    <x v="1"/>
  </r>
  <r>
    <x v="0"/>
    <x v="2"/>
    <x v="14"/>
    <x v="2"/>
    <x v="1"/>
    <x v="3"/>
    <x v="2"/>
    <x v="2"/>
    <x v="1"/>
  </r>
  <r>
    <x v="0"/>
    <x v="2"/>
    <x v="15"/>
    <x v="2"/>
    <x v="1"/>
    <x v="3"/>
    <x v="2"/>
    <x v="2"/>
    <x v="1"/>
  </r>
  <r>
    <x v="0"/>
    <x v="2"/>
    <x v="16"/>
    <x v="2"/>
    <x v="1"/>
    <x v="3"/>
    <x v="2"/>
    <x v="2"/>
    <x v="1"/>
  </r>
  <r>
    <x v="0"/>
    <x v="2"/>
    <x v="17"/>
    <x v="2"/>
    <x v="1"/>
    <x v="3"/>
    <x v="2"/>
    <x v="2"/>
    <x v="1"/>
  </r>
  <r>
    <x v="0"/>
    <x v="3"/>
    <x v="6"/>
    <x v="2"/>
    <x v="0"/>
    <x v="4"/>
    <x v="2"/>
    <x v="2"/>
    <x v="0"/>
  </r>
  <r>
    <x v="0"/>
    <x v="3"/>
    <x v="7"/>
    <x v="2"/>
    <x v="0"/>
    <x v="4"/>
    <x v="2"/>
    <x v="2"/>
    <x v="0"/>
  </r>
  <r>
    <x v="0"/>
    <x v="3"/>
    <x v="8"/>
    <x v="2"/>
    <x v="0"/>
    <x v="4"/>
    <x v="2"/>
    <x v="2"/>
    <x v="0"/>
  </r>
  <r>
    <x v="0"/>
    <x v="3"/>
    <x v="9"/>
    <x v="2"/>
    <x v="0"/>
    <x v="4"/>
    <x v="2"/>
    <x v="2"/>
    <x v="0"/>
  </r>
  <r>
    <x v="0"/>
    <x v="3"/>
    <x v="10"/>
    <x v="2"/>
    <x v="0"/>
    <x v="4"/>
    <x v="2"/>
    <x v="2"/>
    <x v="0"/>
  </r>
  <r>
    <x v="0"/>
    <x v="3"/>
    <x v="11"/>
    <x v="2"/>
    <x v="0"/>
    <x v="4"/>
    <x v="2"/>
    <x v="2"/>
    <x v="0"/>
  </r>
  <r>
    <x v="0"/>
    <x v="3"/>
    <x v="12"/>
    <x v="2"/>
    <x v="0"/>
    <x v="4"/>
    <x v="2"/>
    <x v="2"/>
    <x v="0"/>
  </r>
  <r>
    <x v="0"/>
    <x v="3"/>
    <x v="13"/>
    <x v="2"/>
    <x v="0"/>
    <x v="4"/>
    <x v="2"/>
    <x v="2"/>
    <x v="0"/>
  </r>
  <r>
    <x v="0"/>
    <x v="3"/>
    <x v="14"/>
    <x v="2"/>
    <x v="0"/>
    <x v="4"/>
    <x v="2"/>
    <x v="2"/>
    <x v="0"/>
  </r>
  <r>
    <x v="0"/>
    <x v="3"/>
    <x v="15"/>
    <x v="2"/>
    <x v="0"/>
    <x v="4"/>
    <x v="2"/>
    <x v="2"/>
    <x v="0"/>
  </r>
  <r>
    <x v="0"/>
    <x v="3"/>
    <x v="16"/>
    <x v="2"/>
    <x v="0"/>
    <x v="4"/>
    <x v="2"/>
    <x v="2"/>
    <x v="0"/>
  </r>
  <r>
    <x v="0"/>
    <x v="3"/>
    <x v="17"/>
    <x v="2"/>
    <x v="0"/>
    <x v="4"/>
    <x v="2"/>
    <x v="2"/>
    <x v="0"/>
  </r>
  <r>
    <x v="0"/>
    <x v="3"/>
    <x v="6"/>
    <x v="2"/>
    <x v="1"/>
    <x v="5"/>
    <x v="2"/>
    <x v="2"/>
    <x v="0"/>
  </r>
  <r>
    <x v="0"/>
    <x v="3"/>
    <x v="7"/>
    <x v="2"/>
    <x v="1"/>
    <x v="5"/>
    <x v="2"/>
    <x v="2"/>
    <x v="0"/>
  </r>
  <r>
    <x v="0"/>
    <x v="3"/>
    <x v="8"/>
    <x v="2"/>
    <x v="1"/>
    <x v="5"/>
    <x v="2"/>
    <x v="2"/>
    <x v="0"/>
  </r>
  <r>
    <x v="0"/>
    <x v="3"/>
    <x v="9"/>
    <x v="2"/>
    <x v="1"/>
    <x v="5"/>
    <x v="2"/>
    <x v="2"/>
    <x v="0"/>
  </r>
  <r>
    <x v="0"/>
    <x v="3"/>
    <x v="10"/>
    <x v="2"/>
    <x v="1"/>
    <x v="5"/>
    <x v="2"/>
    <x v="2"/>
    <x v="0"/>
  </r>
  <r>
    <x v="0"/>
    <x v="3"/>
    <x v="11"/>
    <x v="2"/>
    <x v="1"/>
    <x v="5"/>
    <x v="2"/>
    <x v="2"/>
    <x v="0"/>
  </r>
  <r>
    <x v="0"/>
    <x v="3"/>
    <x v="12"/>
    <x v="2"/>
    <x v="1"/>
    <x v="5"/>
    <x v="2"/>
    <x v="2"/>
    <x v="0"/>
  </r>
  <r>
    <x v="0"/>
    <x v="3"/>
    <x v="13"/>
    <x v="2"/>
    <x v="1"/>
    <x v="5"/>
    <x v="2"/>
    <x v="2"/>
    <x v="0"/>
  </r>
  <r>
    <x v="0"/>
    <x v="3"/>
    <x v="14"/>
    <x v="2"/>
    <x v="1"/>
    <x v="5"/>
    <x v="2"/>
    <x v="2"/>
    <x v="0"/>
  </r>
  <r>
    <x v="0"/>
    <x v="3"/>
    <x v="15"/>
    <x v="2"/>
    <x v="1"/>
    <x v="5"/>
    <x v="2"/>
    <x v="2"/>
    <x v="0"/>
  </r>
  <r>
    <x v="0"/>
    <x v="3"/>
    <x v="16"/>
    <x v="2"/>
    <x v="1"/>
    <x v="5"/>
    <x v="2"/>
    <x v="2"/>
    <x v="0"/>
  </r>
  <r>
    <x v="0"/>
    <x v="3"/>
    <x v="17"/>
    <x v="2"/>
    <x v="1"/>
    <x v="5"/>
    <x v="2"/>
    <x v="2"/>
    <x v="0"/>
  </r>
  <r>
    <x v="1"/>
    <x v="0"/>
    <x v="0"/>
    <x v="0"/>
    <x v="0"/>
    <x v="0"/>
    <x v="3"/>
    <x v="3"/>
    <x v="0"/>
  </r>
  <r>
    <x v="1"/>
    <x v="0"/>
    <x v="1"/>
    <x v="0"/>
    <x v="0"/>
    <x v="0"/>
    <x v="3"/>
    <x v="3"/>
    <x v="0"/>
  </r>
  <r>
    <x v="1"/>
    <x v="0"/>
    <x v="2"/>
    <x v="0"/>
    <x v="0"/>
    <x v="0"/>
    <x v="3"/>
    <x v="3"/>
    <x v="0"/>
  </r>
  <r>
    <x v="1"/>
    <x v="0"/>
    <x v="3"/>
    <x v="0"/>
    <x v="0"/>
    <x v="0"/>
    <x v="3"/>
    <x v="3"/>
    <x v="0"/>
  </r>
  <r>
    <x v="1"/>
    <x v="0"/>
    <x v="4"/>
    <x v="0"/>
    <x v="0"/>
    <x v="0"/>
    <x v="3"/>
    <x v="3"/>
    <x v="0"/>
  </r>
  <r>
    <x v="1"/>
    <x v="0"/>
    <x v="5"/>
    <x v="0"/>
    <x v="0"/>
    <x v="0"/>
    <x v="3"/>
    <x v="3"/>
    <x v="0"/>
  </r>
  <r>
    <x v="1"/>
    <x v="0"/>
    <x v="6"/>
    <x v="0"/>
    <x v="0"/>
    <x v="0"/>
    <x v="3"/>
    <x v="3"/>
    <x v="0"/>
  </r>
  <r>
    <x v="1"/>
    <x v="0"/>
    <x v="7"/>
    <x v="0"/>
    <x v="0"/>
    <x v="0"/>
    <x v="3"/>
    <x v="3"/>
    <x v="0"/>
  </r>
  <r>
    <x v="1"/>
    <x v="0"/>
    <x v="8"/>
    <x v="0"/>
    <x v="0"/>
    <x v="0"/>
    <x v="3"/>
    <x v="3"/>
    <x v="0"/>
  </r>
  <r>
    <x v="1"/>
    <x v="0"/>
    <x v="9"/>
    <x v="0"/>
    <x v="0"/>
    <x v="0"/>
    <x v="3"/>
    <x v="3"/>
    <x v="0"/>
  </r>
  <r>
    <x v="1"/>
    <x v="0"/>
    <x v="10"/>
    <x v="0"/>
    <x v="0"/>
    <x v="0"/>
    <x v="3"/>
    <x v="3"/>
    <x v="0"/>
  </r>
  <r>
    <x v="1"/>
    <x v="0"/>
    <x v="11"/>
    <x v="0"/>
    <x v="0"/>
    <x v="0"/>
    <x v="3"/>
    <x v="3"/>
    <x v="0"/>
  </r>
  <r>
    <x v="1"/>
    <x v="0"/>
    <x v="12"/>
    <x v="0"/>
    <x v="0"/>
    <x v="0"/>
    <x v="3"/>
    <x v="3"/>
    <x v="0"/>
  </r>
  <r>
    <x v="1"/>
    <x v="0"/>
    <x v="13"/>
    <x v="0"/>
    <x v="0"/>
    <x v="0"/>
    <x v="3"/>
    <x v="3"/>
    <x v="0"/>
  </r>
  <r>
    <x v="1"/>
    <x v="0"/>
    <x v="14"/>
    <x v="0"/>
    <x v="0"/>
    <x v="0"/>
    <x v="3"/>
    <x v="3"/>
    <x v="0"/>
  </r>
  <r>
    <x v="1"/>
    <x v="0"/>
    <x v="1"/>
    <x v="0"/>
    <x v="1"/>
    <x v="1"/>
    <x v="3"/>
    <x v="3"/>
    <x v="0"/>
  </r>
  <r>
    <x v="1"/>
    <x v="0"/>
    <x v="2"/>
    <x v="0"/>
    <x v="1"/>
    <x v="1"/>
    <x v="3"/>
    <x v="3"/>
    <x v="0"/>
  </r>
  <r>
    <x v="1"/>
    <x v="0"/>
    <x v="3"/>
    <x v="0"/>
    <x v="1"/>
    <x v="1"/>
    <x v="3"/>
    <x v="3"/>
    <x v="0"/>
  </r>
  <r>
    <x v="1"/>
    <x v="0"/>
    <x v="4"/>
    <x v="0"/>
    <x v="1"/>
    <x v="1"/>
    <x v="3"/>
    <x v="3"/>
    <x v="0"/>
  </r>
  <r>
    <x v="1"/>
    <x v="0"/>
    <x v="5"/>
    <x v="0"/>
    <x v="1"/>
    <x v="1"/>
    <x v="3"/>
    <x v="3"/>
    <x v="0"/>
  </r>
  <r>
    <x v="1"/>
    <x v="0"/>
    <x v="6"/>
    <x v="0"/>
    <x v="1"/>
    <x v="1"/>
    <x v="3"/>
    <x v="3"/>
    <x v="0"/>
  </r>
  <r>
    <x v="1"/>
    <x v="0"/>
    <x v="7"/>
    <x v="0"/>
    <x v="1"/>
    <x v="1"/>
    <x v="3"/>
    <x v="3"/>
    <x v="0"/>
  </r>
  <r>
    <x v="1"/>
    <x v="0"/>
    <x v="8"/>
    <x v="0"/>
    <x v="1"/>
    <x v="1"/>
    <x v="3"/>
    <x v="3"/>
    <x v="0"/>
  </r>
  <r>
    <x v="1"/>
    <x v="0"/>
    <x v="9"/>
    <x v="0"/>
    <x v="1"/>
    <x v="1"/>
    <x v="3"/>
    <x v="3"/>
    <x v="0"/>
  </r>
  <r>
    <x v="1"/>
    <x v="0"/>
    <x v="10"/>
    <x v="0"/>
    <x v="1"/>
    <x v="1"/>
    <x v="3"/>
    <x v="3"/>
    <x v="0"/>
  </r>
  <r>
    <x v="1"/>
    <x v="0"/>
    <x v="11"/>
    <x v="0"/>
    <x v="1"/>
    <x v="1"/>
    <x v="3"/>
    <x v="3"/>
    <x v="0"/>
  </r>
  <r>
    <x v="1"/>
    <x v="0"/>
    <x v="12"/>
    <x v="0"/>
    <x v="1"/>
    <x v="1"/>
    <x v="3"/>
    <x v="3"/>
    <x v="0"/>
  </r>
  <r>
    <x v="1"/>
    <x v="0"/>
    <x v="13"/>
    <x v="0"/>
    <x v="1"/>
    <x v="1"/>
    <x v="3"/>
    <x v="3"/>
    <x v="0"/>
  </r>
  <r>
    <x v="1"/>
    <x v="0"/>
    <x v="14"/>
    <x v="0"/>
    <x v="1"/>
    <x v="1"/>
    <x v="3"/>
    <x v="3"/>
    <x v="0"/>
  </r>
  <r>
    <x v="1"/>
    <x v="1"/>
    <x v="14"/>
    <x v="0"/>
    <x v="0"/>
    <x v="0"/>
    <x v="3"/>
    <x v="3"/>
    <x v="0"/>
  </r>
  <r>
    <x v="1"/>
    <x v="1"/>
    <x v="15"/>
    <x v="0"/>
    <x v="0"/>
    <x v="0"/>
    <x v="3"/>
    <x v="3"/>
    <x v="0"/>
  </r>
  <r>
    <x v="1"/>
    <x v="1"/>
    <x v="16"/>
    <x v="0"/>
    <x v="0"/>
    <x v="0"/>
    <x v="3"/>
    <x v="3"/>
    <x v="0"/>
  </r>
  <r>
    <x v="1"/>
    <x v="1"/>
    <x v="17"/>
    <x v="0"/>
    <x v="0"/>
    <x v="0"/>
    <x v="3"/>
    <x v="3"/>
    <x v="0"/>
  </r>
  <r>
    <x v="1"/>
    <x v="1"/>
    <x v="14"/>
    <x v="0"/>
    <x v="1"/>
    <x v="1"/>
    <x v="3"/>
    <x v="3"/>
    <x v="0"/>
  </r>
  <r>
    <x v="1"/>
    <x v="1"/>
    <x v="15"/>
    <x v="0"/>
    <x v="1"/>
    <x v="1"/>
    <x v="3"/>
    <x v="3"/>
    <x v="0"/>
  </r>
  <r>
    <x v="1"/>
    <x v="1"/>
    <x v="16"/>
    <x v="0"/>
    <x v="1"/>
    <x v="1"/>
    <x v="3"/>
    <x v="3"/>
    <x v="0"/>
  </r>
  <r>
    <x v="1"/>
    <x v="1"/>
    <x v="17"/>
    <x v="0"/>
    <x v="1"/>
    <x v="1"/>
    <x v="3"/>
    <x v="3"/>
    <x v="0"/>
  </r>
  <r>
    <x v="1"/>
    <x v="2"/>
    <x v="1"/>
    <x v="0"/>
    <x v="0"/>
    <x v="2"/>
    <x v="3"/>
    <x v="3"/>
    <x v="1"/>
  </r>
  <r>
    <x v="1"/>
    <x v="2"/>
    <x v="2"/>
    <x v="0"/>
    <x v="0"/>
    <x v="2"/>
    <x v="3"/>
    <x v="3"/>
    <x v="1"/>
  </r>
  <r>
    <x v="1"/>
    <x v="2"/>
    <x v="3"/>
    <x v="0"/>
    <x v="0"/>
    <x v="2"/>
    <x v="3"/>
    <x v="3"/>
    <x v="1"/>
  </r>
  <r>
    <x v="1"/>
    <x v="2"/>
    <x v="4"/>
    <x v="0"/>
    <x v="0"/>
    <x v="2"/>
    <x v="3"/>
    <x v="3"/>
    <x v="1"/>
  </r>
  <r>
    <x v="1"/>
    <x v="2"/>
    <x v="5"/>
    <x v="0"/>
    <x v="0"/>
    <x v="2"/>
    <x v="3"/>
    <x v="3"/>
    <x v="1"/>
  </r>
  <r>
    <x v="1"/>
    <x v="2"/>
    <x v="6"/>
    <x v="0"/>
    <x v="0"/>
    <x v="2"/>
    <x v="3"/>
    <x v="3"/>
    <x v="1"/>
  </r>
  <r>
    <x v="1"/>
    <x v="2"/>
    <x v="7"/>
    <x v="0"/>
    <x v="0"/>
    <x v="2"/>
    <x v="3"/>
    <x v="3"/>
    <x v="1"/>
  </r>
  <r>
    <x v="1"/>
    <x v="2"/>
    <x v="8"/>
    <x v="0"/>
    <x v="0"/>
    <x v="2"/>
    <x v="3"/>
    <x v="3"/>
    <x v="1"/>
  </r>
  <r>
    <x v="1"/>
    <x v="2"/>
    <x v="9"/>
    <x v="0"/>
    <x v="0"/>
    <x v="2"/>
    <x v="3"/>
    <x v="3"/>
    <x v="1"/>
  </r>
  <r>
    <x v="1"/>
    <x v="2"/>
    <x v="10"/>
    <x v="0"/>
    <x v="0"/>
    <x v="2"/>
    <x v="3"/>
    <x v="3"/>
    <x v="1"/>
  </r>
  <r>
    <x v="1"/>
    <x v="2"/>
    <x v="11"/>
    <x v="0"/>
    <x v="0"/>
    <x v="2"/>
    <x v="3"/>
    <x v="3"/>
    <x v="1"/>
  </r>
  <r>
    <x v="1"/>
    <x v="2"/>
    <x v="12"/>
    <x v="0"/>
    <x v="0"/>
    <x v="2"/>
    <x v="3"/>
    <x v="3"/>
    <x v="1"/>
  </r>
  <r>
    <x v="1"/>
    <x v="2"/>
    <x v="13"/>
    <x v="0"/>
    <x v="0"/>
    <x v="2"/>
    <x v="3"/>
    <x v="3"/>
    <x v="1"/>
  </r>
  <r>
    <x v="1"/>
    <x v="2"/>
    <x v="14"/>
    <x v="0"/>
    <x v="0"/>
    <x v="2"/>
    <x v="3"/>
    <x v="3"/>
    <x v="1"/>
  </r>
  <r>
    <x v="1"/>
    <x v="2"/>
    <x v="15"/>
    <x v="0"/>
    <x v="0"/>
    <x v="2"/>
    <x v="3"/>
    <x v="3"/>
    <x v="1"/>
  </r>
  <r>
    <x v="1"/>
    <x v="2"/>
    <x v="16"/>
    <x v="0"/>
    <x v="0"/>
    <x v="2"/>
    <x v="3"/>
    <x v="3"/>
    <x v="1"/>
  </r>
  <r>
    <x v="1"/>
    <x v="2"/>
    <x v="17"/>
    <x v="0"/>
    <x v="0"/>
    <x v="2"/>
    <x v="3"/>
    <x v="3"/>
    <x v="1"/>
  </r>
  <r>
    <x v="1"/>
    <x v="2"/>
    <x v="1"/>
    <x v="0"/>
    <x v="1"/>
    <x v="3"/>
    <x v="3"/>
    <x v="3"/>
    <x v="1"/>
  </r>
  <r>
    <x v="1"/>
    <x v="2"/>
    <x v="2"/>
    <x v="0"/>
    <x v="1"/>
    <x v="3"/>
    <x v="3"/>
    <x v="3"/>
    <x v="1"/>
  </r>
  <r>
    <x v="1"/>
    <x v="2"/>
    <x v="3"/>
    <x v="0"/>
    <x v="1"/>
    <x v="3"/>
    <x v="3"/>
    <x v="3"/>
    <x v="1"/>
  </r>
  <r>
    <x v="1"/>
    <x v="2"/>
    <x v="4"/>
    <x v="0"/>
    <x v="1"/>
    <x v="3"/>
    <x v="3"/>
    <x v="3"/>
    <x v="1"/>
  </r>
  <r>
    <x v="1"/>
    <x v="2"/>
    <x v="5"/>
    <x v="0"/>
    <x v="1"/>
    <x v="3"/>
    <x v="3"/>
    <x v="3"/>
    <x v="1"/>
  </r>
  <r>
    <x v="1"/>
    <x v="2"/>
    <x v="6"/>
    <x v="0"/>
    <x v="1"/>
    <x v="3"/>
    <x v="3"/>
    <x v="3"/>
    <x v="1"/>
  </r>
  <r>
    <x v="1"/>
    <x v="2"/>
    <x v="7"/>
    <x v="0"/>
    <x v="1"/>
    <x v="3"/>
    <x v="3"/>
    <x v="3"/>
    <x v="1"/>
  </r>
  <r>
    <x v="1"/>
    <x v="2"/>
    <x v="8"/>
    <x v="0"/>
    <x v="1"/>
    <x v="3"/>
    <x v="3"/>
    <x v="3"/>
    <x v="1"/>
  </r>
  <r>
    <x v="1"/>
    <x v="2"/>
    <x v="9"/>
    <x v="0"/>
    <x v="1"/>
    <x v="3"/>
    <x v="3"/>
    <x v="3"/>
    <x v="1"/>
  </r>
  <r>
    <x v="1"/>
    <x v="2"/>
    <x v="10"/>
    <x v="0"/>
    <x v="1"/>
    <x v="3"/>
    <x v="3"/>
    <x v="3"/>
    <x v="1"/>
  </r>
  <r>
    <x v="1"/>
    <x v="2"/>
    <x v="11"/>
    <x v="0"/>
    <x v="1"/>
    <x v="3"/>
    <x v="3"/>
    <x v="3"/>
    <x v="1"/>
  </r>
  <r>
    <x v="1"/>
    <x v="2"/>
    <x v="12"/>
    <x v="0"/>
    <x v="1"/>
    <x v="3"/>
    <x v="3"/>
    <x v="3"/>
    <x v="1"/>
  </r>
  <r>
    <x v="1"/>
    <x v="2"/>
    <x v="13"/>
    <x v="0"/>
    <x v="1"/>
    <x v="3"/>
    <x v="3"/>
    <x v="3"/>
    <x v="1"/>
  </r>
  <r>
    <x v="1"/>
    <x v="2"/>
    <x v="14"/>
    <x v="0"/>
    <x v="1"/>
    <x v="3"/>
    <x v="3"/>
    <x v="3"/>
    <x v="1"/>
  </r>
  <r>
    <x v="1"/>
    <x v="2"/>
    <x v="15"/>
    <x v="0"/>
    <x v="1"/>
    <x v="3"/>
    <x v="3"/>
    <x v="3"/>
    <x v="1"/>
  </r>
  <r>
    <x v="1"/>
    <x v="2"/>
    <x v="16"/>
    <x v="0"/>
    <x v="1"/>
    <x v="3"/>
    <x v="3"/>
    <x v="3"/>
    <x v="1"/>
  </r>
  <r>
    <x v="1"/>
    <x v="2"/>
    <x v="17"/>
    <x v="0"/>
    <x v="1"/>
    <x v="3"/>
    <x v="3"/>
    <x v="3"/>
    <x v="1"/>
  </r>
  <r>
    <x v="1"/>
    <x v="3"/>
    <x v="6"/>
    <x v="0"/>
    <x v="0"/>
    <x v="4"/>
    <x v="3"/>
    <x v="3"/>
    <x v="0"/>
  </r>
  <r>
    <x v="1"/>
    <x v="3"/>
    <x v="7"/>
    <x v="0"/>
    <x v="0"/>
    <x v="4"/>
    <x v="3"/>
    <x v="3"/>
    <x v="0"/>
  </r>
  <r>
    <x v="1"/>
    <x v="3"/>
    <x v="8"/>
    <x v="0"/>
    <x v="0"/>
    <x v="4"/>
    <x v="3"/>
    <x v="3"/>
    <x v="0"/>
  </r>
  <r>
    <x v="1"/>
    <x v="3"/>
    <x v="9"/>
    <x v="0"/>
    <x v="0"/>
    <x v="4"/>
    <x v="3"/>
    <x v="3"/>
    <x v="0"/>
  </r>
  <r>
    <x v="1"/>
    <x v="3"/>
    <x v="10"/>
    <x v="0"/>
    <x v="0"/>
    <x v="4"/>
    <x v="3"/>
    <x v="3"/>
    <x v="0"/>
  </r>
  <r>
    <x v="1"/>
    <x v="3"/>
    <x v="11"/>
    <x v="0"/>
    <x v="0"/>
    <x v="4"/>
    <x v="3"/>
    <x v="3"/>
    <x v="0"/>
  </r>
  <r>
    <x v="1"/>
    <x v="3"/>
    <x v="12"/>
    <x v="0"/>
    <x v="0"/>
    <x v="4"/>
    <x v="3"/>
    <x v="3"/>
    <x v="0"/>
  </r>
  <r>
    <x v="1"/>
    <x v="3"/>
    <x v="13"/>
    <x v="0"/>
    <x v="0"/>
    <x v="4"/>
    <x v="3"/>
    <x v="3"/>
    <x v="0"/>
  </r>
  <r>
    <x v="1"/>
    <x v="3"/>
    <x v="14"/>
    <x v="0"/>
    <x v="0"/>
    <x v="4"/>
    <x v="3"/>
    <x v="3"/>
    <x v="0"/>
  </r>
  <r>
    <x v="1"/>
    <x v="3"/>
    <x v="15"/>
    <x v="0"/>
    <x v="0"/>
    <x v="4"/>
    <x v="3"/>
    <x v="3"/>
    <x v="0"/>
  </r>
  <r>
    <x v="1"/>
    <x v="3"/>
    <x v="16"/>
    <x v="0"/>
    <x v="0"/>
    <x v="4"/>
    <x v="3"/>
    <x v="3"/>
    <x v="0"/>
  </r>
  <r>
    <x v="1"/>
    <x v="3"/>
    <x v="17"/>
    <x v="0"/>
    <x v="0"/>
    <x v="4"/>
    <x v="3"/>
    <x v="3"/>
    <x v="0"/>
  </r>
  <r>
    <x v="1"/>
    <x v="3"/>
    <x v="6"/>
    <x v="0"/>
    <x v="1"/>
    <x v="5"/>
    <x v="3"/>
    <x v="3"/>
    <x v="0"/>
  </r>
  <r>
    <x v="1"/>
    <x v="3"/>
    <x v="7"/>
    <x v="0"/>
    <x v="1"/>
    <x v="5"/>
    <x v="3"/>
    <x v="3"/>
    <x v="0"/>
  </r>
  <r>
    <x v="1"/>
    <x v="3"/>
    <x v="8"/>
    <x v="0"/>
    <x v="1"/>
    <x v="5"/>
    <x v="3"/>
    <x v="3"/>
    <x v="0"/>
  </r>
  <r>
    <x v="1"/>
    <x v="3"/>
    <x v="9"/>
    <x v="0"/>
    <x v="1"/>
    <x v="5"/>
    <x v="3"/>
    <x v="3"/>
    <x v="0"/>
  </r>
  <r>
    <x v="1"/>
    <x v="3"/>
    <x v="10"/>
    <x v="0"/>
    <x v="1"/>
    <x v="5"/>
    <x v="3"/>
    <x v="3"/>
    <x v="0"/>
  </r>
  <r>
    <x v="1"/>
    <x v="3"/>
    <x v="11"/>
    <x v="0"/>
    <x v="1"/>
    <x v="5"/>
    <x v="3"/>
    <x v="3"/>
    <x v="0"/>
  </r>
  <r>
    <x v="1"/>
    <x v="3"/>
    <x v="12"/>
    <x v="0"/>
    <x v="1"/>
    <x v="5"/>
    <x v="3"/>
    <x v="3"/>
    <x v="0"/>
  </r>
  <r>
    <x v="1"/>
    <x v="3"/>
    <x v="13"/>
    <x v="0"/>
    <x v="1"/>
    <x v="5"/>
    <x v="3"/>
    <x v="3"/>
    <x v="0"/>
  </r>
  <r>
    <x v="1"/>
    <x v="3"/>
    <x v="14"/>
    <x v="0"/>
    <x v="1"/>
    <x v="5"/>
    <x v="3"/>
    <x v="3"/>
    <x v="0"/>
  </r>
  <r>
    <x v="1"/>
    <x v="3"/>
    <x v="15"/>
    <x v="0"/>
    <x v="1"/>
    <x v="5"/>
    <x v="3"/>
    <x v="3"/>
    <x v="0"/>
  </r>
  <r>
    <x v="1"/>
    <x v="3"/>
    <x v="16"/>
    <x v="0"/>
    <x v="1"/>
    <x v="5"/>
    <x v="3"/>
    <x v="3"/>
    <x v="0"/>
  </r>
  <r>
    <x v="1"/>
    <x v="3"/>
    <x v="17"/>
    <x v="0"/>
    <x v="1"/>
    <x v="5"/>
    <x v="3"/>
    <x v="3"/>
    <x v="0"/>
  </r>
  <r>
    <x v="1"/>
    <x v="0"/>
    <x v="0"/>
    <x v="1"/>
    <x v="0"/>
    <x v="0"/>
    <x v="4"/>
    <x v="1"/>
    <x v="0"/>
  </r>
  <r>
    <x v="1"/>
    <x v="0"/>
    <x v="1"/>
    <x v="1"/>
    <x v="0"/>
    <x v="0"/>
    <x v="4"/>
    <x v="1"/>
    <x v="0"/>
  </r>
  <r>
    <x v="1"/>
    <x v="0"/>
    <x v="2"/>
    <x v="1"/>
    <x v="0"/>
    <x v="0"/>
    <x v="4"/>
    <x v="1"/>
    <x v="0"/>
  </r>
  <r>
    <x v="1"/>
    <x v="0"/>
    <x v="3"/>
    <x v="1"/>
    <x v="0"/>
    <x v="0"/>
    <x v="4"/>
    <x v="1"/>
    <x v="0"/>
  </r>
  <r>
    <x v="1"/>
    <x v="0"/>
    <x v="4"/>
    <x v="1"/>
    <x v="0"/>
    <x v="0"/>
    <x v="4"/>
    <x v="1"/>
    <x v="0"/>
  </r>
  <r>
    <x v="1"/>
    <x v="0"/>
    <x v="5"/>
    <x v="1"/>
    <x v="0"/>
    <x v="0"/>
    <x v="4"/>
    <x v="1"/>
    <x v="0"/>
  </r>
  <r>
    <x v="1"/>
    <x v="0"/>
    <x v="6"/>
    <x v="1"/>
    <x v="0"/>
    <x v="0"/>
    <x v="4"/>
    <x v="1"/>
    <x v="0"/>
  </r>
  <r>
    <x v="1"/>
    <x v="0"/>
    <x v="7"/>
    <x v="1"/>
    <x v="0"/>
    <x v="0"/>
    <x v="4"/>
    <x v="1"/>
    <x v="0"/>
  </r>
  <r>
    <x v="1"/>
    <x v="0"/>
    <x v="8"/>
    <x v="1"/>
    <x v="0"/>
    <x v="0"/>
    <x v="4"/>
    <x v="1"/>
    <x v="0"/>
  </r>
  <r>
    <x v="1"/>
    <x v="0"/>
    <x v="9"/>
    <x v="1"/>
    <x v="0"/>
    <x v="0"/>
    <x v="4"/>
    <x v="1"/>
    <x v="0"/>
  </r>
  <r>
    <x v="1"/>
    <x v="0"/>
    <x v="10"/>
    <x v="1"/>
    <x v="0"/>
    <x v="0"/>
    <x v="4"/>
    <x v="1"/>
    <x v="0"/>
  </r>
  <r>
    <x v="1"/>
    <x v="0"/>
    <x v="11"/>
    <x v="1"/>
    <x v="0"/>
    <x v="0"/>
    <x v="4"/>
    <x v="1"/>
    <x v="0"/>
  </r>
  <r>
    <x v="1"/>
    <x v="0"/>
    <x v="12"/>
    <x v="1"/>
    <x v="0"/>
    <x v="0"/>
    <x v="4"/>
    <x v="1"/>
    <x v="0"/>
  </r>
  <r>
    <x v="1"/>
    <x v="0"/>
    <x v="13"/>
    <x v="1"/>
    <x v="0"/>
    <x v="0"/>
    <x v="4"/>
    <x v="1"/>
    <x v="0"/>
  </r>
  <r>
    <x v="1"/>
    <x v="0"/>
    <x v="14"/>
    <x v="1"/>
    <x v="0"/>
    <x v="0"/>
    <x v="4"/>
    <x v="1"/>
    <x v="0"/>
  </r>
  <r>
    <x v="1"/>
    <x v="0"/>
    <x v="1"/>
    <x v="1"/>
    <x v="1"/>
    <x v="1"/>
    <x v="4"/>
    <x v="1"/>
    <x v="0"/>
  </r>
  <r>
    <x v="1"/>
    <x v="0"/>
    <x v="2"/>
    <x v="1"/>
    <x v="1"/>
    <x v="1"/>
    <x v="4"/>
    <x v="1"/>
    <x v="0"/>
  </r>
  <r>
    <x v="1"/>
    <x v="0"/>
    <x v="3"/>
    <x v="1"/>
    <x v="1"/>
    <x v="1"/>
    <x v="4"/>
    <x v="1"/>
    <x v="0"/>
  </r>
  <r>
    <x v="1"/>
    <x v="0"/>
    <x v="4"/>
    <x v="1"/>
    <x v="1"/>
    <x v="1"/>
    <x v="4"/>
    <x v="1"/>
    <x v="0"/>
  </r>
  <r>
    <x v="1"/>
    <x v="0"/>
    <x v="5"/>
    <x v="1"/>
    <x v="1"/>
    <x v="1"/>
    <x v="4"/>
    <x v="1"/>
    <x v="0"/>
  </r>
  <r>
    <x v="1"/>
    <x v="0"/>
    <x v="6"/>
    <x v="1"/>
    <x v="1"/>
    <x v="1"/>
    <x v="4"/>
    <x v="1"/>
    <x v="0"/>
  </r>
  <r>
    <x v="1"/>
    <x v="0"/>
    <x v="7"/>
    <x v="1"/>
    <x v="1"/>
    <x v="1"/>
    <x v="4"/>
    <x v="1"/>
    <x v="0"/>
  </r>
  <r>
    <x v="1"/>
    <x v="0"/>
    <x v="8"/>
    <x v="1"/>
    <x v="1"/>
    <x v="1"/>
    <x v="4"/>
    <x v="1"/>
    <x v="0"/>
  </r>
  <r>
    <x v="1"/>
    <x v="0"/>
    <x v="9"/>
    <x v="1"/>
    <x v="1"/>
    <x v="1"/>
    <x v="4"/>
    <x v="1"/>
    <x v="0"/>
  </r>
  <r>
    <x v="1"/>
    <x v="0"/>
    <x v="10"/>
    <x v="1"/>
    <x v="1"/>
    <x v="1"/>
    <x v="4"/>
    <x v="1"/>
    <x v="0"/>
  </r>
  <r>
    <x v="1"/>
    <x v="0"/>
    <x v="11"/>
    <x v="1"/>
    <x v="1"/>
    <x v="1"/>
    <x v="4"/>
    <x v="1"/>
    <x v="0"/>
  </r>
  <r>
    <x v="1"/>
    <x v="0"/>
    <x v="12"/>
    <x v="1"/>
    <x v="1"/>
    <x v="1"/>
    <x v="4"/>
    <x v="1"/>
    <x v="0"/>
  </r>
  <r>
    <x v="1"/>
    <x v="0"/>
    <x v="13"/>
    <x v="1"/>
    <x v="1"/>
    <x v="1"/>
    <x v="4"/>
    <x v="1"/>
    <x v="0"/>
  </r>
  <r>
    <x v="1"/>
    <x v="0"/>
    <x v="14"/>
    <x v="1"/>
    <x v="1"/>
    <x v="1"/>
    <x v="4"/>
    <x v="1"/>
    <x v="0"/>
  </r>
  <r>
    <x v="1"/>
    <x v="1"/>
    <x v="14"/>
    <x v="1"/>
    <x v="0"/>
    <x v="0"/>
    <x v="4"/>
    <x v="1"/>
    <x v="0"/>
  </r>
  <r>
    <x v="1"/>
    <x v="1"/>
    <x v="15"/>
    <x v="1"/>
    <x v="0"/>
    <x v="0"/>
    <x v="4"/>
    <x v="1"/>
    <x v="0"/>
  </r>
  <r>
    <x v="1"/>
    <x v="1"/>
    <x v="16"/>
    <x v="1"/>
    <x v="0"/>
    <x v="0"/>
    <x v="4"/>
    <x v="1"/>
    <x v="0"/>
  </r>
  <r>
    <x v="1"/>
    <x v="1"/>
    <x v="17"/>
    <x v="1"/>
    <x v="0"/>
    <x v="0"/>
    <x v="4"/>
    <x v="1"/>
    <x v="0"/>
  </r>
  <r>
    <x v="1"/>
    <x v="1"/>
    <x v="14"/>
    <x v="1"/>
    <x v="1"/>
    <x v="1"/>
    <x v="4"/>
    <x v="1"/>
    <x v="0"/>
  </r>
  <r>
    <x v="1"/>
    <x v="1"/>
    <x v="15"/>
    <x v="1"/>
    <x v="1"/>
    <x v="1"/>
    <x v="4"/>
    <x v="1"/>
    <x v="0"/>
  </r>
  <r>
    <x v="1"/>
    <x v="1"/>
    <x v="16"/>
    <x v="1"/>
    <x v="1"/>
    <x v="1"/>
    <x v="4"/>
    <x v="1"/>
    <x v="0"/>
  </r>
  <r>
    <x v="1"/>
    <x v="1"/>
    <x v="17"/>
    <x v="1"/>
    <x v="1"/>
    <x v="1"/>
    <x v="4"/>
    <x v="1"/>
    <x v="0"/>
  </r>
  <r>
    <x v="1"/>
    <x v="2"/>
    <x v="1"/>
    <x v="1"/>
    <x v="0"/>
    <x v="2"/>
    <x v="4"/>
    <x v="1"/>
    <x v="1"/>
  </r>
  <r>
    <x v="1"/>
    <x v="2"/>
    <x v="2"/>
    <x v="1"/>
    <x v="0"/>
    <x v="2"/>
    <x v="4"/>
    <x v="1"/>
    <x v="1"/>
  </r>
  <r>
    <x v="1"/>
    <x v="2"/>
    <x v="3"/>
    <x v="1"/>
    <x v="0"/>
    <x v="2"/>
    <x v="4"/>
    <x v="1"/>
    <x v="1"/>
  </r>
  <r>
    <x v="1"/>
    <x v="2"/>
    <x v="4"/>
    <x v="1"/>
    <x v="0"/>
    <x v="2"/>
    <x v="4"/>
    <x v="1"/>
    <x v="1"/>
  </r>
  <r>
    <x v="1"/>
    <x v="2"/>
    <x v="5"/>
    <x v="1"/>
    <x v="0"/>
    <x v="2"/>
    <x v="4"/>
    <x v="1"/>
    <x v="1"/>
  </r>
  <r>
    <x v="1"/>
    <x v="2"/>
    <x v="6"/>
    <x v="1"/>
    <x v="0"/>
    <x v="2"/>
    <x v="4"/>
    <x v="1"/>
    <x v="1"/>
  </r>
  <r>
    <x v="1"/>
    <x v="2"/>
    <x v="7"/>
    <x v="1"/>
    <x v="0"/>
    <x v="2"/>
    <x v="4"/>
    <x v="1"/>
    <x v="1"/>
  </r>
  <r>
    <x v="1"/>
    <x v="2"/>
    <x v="8"/>
    <x v="1"/>
    <x v="0"/>
    <x v="2"/>
    <x v="4"/>
    <x v="1"/>
    <x v="1"/>
  </r>
  <r>
    <x v="1"/>
    <x v="2"/>
    <x v="9"/>
    <x v="1"/>
    <x v="0"/>
    <x v="2"/>
    <x v="4"/>
    <x v="1"/>
    <x v="1"/>
  </r>
  <r>
    <x v="1"/>
    <x v="2"/>
    <x v="10"/>
    <x v="1"/>
    <x v="0"/>
    <x v="2"/>
    <x v="4"/>
    <x v="1"/>
    <x v="1"/>
  </r>
  <r>
    <x v="1"/>
    <x v="2"/>
    <x v="11"/>
    <x v="1"/>
    <x v="0"/>
    <x v="2"/>
    <x v="4"/>
    <x v="1"/>
    <x v="1"/>
  </r>
  <r>
    <x v="1"/>
    <x v="2"/>
    <x v="12"/>
    <x v="1"/>
    <x v="0"/>
    <x v="2"/>
    <x v="4"/>
    <x v="1"/>
    <x v="1"/>
  </r>
  <r>
    <x v="1"/>
    <x v="2"/>
    <x v="13"/>
    <x v="1"/>
    <x v="0"/>
    <x v="2"/>
    <x v="4"/>
    <x v="1"/>
    <x v="1"/>
  </r>
  <r>
    <x v="1"/>
    <x v="2"/>
    <x v="14"/>
    <x v="1"/>
    <x v="0"/>
    <x v="2"/>
    <x v="4"/>
    <x v="1"/>
    <x v="1"/>
  </r>
  <r>
    <x v="1"/>
    <x v="2"/>
    <x v="15"/>
    <x v="1"/>
    <x v="0"/>
    <x v="2"/>
    <x v="4"/>
    <x v="1"/>
    <x v="1"/>
  </r>
  <r>
    <x v="1"/>
    <x v="2"/>
    <x v="16"/>
    <x v="1"/>
    <x v="0"/>
    <x v="2"/>
    <x v="4"/>
    <x v="1"/>
    <x v="1"/>
  </r>
  <r>
    <x v="1"/>
    <x v="2"/>
    <x v="17"/>
    <x v="1"/>
    <x v="0"/>
    <x v="2"/>
    <x v="4"/>
    <x v="1"/>
    <x v="1"/>
  </r>
  <r>
    <x v="1"/>
    <x v="2"/>
    <x v="1"/>
    <x v="1"/>
    <x v="1"/>
    <x v="3"/>
    <x v="4"/>
    <x v="1"/>
    <x v="1"/>
  </r>
  <r>
    <x v="1"/>
    <x v="2"/>
    <x v="2"/>
    <x v="1"/>
    <x v="1"/>
    <x v="3"/>
    <x v="4"/>
    <x v="1"/>
    <x v="1"/>
  </r>
  <r>
    <x v="1"/>
    <x v="2"/>
    <x v="3"/>
    <x v="1"/>
    <x v="1"/>
    <x v="3"/>
    <x v="4"/>
    <x v="1"/>
    <x v="1"/>
  </r>
  <r>
    <x v="1"/>
    <x v="2"/>
    <x v="4"/>
    <x v="1"/>
    <x v="1"/>
    <x v="3"/>
    <x v="4"/>
    <x v="1"/>
    <x v="1"/>
  </r>
  <r>
    <x v="1"/>
    <x v="2"/>
    <x v="5"/>
    <x v="1"/>
    <x v="1"/>
    <x v="3"/>
    <x v="4"/>
    <x v="1"/>
    <x v="1"/>
  </r>
  <r>
    <x v="1"/>
    <x v="2"/>
    <x v="6"/>
    <x v="1"/>
    <x v="1"/>
    <x v="3"/>
    <x v="4"/>
    <x v="1"/>
    <x v="1"/>
  </r>
  <r>
    <x v="1"/>
    <x v="2"/>
    <x v="7"/>
    <x v="1"/>
    <x v="1"/>
    <x v="3"/>
    <x v="4"/>
    <x v="1"/>
    <x v="1"/>
  </r>
  <r>
    <x v="1"/>
    <x v="2"/>
    <x v="8"/>
    <x v="1"/>
    <x v="1"/>
    <x v="3"/>
    <x v="4"/>
    <x v="1"/>
    <x v="1"/>
  </r>
  <r>
    <x v="1"/>
    <x v="2"/>
    <x v="9"/>
    <x v="1"/>
    <x v="1"/>
    <x v="3"/>
    <x v="4"/>
    <x v="1"/>
    <x v="1"/>
  </r>
  <r>
    <x v="1"/>
    <x v="2"/>
    <x v="10"/>
    <x v="1"/>
    <x v="1"/>
    <x v="3"/>
    <x v="4"/>
    <x v="1"/>
    <x v="1"/>
  </r>
  <r>
    <x v="1"/>
    <x v="2"/>
    <x v="11"/>
    <x v="1"/>
    <x v="1"/>
    <x v="3"/>
    <x v="4"/>
    <x v="1"/>
    <x v="1"/>
  </r>
  <r>
    <x v="1"/>
    <x v="2"/>
    <x v="12"/>
    <x v="1"/>
    <x v="1"/>
    <x v="3"/>
    <x v="4"/>
    <x v="1"/>
    <x v="1"/>
  </r>
  <r>
    <x v="1"/>
    <x v="2"/>
    <x v="13"/>
    <x v="1"/>
    <x v="1"/>
    <x v="3"/>
    <x v="4"/>
    <x v="1"/>
    <x v="1"/>
  </r>
  <r>
    <x v="1"/>
    <x v="2"/>
    <x v="14"/>
    <x v="1"/>
    <x v="1"/>
    <x v="3"/>
    <x v="4"/>
    <x v="1"/>
    <x v="1"/>
  </r>
  <r>
    <x v="1"/>
    <x v="2"/>
    <x v="15"/>
    <x v="1"/>
    <x v="1"/>
    <x v="3"/>
    <x v="4"/>
    <x v="1"/>
    <x v="1"/>
  </r>
  <r>
    <x v="1"/>
    <x v="2"/>
    <x v="16"/>
    <x v="1"/>
    <x v="1"/>
    <x v="3"/>
    <x v="4"/>
    <x v="1"/>
    <x v="1"/>
  </r>
  <r>
    <x v="1"/>
    <x v="2"/>
    <x v="17"/>
    <x v="1"/>
    <x v="1"/>
    <x v="3"/>
    <x v="4"/>
    <x v="1"/>
    <x v="1"/>
  </r>
  <r>
    <x v="1"/>
    <x v="3"/>
    <x v="6"/>
    <x v="1"/>
    <x v="0"/>
    <x v="4"/>
    <x v="4"/>
    <x v="1"/>
    <x v="0"/>
  </r>
  <r>
    <x v="1"/>
    <x v="3"/>
    <x v="7"/>
    <x v="1"/>
    <x v="0"/>
    <x v="4"/>
    <x v="4"/>
    <x v="1"/>
    <x v="0"/>
  </r>
  <r>
    <x v="1"/>
    <x v="3"/>
    <x v="8"/>
    <x v="1"/>
    <x v="0"/>
    <x v="4"/>
    <x v="4"/>
    <x v="1"/>
    <x v="0"/>
  </r>
  <r>
    <x v="1"/>
    <x v="3"/>
    <x v="9"/>
    <x v="1"/>
    <x v="0"/>
    <x v="4"/>
    <x v="4"/>
    <x v="1"/>
    <x v="0"/>
  </r>
  <r>
    <x v="1"/>
    <x v="3"/>
    <x v="10"/>
    <x v="1"/>
    <x v="0"/>
    <x v="4"/>
    <x v="4"/>
    <x v="1"/>
    <x v="0"/>
  </r>
  <r>
    <x v="1"/>
    <x v="3"/>
    <x v="11"/>
    <x v="1"/>
    <x v="0"/>
    <x v="4"/>
    <x v="4"/>
    <x v="1"/>
    <x v="0"/>
  </r>
  <r>
    <x v="1"/>
    <x v="3"/>
    <x v="12"/>
    <x v="1"/>
    <x v="0"/>
    <x v="4"/>
    <x v="4"/>
    <x v="1"/>
    <x v="0"/>
  </r>
  <r>
    <x v="1"/>
    <x v="3"/>
    <x v="13"/>
    <x v="1"/>
    <x v="0"/>
    <x v="4"/>
    <x v="4"/>
    <x v="1"/>
    <x v="0"/>
  </r>
  <r>
    <x v="1"/>
    <x v="3"/>
    <x v="14"/>
    <x v="1"/>
    <x v="0"/>
    <x v="4"/>
    <x v="4"/>
    <x v="1"/>
    <x v="0"/>
  </r>
  <r>
    <x v="1"/>
    <x v="3"/>
    <x v="15"/>
    <x v="1"/>
    <x v="0"/>
    <x v="4"/>
    <x v="4"/>
    <x v="1"/>
    <x v="0"/>
  </r>
  <r>
    <x v="1"/>
    <x v="3"/>
    <x v="16"/>
    <x v="1"/>
    <x v="0"/>
    <x v="4"/>
    <x v="4"/>
    <x v="1"/>
    <x v="0"/>
  </r>
  <r>
    <x v="1"/>
    <x v="3"/>
    <x v="17"/>
    <x v="1"/>
    <x v="0"/>
    <x v="4"/>
    <x v="4"/>
    <x v="1"/>
    <x v="0"/>
  </r>
  <r>
    <x v="1"/>
    <x v="3"/>
    <x v="6"/>
    <x v="1"/>
    <x v="1"/>
    <x v="5"/>
    <x v="4"/>
    <x v="1"/>
    <x v="0"/>
  </r>
  <r>
    <x v="1"/>
    <x v="3"/>
    <x v="7"/>
    <x v="1"/>
    <x v="1"/>
    <x v="5"/>
    <x v="4"/>
    <x v="1"/>
    <x v="0"/>
  </r>
  <r>
    <x v="1"/>
    <x v="3"/>
    <x v="8"/>
    <x v="1"/>
    <x v="1"/>
    <x v="5"/>
    <x v="4"/>
    <x v="1"/>
    <x v="0"/>
  </r>
  <r>
    <x v="1"/>
    <x v="3"/>
    <x v="9"/>
    <x v="1"/>
    <x v="1"/>
    <x v="5"/>
    <x v="4"/>
    <x v="1"/>
    <x v="0"/>
  </r>
  <r>
    <x v="1"/>
    <x v="3"/>
    <x v="10"/>
    <x v="1"/>
    <x v="1"/>
    <x v="5"/>
    <x v="4"/>
    <x v="1"/>
    <x v="0"/>
  </r>
  <r>
    <x v="1"/>
    <x v="3"/>
    <x v="11"/>
    <x v="1"/>
    <x v="1"/>
    <x v="5"/>
    <x v="4"/>
    <x v="1"/>
    <x v="0"/>
  </r>
  <r>
    <x v="1"/>
    <x v="3"/>
    <x v="12"/>
    <x v="1"/>
    <x v="1"/>
    <x v="5"/>
    <x v="4"/>
    <x v="1"/>
    <x v="0"/>
  </r>
  <r>
    <x v="1"/>
    <x v="3"/>
    <x v="13"/>
    <x v="1"/>
    <x v="1"/>
    <x v="5"/>
    <x v="4"/>
    <x v="1"/>
    <x v="0"/>
  </r>
  <r>
    <x v="1"/>
    <x v="3"/>
    <x v="14"/>
    <x v="1"/>
    <x v="1"/>
    <x v="5"/>
    <x v="4"/>
    <x v="1"/>
    <x v="0"/>
  </r>
  <r>
    <x v="1"/>
    <x v="3"/>
    <x v="15"/>
    <x v="1"/>
    <x v="1"/>
    <x v="5"/>
    <x v="4"/>
    <x v="1"/>
    <x v="0"/>
  </r>
  <r>
    <x v="1"/>
    <x v="3"/>
    <x v="16"/>
    <x v="1"/>
    <x v="1"/>
    <x v="5"/>
    <x v="4"/>
    <x v="1"/>
    <x v="0"/>
  </r>
  <r>
    <x v="1"/>
    <x v="3"/>
    <x v="17"/>
    <x v="1"/>
    <x v="1"/>
    <x v="5"/>
    <x v="4"/>
    <x v="1"/>
    <x v="0"/>
  </r>
  <r>
    <x v="1"/>
    <x v="0"/>
    <x v="0"/>
    <x v="2"/>
    <x v="0"/>
    <x v="0"/>
    <x v="2"/>
    <x v="2"/>
    <x v="0"/>
  </r>
  <r>
    <x v="1"/>
    <x v="0"/>
    <x v="1"/>
    <x v="2"/>
    <x v="0"/>
    <x v="0"/>
    <x v="2"/>
    <x v="2"/>
    <x v="0"/>
  </r>
  <r>
    <x v="1"/>
    <x v="0"/>
    <x v="2"/>
    <x v="2"/>
    <x v="0"/>
    <x v="0"/>
    <x v="2"/>
    <x v="2"/>
    <x v="0"/>
  </r>
  <r>
    <x v="1"/>
    <x v="0"/>
    <x v="3"/>
    <x v="2"/>
    <x v="0"/>
    <x v="0"/>
    <x v="2"/>
    <x v="2"/>
    <x v="0"/>
  </r>
  <r>
    <x v="1"/>
    <x v="0"/>
    <x v="4"/>
    <x v="2"/>
    <x v="0"/>
    <x v="0"/>
    <x v="2"/>
    <x v="2"/>
    <x v="0"/>
  </r>
  <r>
    <x v="1"/>
    <x v="0"/>
    <x v="5"/>
    <x v="2"/>
    <x v="0"/>
    <x v="0"/>
    <x v="2"/>
    <x v="2"/>
    <x v="0"/>
  </r>
  <r>
    <x v="1"/>
    <x v="0"/>
    <x v="6"/>
    <x v="2"/>
    <x v="0"/>
    <x v="0"/>
    <x v="2"/>
    <x v="2"/>
    <x v="0"/>
  </r>
  <r>
    <x v="1"/>
    <x v="0"/>
    <x v="7"/>
    <x v="2"/>
    <x v="0"/>
    <x v="0"/>
    <x v="2"/>
    <x v="2"/>
    <x v="0"/>
  </r>
  <r>
    <x v="1"/>
    <x v="0"/>
    <x v="8"/>
    <x v="2"/>
    <x v="0"/>
    <x v="0"/>
    <x v="2"/>
    <x v="2"/>
    <x v="0"/>
  </r>
  <r>
    <x v="1"/>
    <x v="0"/>
    <x v="9"/>
    <x v="2"/>
    <x v="0"/>
    <x v="0"/>
    <x v="2"/>
    <x v="2"/>
    <x v="0"/>
  </r>
  <r>
    <x v="1"/>
    <x v="0"/>
    <x v="10"/>
    <x v="2"/>
    <x v="0"/>
    <x v="0"/>
    <x v="2"/>
    <x v="2"/>
    <x v="0"/>
  </r>
  <r>
    <x v="1"/>
    <x v="0"/>
    <x v="11"/>
    <x v="2"/>
    <x v="0"/>
    <x v="0"/>
    <x v="2"/>
    <x v="2"/>
    <x v="0"/>
  </r>
  <r>
    <x v="1"/>
    <x v="0"/>
    <x v="12"/>
    <x v="2"/>
    <x v="0"/>
    <x v="0"/>
    <x v="2"/>
    <x v="2"/>
    <x v="0"/>
  </r>
  <r>
    <x v="1"/>
    <x v="0"/>
    <x v="13"/>
    <x v="2"/>
    <x v="0"/>
    <x v="0"/>
    <x v="2"/>
    <x v="2"/>
    <x v="0"/>
  </r>
  <r>
    <x v="1"/>
    <x v="0"/>
    <x v="14"/>
    <x v="2"/>
    <x v="0"/>
    <x v="0"/>
    <x v="2"/>
    <x v="2"/>
    <x v="0"/>
  </r>
  <r>
    <x v="1"/>
    <x v="0"/>
    <x v="1"/>
    <x v="2"/>
    <x v="1"/>
    <x v="1"/>
    <x v="2"/>
    <x v="2"/>
    <x v="0"/>
  </r>
  <r>
    <x v="1"/>
    <x v="0"/>
    <x v="2"/>
    <x v="2"/>
    <x v="1"/>
    <x v="1"/>
    <x v="2"/>
    <x v="2"/>
    <x v="0"/>
  </r>
  <r>
    <x v="1"/>
    <x v="0"/>
    <x v="3"/>
    <x v="2"/>
    <x v="1"/>
    <x v="1"/>
    <x v="2"/>
    <x v="2"/>
    <x v="0"/>
  </r>
  <r>
    <x v="1"/>
    <x v="0"/>
    <x v="4"/>
    <x v="2"/>
    <x v="1"/>
    <x v="1"/>
    <x v="2"/>
    <x v="2"/>
    <x v="0"/>
  </r>
  <r>
    <x v="1"/>
    <x v="0"/>
    <x v="5"/>
    <x v="2"/>
    <x v="1"/>
    <x v="1"/>
    <x v="2"/>
    <x v="2"/>
    <x v="0"/>
  </r>
  <r>
    <x v="1"/>
    <x v="0"/>
    <x v="6"/>
    <x v="2"/>
    <x v="1"/>
    <x v="1"/>
    <x v="2"/>
    <x v="2"/>
    <x v="0"/>
  </r>
  <r>
    <x v="1"/>
    <x v="0"/>
    <x v="7"/>
    <x v="2"/>
    <x v="1"/>
    <x v="1"/>
    <x v="2"/>
    <x v="2"/>
    <x v="0"/>
  </r>
  <r>
    <x v="1"/>
    <x v="0"/>
    <x v="8"/>
    <x v="2"/>
    <x v="1"/>
    <x v="1"/>
    <x v="2"/>
    <x v="2"/>
    <x v="0"/>
  </r>
  <r>
    <x v="1"/>
    <x v="0"/>
    <x v="9"/>
    <x v="2"/>
    <x v="1"/>
    <x v="1"/>
    <x v="2"/>
    <x v="2"/>
    <x v="0"/>
  </r>
  <r>
    <x v="1"/>
    <x v="0"/>
    <x v="10"/>
    <x v="2"/>
    <x v="1"/>
    <x v="1"/>
    <x v="2"/>
    <x v="2"/>
    <x v="0"/>
  </r>
  <r>
    <x v="1"/>
    <x v="0"/>
    <x v="11"/>
    <x v="2"/>
    <x v="1"/>
    <x v="1"/>
    <x v="2"/>
    <x v="2"/>
    <x v="0"/>
  </r>
  <r>
    <x v="1"/>
    <x v="0"/>
    <x v="12"/>
    <x v="2"/>
    <x v="1"/>
    <x v="1"/>
    <x v="2"/>
    <x v="2"/>
    <x v="0"/>
  </r>
  <r>
    <x v="1"/>
    <x v="0"/>
    <x v="13"/>
    <x v="2"/>
    <x v="1"/>
    <x v="1"/>
    <x v="2"/>
    <x v="2"/>
    <x v="0"/>
  </r>
  <r>
    <x v="1"/>
    <x v="0"/>
    <x v="14"/>
    <x v="2"/>
    <x v="1"/>
    <x v="1"/>
    <x v="2"/>
    <x v="2"/>
    <x v="0"/>
  </r>
  <r>
    <x v="1"/>
    <x v="1"/>
    <x v="14"/>
    <x v="2"/>
    <x v="0"/>
    <x v="0"/>
    <x v="2"/>
    <x v="2"/>
    <x v="0"/>
  </r>
  <r>
    <x v="1"/>
    <x v="1"/>
    <x v="15"/>
    <x v="2"/>
    <x v="0"/>
    <x v="0"/>
    <x v="2"/>
    <x v="2"/>
    <x v="0"/>
  </r>
  <r>
    <x v="1"/>
    <x v="1"/>
    <x v="16"/>
    <x v="2"/>
    <x v="0"/>
    <x v="0"/>
    <x v="2"/>
    <x v="2"/>
    <x v="0"/>
  </r>
  <r>
    <x v="1"/>
    <x v="1"/>
    <x v="17"/>
    <x v="2"/>
    <x v="0"/>
    <x v="0"/>
    <x v="2"/>
    <x v="2"/>
    <x v="0"/>
  </r>
  <r>
    <x v="1"/>
    <x v="1"/>
    <x v="14"/>
    <x v="2"/>
    <x v="1"/>
    <x v="1"/>
    <x v="2"/>
    <x v="2"/>
    <x v="0"/>
  </r>
  <r>
    <x v="1"/>
    <x v="1"/>
    <x v="15"/>
    <x v="2"/>
    <x v="1"/>
    <x v="1"/>
    <x v="2"/>
    <x v="2"/>
    <x v="0"/>
  </r>
  <r>
    <x v="1"/>
    <x v="1"/>
    <x v="16"/>
    <x v="2"/>
    <x v="1"/>
    <x v="1"/>
    <x v="2"/>
    <x v="2"/>
    <x v="0"/>
  </r>
  <r>
    <x v="1"/>
    <x v="1"/>
    <x v="17"/>
    <x v="2"/>
    <x v="1"/>
    <x v="1"/>
    <x v="2"/>
    <x v="2"/>
    <x v="0"/>
  </r>
  <r>
    <x v="1"/>
    <x v="2"/>
    <x v="1"/>
    <x v="2"/>
    <x v="0"/>
    <x v="2"/>
    <x v="2"/>
    <x v="2"/>
    <x v="1"/>
  </r>
  <r>
    <x v="1"/>
    <x v="2"/>
    <x v="2"/>
    <x v="2"/>
    <x v="0"/>
    <x v="2"/>
    <x v="2"/>
    <x v="2"/>
    <x v="1"/>
  </r>
  <r>
    <x v="1"/>
    <x v="2"/>
    <x v="3"/>
    <x v="2"/>
    <x v="0"/>
    <x v="2"/>
    <x v="2"/>
    <x v="2"/>
    <x v="1"/>
  </r>
  <r>
    <x v="1"/>
    <x v="2"/>
    <x v="4"/>
    <x v="2"/>
    <x v="0"/>
    <x v="2"/>
    <x v="2"/>
    <x v="2"/>
    <x v="1"/>
  </r>
  <r>
    <x v="1"/>
    <x v="2"/>
    <x v="5"/>
    <x v="2"/>
    <x v="0"/>
    <x v="2"/>
    <x v="2"/>
    <x v="2"/>
    <x v="1"/>
  </r>
  <r>
    <x v="1"/>
    <x v="2"/>
    <x v="6"/>
    <x v="2"/>
    <x v="0"/>
    <x v="2"/>
    <x v="2"/>
    <x v="2"/>
    <x v="1"/>
  </r>
  <r>
    <x v="1"/>
    <x v="2"/>
    <x v="7"/>
    <x v="2"/>
    <x v="0"/>
    <x v="2"/>
    <x v="2"/>
    <x v="2"/>
    <x v="1"/>
  </r>
  <r>
    <x v="1"/>
    <x v="2"/>
    <x v="8"/>
    <x v="2"/>
    <x v="0"/>
    <x v="2"/>
    <x v="2"/>
    <x v="2"/>
    <x v="1"/>
  </r>
  <r>
    <x v="1"/>
    <x v="2"/>
    <x v="9"/>
    <x v="2"/>
    <x v="0"/>
    <x v="2"/>
    <x v="2"/>
    <x v="2"/>
    <x v="1"/>
  </r>
  <r>
    <x v="1"/>
    <x v="2"/>
    <x v="10"/>
    <x v="2"/>
    <x v="0"/>
    <x v="2"/>
    <x v="2"/>
    <x v="2"/>
    <x v="1"/>
  </r>
  <r>
    <x v="1"/>
    <x v="2"/>
    <x v="11"/>
    <x v="2"/>
    <x v="0"/>
    <x v="2"/>
    <x v="2"/>
    <x v="2"/>
    <x v="1"/>
  </r>
  <r>
    <x v="1"/>
    <x v="2"/>
    <x v="12"/>
    <x v="2"/>
    <x v="0"/>
    <x v="2"/>
    <x v="2"/>
    <x v="2"/>
    <x v="1"/>
  </r>
  <r>
    <x v="1"/>
    <x v="2"/>
    <x v="13"/>
    <x v="2"/>
    <x v="0"/>
    <x v="2"/>
    <x v="2"/>
    <x v="2"/>
    <x v="1"/>
  </r>
  <r>
    <x v="1"/>
    <x v="2"/>
    <x v="14"/>
    <x v="2"/>
    <x v="0"/>
    <x v="2"/>
    <x v="2"/>
    <x v="2"/>
    <x v="1"/>
  </r>
  <r>
    <x v="1"/>
    <x v="2"/>
    <x v="15"/>
    <x v="2"/>
    <x v="0"/>
    <x v="2"/>
    <x v="2"/>
    <x v="2"/>
    <x v="1"/>
  </r>
  <r>
    <x v="1"/>
    <x v="2"/>
    <x v="16"/>
    <x v="2"/>
    <x v="0"/>
    <x v="2"/>
    <x v="2"/>
    <x v="2"/>
    <x v="1"/>
  </r>
  <r>
    <x v="1"/>
    <x v="2"/>
    <x v="17"/>
    <x v="2"/>
    <x v="0"/>
    <x v="2"/>
    <x v="2"/>
    <x v="2"/>
    <x v="1"/>
  </r>
  <r>
    <x v="1"/>
    <x v="2"/>
    <x v="1"/>
    <x v="2"/>
    <x v="1"/>
    <x v="3"/>
    <x v="2"/>
    <x v="2"/>
    <x v="1"/>
  </r>
  <r>
    <x v="1"/>
    <x v="2"/>
    <x v="2"/>
    <x v="2"/>
    <x v="1"/>
    <x v="3"/>
    <x v="2"/>
    <x v="2"/>
    <x v="1"/>
  </r>
  <r>
    <x v="1"/>
    <x v="2"/>
    <x v="3"/>
    <x v="2"/>
    <x v="1"/>
    <x v="3"/>
    <x v="2"/>
    <x v="2"/>
    <x v="1"/>
  </r>
  <r>
    <x v="1"/>
    <x v="2"/>
    <x v="4"/>
    <x v="2"/>
    <x v="1"/>
    <x v="3"/>
    <x v="2"/>
    <x v="2"/>
    <x v="1"/>
  </r>
  <r>
    <x v="1"/>
    <x v="2"/>
    <x v="5"/>
    <x v="2"/>
    <x v="1"/>
    <x v="3"/>
    <x v="2"/>
    <x v="2"/>
    <x v="1"/>
  </r>
  <r>
    <x v="1"/>
    <x v="2"/>
    <x v="6"/>
    <x v="2"/>
    <x v="1"/>
    <x v="3"/>
    <x v="2"/>
    <x v="2"/>
    <x v="1"/>
  </r>
  <r>
    <x v="1"/>
    <x v="2"/>
    <x v="7"/>
    <x v="2"/>
    <x v="1"/>
    <x v="3"/>
    <x v="2"/>
    <x v="2"/>
    <x v="1"/>
  </r>
  <r>
    <x v="1"/>
    <x v="2"/>
    <x v="8"/>
    <x v="2"/>
    <x v="1"/>
    <x v="3"/>
    <x v="2"/>
    <x v="2"/>
    <x v="1"/>
  </r>
  <r>
    <x v="1"/>
    <x v="2"/>
    <x v="9"/>
    <x v="2"/>
    <x v="1"/>
    <x v="3"/>
    <x v="2"/>
    <x v="2"/>
    <x v="1"/>
  </r>
  <r>
    <x v="1"/>
    <x v="2"/>
    <x v="10"/>
    <x v="2"/>
    <x v="1"/>
    <x v="3"/>
    <x v="2"/>
    <x v="2"/>
    <x v="1"/>
  </r>
  <r>
    <x v="1"/>
    <x v="2"/>
    <x v="11"/>
    <x v="2"/>
    <x v="1"/>
    <x v="3"/>
    <x v="2"/>
    <x v="2"/>
    <x v="1"/>
  </r>
  <r>
    <x v="1"/>
    <x v="2"/>
    <x v="12"/>
    <x v="2"/>
    <x v="1"/>
    <x v="3"/>
    <x v="2"/>
    <x v="2"/>
    <x v="1"/>
  </r>
  <r>
    <x v="1"/>
    <x v="2"/>
    <x v="13"/>
    <x v="2"/>
    <x v="1"/>
    <x v="3"/>
    <x v="2"/>
    <x v="2"/>
    <x v="1"/>
  </r>
  <r>
    <x v="1"/>
    <x v="2"/>
    <x v="14"/>
    <x v="2"/>
    <x v="1"/>
    <x v="3"/>
    <x v="2"/>
    <x v="2"/>
    <x v="1"/>
  </r>
  <r>
    <x v="1"/>
    <x v="2"/>
    <x v="15"/>
    <x v="2"/>
    <x v="1"/>
    <x v="3"/>
    <x v="2"/>
    <x v="2"/>
    <x v="1"/>
  </r>
  <r>
    <x v="1"/>
    <x v="2"/>
    <x v="16"/>
    <x v="2"/>
    <x v="1"/>
    <x v="3"/>
    <x v="2"/>
    <x v="2"/>
    <x v="1"/>
  </r>
  <r>
    <x v="1"/>
    <x v="2"/>
    <x v="17"/>
    <x v="2"/>
    <x v="1"/>
    <x v="3"/>
    <x v="2"/>
    <x v="2"/>
    <x v="1"/>
  </r>
  <r>
    <x v="1"/>
    <x v="3"/>
    <x v="6"/>
    <x v="2"/>
    <x v="0"/>
    <x v="4"/>
    <x v="2"/>
    <x v="2"/>
    <x v="0"/>
  </r>
  <r>
    <x v="1"/>
    <x v="3"/>
    <x v="7"/>
    <x v="2"/>
    <x v="0"/>
    <x v="4"/>
    <x v="2"/>
    <x v="2"/>
    <x v="0"/>
  </r>
  <r>
    <x v="1"/>
    <x v="3"/>
    <x v="8"/>
    <x v="2"/>
    <x v="0"/>
    <x v="4"/>
    <x v="2"/>
    <x v="2"/>
    <x v="0"/>
  </r>
  <r>
    <x v="1"/>
    <x v="3"/>
    <x v="9"/>
    <x v="2"/>
    <x v="0"/>
    <x v="4"/>
    <x v="2"/>
    <x v="2"/>
    <x v="0"/>
  </r>
  <r>
    <x v="1"/>
    <x v="3"/>
    <x v="10"/>
    <x v="2"/>
    <x v="0"/>
    <x v="4"/>
    <x v="2"/>
    <x v="2"/>
    <x v="0"/>
  </r>
  <r>
    <x v="1"/>
    <x v="3"/>
    <x v="11"/>
    <x v="2"/>
    <x v="0"/>
    <x v="4"/>
    <x v="2"/>
    <x v="2"/>
    <x v="0"/>
  </r>
  <r>
    <x v="1"/>
    <x v="3"/>
    <x v="12"/>
    <x v="2"/>
    <x v="0"/>
    <x v="4"/>
    <x v="2"/>
    <x v="2"/>
    <x v="0"/>
  </r>
  <r>
    <x v="1"/>
    <x v="3"/>
    <x v="13"/>
    <x v="2"/>
    <x v="0"/>
    <x v="4"/>
    <x v="2"/>
    <x v="2"/>
    <x v="0"/>
  </r>
  <r>
    <x v="1"/>
    <x v="3"/>
    <x v="14"/>
    <x v="2"/>
    <x v="0"/>
    <x v="4"/>
    <x v="2"/>
    <x v="2"/>
    <x v="0"/>
  </r>
  <r>
    <x v="1"/>
    <x v="3"/>
    <x v="15"/>
    <x v="2"/>
    <x v="0"/>
    <x v="4"/>
    <x v="2"/>
    <x v="2"/>
    <x v="0"/>
  </r>
  <r>
    <x v="1"/>
    <x v="3"/>
    <x v="16"/>
    <x v="2"/>
    <x v="0"/>
    <x v="4"/>
    <x v="2"/>
    <x v="2"/>
    <x v="0"/>
  </r>
  <r>
    <x v="1"/>
    <x v="3"/>
    <x v="17"/>
    <x v="2"/>
    <x v="0"/>
    <x v="4"/>
    <x v="2"/>
    <x v="2"/>
    <x v="0"/>
  </r>
  <r>
    <x v="1"/>
    <x v="3"/>
    <x v="6"/>
    <x v="2"/>
    <x v="1"/>
    <x v="5"/>
    <x v="2"/>
    <x v="2"/>
    <x v="0"/>
  </r>
  <r>
    <x v="1"/>
    <x v="3"/>
    <x v="7"/>
    <x v="2"/>
    <x v="1"/>
    <x v="5"/>
    <x v="2"/>
    <x v="2"/>
    <x v="0"/>
  </r>
  <r>
    <x v="1"/>
    <x v="3"/>
    <x v="8"/>
    <x v="2"/>
    <x v="1"/>
    <x v="5"/>
    <x v="2"/>
    <x v="2"/>
    <x v="0"/>
  </r>
  <r>
    <x v="1"/>
    <x v="3"/>
    <x v="9"/>
    <x v="2"/>
    <x v="1"/>
    <x v="5"/>
    <x v="2"/>
    <x v="2"/>
    <x v="0"/>
  </r>
  <r>
    <x v="1"/>
    <x v="3"/>
    <x v="10"/>
    <x v="2"/>
    <x v="1"/>
    <x v="5"/>
    <x v="2"/>
    <x v="2"/>
    <x v="0"/>
  </r>
  <r>
    <x v="1"/>
    <x v="3"/>
    <x v="11"/>
    <x v="2"/>
    <x v="1"/>
    <x v="5"/>
    <x v="2"/>
    <x v="2"/>
    <x v="0"/>
  </r>
  <r>
    <x v="1"/>
    <x v="3"/>
    <x v="12"/>
    <x v="2"/>
    <x v="1"/>
    <x v="5"/>
    <x v="2"/>
    <x v="2"/>
    <x v="0"/>
  </r>
  <r>
    <x v="1"/>
    <x v="3"/>
    <x v="13"/>
    <x v="2"/>
    <x v="1"/>
    <x v="5"/>
    <x v="2"/>
    <x v="2"/>
    <x v="0"/>
  </r>
  <r>
    <x v="1"/>
    <x v="3"/>
    <x v="14"/>
    <x v="2"/>
    <x v="1"/>
    <x v="5"/>
    <x v="2"/>
    <x v="2"/>
    <x v="0"/>
  </r>
  <r>
    <x v="1"/>
    <x v="3"/>
    <x v="15"/>
    <x v="2"/>
    <x v="1"/>
    <x v="5"/>
    <x v="2"/>
    <x v="2"/>
    <x v="0"/>
  </r>
  <r>
    <x v="1"/>
    <x v="3"/>
    <x v="16"/>
    <x v="2"/>
    <x v="1"/>
    <x v="5"/>
    <x v="2"/>
    <x v="2"/>
    <x v="0"/>
  </r>
  <r>
    <x v="1"/>
    <x v="3"/>
    <x v="17"/>
    <x v="2"/>
    <x v="1"/>
    <x v="5"/>
    <x v="2"/>
    <x v="2"/>
    <x v="0"/>
  </r>
  <r>
    <x v="0"/>
    <x v="4"/>
    <x v="1"/>
    <x v="0"/>
    <x v="0"/>
    <x v="0"/>
    <x v="0"/>
    <x v="0"/>
    <x v="1"/>
  </r>
  <r>
    <x v="0"/>
    <x v="4"/>
    <x v="1"/>
    <x v="0"/>
    <x v="0"/>
    <x v="0"/>
    <x v="0"/>
    <x v="0"/>
    <x v="1"/>
  </r>
  <r>
    <x v="0"/>
    <x v="4"/>
    <x v="2"/>
    <x v="0"/>
    <x v="0"/>
    <x v="0"/>
    <x v="0"/>
    <x v="0"/>
    <x v="1"/>
  </r>
  <r>
    <x v="0"/>
    <x v="4"/>
    <x v="3"/>
    <x v="0"/>
    <x v="0"/>
    <x v="0"/>
    <x v="0"/>
    <x v="0"/>
    <x v="1"/>
  </r>
  <r>
    <x v="0"/>
    <x v="4"/>
    <x v="4"/>
    <x v="0"/>
    <x v="0"/>
    <x v="0"/>
    <x v="0"/>
    <x v="0"/>
    <x v="1"/>
  </r>
  <r>
    <x v="0"/>
    <x v="4"/>
    <x v="5"/>
    <x v="0"/>
    <x v="0"/>
    <x v="0"/>
    <x v="0"/>
    <x v="0"/>
    <x v="1"/>
  </r>
  <r>
    <x v="0"/>
    <x v="4"/>
    <x v="6"/>
    <x v="0"/>
    <x v="0"/>
    <x v="0"/>
    <x v="0"/>
    <x v="0"/>
    <x v="1"/>
  </r>
  <r>
    <x v="0"/>
    <x v="4"/>
    <x v="7"/>
    <x v="0"/>
    <x v="0"/>
    <x v="0"/>
    <x v="0"/>
    <x v="0"/>
    <x v="1"/>
  </r>
  <r>
    <x v="0"/>
    <x v="4"/>
    <x v="8"/>
    <x v="0"/>
    <x v="0"/>
    <x v="0"/>
    <x v="0"/>
    <x v="0"/>
    <x v="1"/>
  </r>
  <r>
    <x v="0"/>
    <x v="4"/>
    <x v="9"/>
    <x v="0"/>
    <x v="0"/>
    <x v="0"/>
    <x v="0"/>
    <x v="0"/>
    <x v="1"/>
  </r>
  <r>
    <x v="0"/>
    <x v="4"/>
    <x v="10"/>
    <x v="0"/>
    <x v="0"/>
    <x v="0"/>
    <x v="0"/>
    <x v="0"/>
    <x v="1"/>
  </r>
  <r>
    <x v="0"/>
    <x v="4"/>
    <x v="11"/>
    <x v="0"/>
    <x v="0"/>
    <x v="0"/>
    <x v="0"/>
    <x v="0"/>
    <x v="1"/>
  </r>
  <r>
    <x v="0"/>
    <x v="4"/>
    <x v="12"/>
    <x v="0"/>
    <x v="0"/>
    <x v="0"/>
    <x v="0"/>
    <x v="0"/>
    <x v="1"/>
  </r>
  <r>
    <x v="0"/>
    <x v="4"/>
    <x v="13"/>
    <x v="0"/>
    <x v="0"/>
    <x v="0"/>
    <x v="0"/>
    <x v="0"/>
    <x v="1"/>
  </r>
  <r>
    <x v="0"/>
    <x v="4"/>
    <x v="14"/>
    <x v="0"/>
    <x v="0"/>
    <x v="0"/>
    <x v="0"/>
    <x v="0"/>
    <x v="1"/>
  </r>
  <r>
    <x v="0"/>
    <x v="4"/>
    <x v="1"/>
    <x v="1"/>
    <x v="0"/>
    <x v="0"/>
    <x v="1"/>
    <x v="1"/>
    <x v="1"/>
  </r>
  <r>
    <x v="0"/>
    <x v="4"/>
    <x v="1"/>
    <x v="1"/>
    <x v="0"/>
    <x v="0"/>
    <x v="1"/>
    <x v="1"/>
    <x v="1"/>
  </r>
  <r>
    <x v="0"/>
    <x v="4"/>
    <x v="2"/>
    <x v="1"/>
    <x v="0"/>
    <x v="0"/>
    <x v="1"/>
    <x v="1"/>
    <x v="1"/>
  </r>
  <r>
    <x v="0"/>
    <x v="4"/>
    <x v="3"/>
    <x v="1"/>
    <x v="0"/>
    <x v="0"/>
    <x v="1"/>
    <x v="1"/>
    <x v="1"/>
  </r>
  <r>
    <x v="0"/>
    <x v="4"/>
    <x v="4"/>
    <x v="1"/>
    <x v="0"/>
    <x v="0"/>
    <x v="1"/>
    <x v="1"/>
    <x v="1"/>
  </r>
  <r>
    <x v="0"/>
    <x v="4"/>
    <x v="5"/>
    <x v="1"/>
    <x v="0"/>
    <x v="0"/>
    <x v="1"/>
    <x v="1"/>
    <x v="1"/>
  </r>
  <r>
    <x v="0"/>
    <x v="4"/>
    <x v="6"/>
    <x v="1"/>
    <x v="0"/>
    <x v="0"/>
    <x v="1"/>
    <x v="1"/>
    <x v="1"/>
  </r>
  <r>
    <x v="0"/>
    <x v="4"/>
    <x v="7"/>
    <x v="1"/>
    <x v="0"/>
    <x v="0"/>
    <x v="1"/>
    <x v="1"/>
    <x v="1"/>
  </r>
  <r>
    <x v="0"/>
    <x v="4"/>
    <x v="8"/>
    <x v="1"/>
    <x v="0"/>
    <x v="0"/>
    <x v="1"/>
    <x v="1"/>
    <x v="1"/>
  </r>
  <r>
    <x v="0"/>
    <x v="4"/>
    <x v="9"/>
    <x v="1"/>
    <x v="0"/>
    <x v="0"/>
    <x v="1"/>
    <x v="1"/>
    <x v="1"/>
  </r>
  <r>
    <x v="0"/>
    <x v="4"/>
    <x v="10"/>
    <x v="1"/>
    <x v="0"/>
    <x v="0"/>
    <x v="1"/>
    <x v="1"/>
    <x v="1"/>
  </r>
  <r>
    <x v="0"/>
    <x v="4"/>
    <x v="11"/>
    <x v="1"/>
    <x v="0"/>
    <x v="0"/>
    <x v="1"/>
    <x v="1"/>
    <x v="1"/>
  </r>
  <r>
    <x v="0"/>
    <x v="4"/>
    <x v="12"/>
    <x v="1"/>
    <x v="0"/>
    <x v="0"/>
    <x v="1"/>
    <x v="1"/>
    <x v="1"/>
  </r>
  <r>
    <x v="0"/>
    <x v="4"/>
    <x v="13"/>
    <x v="1"/>
    <x v="0"/>
    <x v="0"/>
    <x v="1"/>
    <x v="1"/>
    <x v="1"/>
  </r>
  <r>
    <x v="0"/>
    <x v="4"/>
    <x v="14"/>
    <x v="1"/>
    <x v="0"/>
    <x v="0"/>
    <x v="1"/>
    <x v="1"/>
    <x v="1"/>
  </r>
  <r>
    <x v="0"/>
    <x v="4"/>
    <x v="1"/>
    <x v="2"/>
    <x v="0"/>
    <x v="0"/>
    <x v="2"/>
    <x v="2"/>
    <x v="1"/>
  </r>
  <r>
    <x v="0"/>
    <x v="4"/>
    <x v="1"/>
    <x v="2"/>
    <x v="0"/>
    <x v="0"/>
    <x v="2"/>
    <x v="2"/>
    <x v="1"/>
  </r>
  <r>
    <x v="0"/>
    <x v="4"/>
    <x v="2"/>
    <x v="2"/>
    <x v="0"/>
    <x v="0"/>
    <x v="2"/>
    <x v="2"/>
    <x v="1"/>
  </r>
  <r>
    <x v="0"/>
    <x v="4"/>
    <x v="3"/>
    <x v="2"/>
    <x v="0"/>
    <x v="0"/>
    <x v="2"/>
    <x v="2"/>
    <x v="1"/>
  </r>
  <r>
    <x v="0"/>
    <x v="4"/>
    <x v="4"/>
    <x v="2"/>
    <x v="0"/>
    <x v="0"/>
    <x v="2"/>
    <x v="2"/>
    <x v="1"/>
  </r>
  <r>
    <x v="0"/>
    <x v="4"/>
    <x v="5"/>
    <x v="2"/>
    <x v="0"/>
    <x v="0"/>
    <x v="2"/>
    <x v="2"/>
    <x v="1"/>
  </r>
  <r>
    <x v="0"/>
    <x v="4"/>
    <x v="6"/>
    <x v="2"/>
    <x v="0"/>
    <x v="0"/>
    <x v="2"/>
    <x v="2"/>
    <x v="1"/>
  </r>
  <r>
    <x v="0"/>
    <x v="4"/>
    <x v="7"/>
    <x v="2"/>
    <x v="0"/>
    <x v="0"/>
    <x v="2"/>
    <x v="2"/>
    <x v="1"/>
  </r>
  <r>
    <x v="0"/>
    <x v="4"/>
    <x v="8"/>
    <x v="2"/>
    <x v="0"/>
    <x v="0"/>
    <x v="2"/>
    <x v="2"/>
    <x v="1"/>
  </r>
  <r>
    <x v="0"/>
    <x v="4"/>
    <x v="9"/>
    <x v="2"/>
    <x v="0"/>
    <x v="0"/>
    <x v="2"/>
    <x v="2"/>
    <x v="1"/>
  </r>
  <r>
    <x v="0"/>
    <x v="4"/>
    <x v="10"/>
    <x v="2"/>
    <x v="0"/>
    <x v="0"/>
    <x v="2"/>
    <x v="2"/>
    <x v="1"/>
  </r>
  <r>
    <x v="0"/>
    <x v="4"/>
    <x v="11"/>
    <x v="2"/>
    <x v="0"/>
    <x v="0"/>
    <x v="2"/>
    <x v="2"/>
    <x v="1"/>
  </r>
  <r>
    <x v="0"/>
    <x v="4"/>
    <x v="12"/>
    <x v="2"/>
    <x v="0"/>
    <x v="0"/>
    <x v="2"/>
    <x v="2"/>
    <x v="1"/>
  </r>
  <r>
    <x v="0"/>
    <x v="4"/>
    <x v="13"/>
    <x v="2"/>
    <x v="0"/>
    <x v="0"/>
    <x v="2"/>
    <x v="2"/>
    <x v="1"/>
  </r>
  <r>
    <x v="0"/>
    <x v="4"/>
    <x v="14"/>
    <x v="2"/>
    <x v="0"/>
    <x v="0"/>
    <x v="2"/>
    <x v="2"/>
    <x v="1"/>
  </r>
  <r>
    <x v="0"/>
    <x v="4"/>
    <x v="1"/>
    <x v="0"/>
    <x v="1"/>
    <x v="2"/>
    <x v="0"/>
    <x v="0"/>
    <x v="1"/>
  </r>
  <r>
    <x v="0"/>
    <x v="4"/>
    <x v="1"/>
    <x v="0"/>
    <x v="1"/>
    <x v="2"/>
    <x v="0"/>
    <x v="0"/>
    <x v="1"/>
  </r>
  <r>
    <x v="0"/>
    <x v="4"/>
    <x v="2"/>
    <x v="0"/>
    <x v="1"/>
    <x v="2"/>
    <x v="0"/>
    <x v="0"/>
    <x v="1"/>
  </r>
  <r>
    <x v="0"/>
    <x v="4"/>
    <x v="3"/>
    <x v="0"/>
    <x v="1"/>
    <x v="2"/>
    <x v="0"/>
    <x v="0"/>
    <x v="1"/>
  </r>
  <r>
    <x v="0"/>
    <x v="4"/>
    <x v="4"/>
    <x v="0"/>
    <x v="1"/>
    <x v="2"/>
    <x v="0"/>
    <x v="0"/>
    <x v="1"/>
  </r>
  <r>
    <x v="0"/>
    <x v="4"/>
    <x v="5"/>
    <x v="0"/>
    <x v="1"/>
    <x v="2"/>
    <x v="0"/>
    <x v="0"/>
    <x v="1"/>
  </r>
  <r>
    <x v="0"/>
    <x v="4"/>
    <x v="6"/>
    <x v="0"/>
    <x v="1"/>
    <x v="2"/>
    <x v="0"/>
    <x v="0"/>
    <x v="1"/>
  </r>
  <r>
    <x v="0"/>
    <x v="4"/>
    <x v="7"/>
    <x v="0"/>
    <x v="1"/>
    <x v="2"/>
    <x v="0"/>
    <x v="0"/>
    <x v="1"/>
  </r>
  <r>
    <x v="0"/>
    <x v="4"/>
    <x v="8"/>
    <x v="0"/>
    <x v="1"/>
    <x v="2"/>
    <x v="0"/>
    <x v="0"/>
    <x v="1"/>
  </r>
  <r>
    <x v="0"/>
    <x v="4"/>
    <x v="9"/>
    <x v="0"/>
    <x v="1"/>
    <x v="2"/>
    <x v="0"/>
    <x v="0"/>
    <x v="1"/>
  </r>
  <r>
    <x v="0"/>
    <x v="4"/>
    <x v="10"/>
    <x v="0"/>
    <x v="1"/>
    <x v="2"/>
    <x v="0"/>
    <x v="0"/>
    <x v="1"/>
  </r>
  <r>
    <x v="0"/>
    <x v="4"/>
    <x v="11"/>
    <x v="0"/>
    <x v="1"/>
    <x v="2"/>
    <x v="0"/>
    <x v="0"/>
    <x v="1"/>
  </r>
  <r>
    <x v="0"/>
    <x v="4"/>
    <x v="12"/>
    <x v="0"/>
    <x v="1"/>
    <x v="2"/>
    <x v="0"/>
    <x v="0"/>
    <x v="1"/>
  </r>
  <r>
    <x v="0"/>
    <x v="4"/>
    <x v="13"/>
    <x v="0"/>
    <x v="1"/>
    <x v="2"/>
    <x v="0"/>
    <x v="0"/>
    <x v="1"/>
  </r>
  <r>
    <x v="0"/>
    <x v="4"/>
    <x v="14"/>
    <x v="0"/>
    <x v="1"/>
    <x v="2"/>
    <x v="0"/>
    <x v="0"/>
    <x v="1"/>
  </r>
  <r>
    <x v="0"/>
    <x v="4"/>
    <x v="1"/>
    <x v="1"/>
    <x v="1"/>
    <x v="2"/>
    <x v="1"/>
    <x v="1"/>
    <x v="1"/>
  </r>
  <r>
    <x v="0"/>
    <x v="4"/>
    <x v="1"/>
    <x v="1"/>
    <x v="1"/>
    <x v="2"/>
    <x v="1"/>
    <x v="1"/>
    <x v="1"/>
  </r>
  <r>
    <x v="0"/>
    <x v="4"/>
    <x v="2"/>
    <x v="1"/>
    <x v="1"/>
    <x v="2"/>
    <x v="1"/>
    <x v="1"/>
    <x v="1"/>
  </r>
  <r>
    <x v="0"/>
    <x v="4"/>
    <x v="3"/>
    <x v="1"/>
    <x v="1"/>
    <x v="2"/>
    <x v="1"/>
    <x v="1"/>
    <x v="1"/>
  </r>
  <r>
    <x v="0"/>
    <x v="4"/>
    <x v="4"/>
    <x v="1"/>
    <x v="1"/>
    <x v="2"/>
    <x v="1"/>
    <x v="1"/>
    <x v="1"/>
  </r>
  <r>
    <x v="0"/>
    <x v="4"/>
    <x v="5"/>
    <x v="1"/>
    <x v="1"/>
    <x v="2"/>
    <x v="1"/>
    <x v="1"/>
    <x v="1"/>
  </r>
  <r>
    <x v="0"/>
    <x v="4"/>
    <x v="6"/>
    <x v="1"/>
    <x v="1"/>
    <x v="2"/>
    <x v="1"/>
    <x v="1"/>
    <x v="1"/>
  </r>
  <r>
    <x v="0"/>
    <x v="4"/>
    <x v="7"/>
    <x v="1"/>
    <x v="1"/>
    <x v="2"/>
    <x v="1"/>
    <x v="1"/>
    <x v="1"/>
  </r>
  <r>
    <x v="0"/>
    <x v="4"/>
    <x v="8"/>
    <x v="1"/>
    <x v="1"/>
    <x v="2"/>
    <x v="1"/>
    <x v="1"/>
    <x v="1"/>
  </r>
  <r>
    <x v="0"/>
    <x v="4"/>
    <x v="9"/>
    <x v="1"/>
    <x v="1"/>
    <x v="2"/>
    <x v="1"/>
    <x v="1"/>
    <x v="1"/>
  </r>
  <r>
    <x v="0"/>
    <x v="4"/>
    <x v="10"/>
    <x v="1"/>
    <x v="1"/>
    <x v="2"/>
    <x v="1"/>
    <x v="1"/>
    <x v="1"/>
  </r>
  <r>
    <x v="0"/>
    <x v="4"/>
    <x v="11"/>
    <x v="1"/>
    <x v="1"/>
    <x v="2"/>
    <x v="1"/>
    <x v="1"/>
    <x v="1"/>
  </r>
  <r>
    <x v="0"/>
    <x v="4"/>
    <x v="12"/>
    <x v="1"/>
    <x v="1"/>
    <x v="2"/>
    <x v="1"/>
    <x v="1"/>
    <x v="1"/>
  </r>
  <r>
    <x v="0"/>
    <x v="4"/>
    <x v="13"/>
    <x v="1"/>
    <x v="1"/>
    <x v="2"/>
    <x v="1"/>
    <x v="1"/>
    <x v="1"/>
  </r>
  <r>
    <x v="0"/>
    <x v="4"/>
    <x v="14"/>
    <x v="1"/>
    <x v="1"/>
    <x v="2"/>
    <x v="1"/>
    <x v="1"/>
    <x v="1"/>
  </r>
  <r>
    <x v="0"/>
    <x v="4"/>
    <x v="1"/>
    <x v="2"/>
    <x v="1"/>
    <x v="2"/>
    <x v="2"/>
    <x v="2"/>
    <x v="1"/>
  </r>
  <r>
    <x v="0"/>
    <x v="4"/>
    <x v="1"/>
    <x v="2"/>
    <x v="1"/>
    <x v="2"/>
    <x v="2"/>
    <x v="2"/>
    <x v="1"/>
  </r>
  <r>
    <x v="0"/>
    <x v="4"/>
    <x v="2"/>
    <x v="2"/>
    <x v="1"/>
    <x v="2"/>
    <x v="2"/>
    <x v="2"/>
    <x v="1"/>
  </r>
  <r>
    <x v="0"/>
    <x v="4"/>
    <x v="3"/>
    <x v="2"/>
    <x v="1"/>
    <x v="2"/>
    <x v="2"/>
    <x v="2"/>
    <x v="1"/>
  </r>
  <r>
    <x v="0"/>
    <x v="4"/>
    <x v="4"/>
    <x v="2"/>
    <x v="1"/>
    <x v="2"/>
    <x v="2"/>
    <x v="2"/>
    <x v="1"/>
  </r>
  <r>
    <x v="0"/>
    <x v="4"/>
    <x v="5"/>
    <x v="2"/>
    <x v="1"/>
    <x v="2"/>
    <x v="2"/>
    <x v="2"/>
    <x v="1"/>
  </r>
  <r>
    <x v="0"/>
    <x v="4"/>
    <x v="6"/>
    <x v="2"/>
    <x v="1"/>
    <x v="2"/>
    <x v="2"/>
    <x v="2"/>
    <x v="1"/>
  </r>
  <r>
    <x v="0"/>
    <x v="4"/>
    <x v="7"/>
    <x v="2"/>
    <x v="1"/>
    <x v="2"/>
    <x v="2"/>
    <x v="2"/>
    <x v="1"/>
  </r>
  <r>
    <x v="0"/>
    <x v="4"/>
    <x v="8"/>
    <x v="2"/>
    <x v="1"/>
    <x v="2"/>
    <x v="2"/>
    <x v="2"/>
    <x v="1"/>
  </r>
  <r>
    <x v="0"/>
    <x v="4"/>
    <x v="9"/>
    <x v="2"/>
    <x v="1"/>
    <x v="2"/>
    <x v="2"/>
    <x v="2"/>
    <x v="1"/>
  </r>
  <r>
    <x v="0"/>
    <x v="4"/>
    <x v="10"/>
    <x v="2"/>
    <x v="1"/>
    <x v="2"/>
    <x v="2"/>
    <x v="2"/>
    <x v="1"/>
  </r>
  <r>
    <x v="0"/>
    <x v="4"/>
    <x v="11"/>
    <x v="2"/>
    <x v="1"/>
    <x v="2"/>
    <x v="2"/>
    <x v="2"/>
    <x v="1"/>
  </r>
  <r>
    <x v="0"/>
    <x v="4"/>
    <x v="12"/>
    <x v="2"/>
    <x v="1"/>
    <x v="2"/>
    <x v="2"/>
    <x v="2"/>
    <x v="1"/>
  </r>
  <r>
    <x v="0"/>
    <x v="4"/>
    <x v="13"/>
    <x v="2"/>
    <x v="1"/>
    <x v="2"/>
    <x v="2"/>
    <x v="2"/>
    <x v="1"/>
  </r>
  <r>
    <x v="0"/>
    <x v="4"/>
    <x v="14"/>
    <x v="2"/>
    <x v="1"/>
    <x v="2"/>
    <x v="2"/>
    <x v="2"/>
    <x v="1"/>
  </r>
  <r>
    <x v="1"/>
    <x v="4"/>
    <x v="1"/>
    <x v="0"/>
    <x v="0"/>
    <x v="0"/>
    <x v="0"/>
    <x v="0"/>
    <x v="1"/>
  </r>
  <r>
    <x v="1"/>
    <x v="4"/>
    <x v="1"/>
    <x v="0"/>
    <x v="0"/>
    <x v="0"/>
    <x v="0"/>
    <x v="0"/>
    <x v="1"/>
  </r>
  <r>
    <x v="1"/>
    <x v="4"/>
    <x v="2"/>
    <x v="0"/>
    <x v="0"/>
    <x v="0"/>
    <x v="0"/>
    <x v="0"/>
    <x v="1"/>
  </r>
  <r>
    <x v="1"/>
    <x v="4"/>
    <x v="3"/>
    <x v="0"/>
    <x v="0"/>
    <x v="0"/>
    <x v="0"/>
    <x v="0"/>
    <x v="1"/>
  </r>
  <r>
    <x v="1"/>
    <x v="4"/>
    <x v="4"/>
    <x v="0"/>
    <x v="0"/>
    <x v="0"/>
    <x v="0"/>
    <x v="0"/>
    <x v="1"/>
  </r>
  <r>
    <x v="1"/>
    <x v="4"/>
    <x v="5"/>
    <x v="0"/>
    <x v="0"/>
    <x v="0"/>
    <x v="0"/>
    <x v="0"/>
    <x v="1"/>
  </r>
  <r>
    <x v="1"/>
    <x v="4"/>
    <x v="6"/>
    <x v="0"/>
    <x v="0"/>
    <x v="0"/>
    <x v="0"/>
    <x v="0"/>
    <x v="1"/>
  </r>
  <r>
    <x v="1"/>
    <x v="4"/>
    <x v="7"/>
    <x v="0"/>
    <x v="0"/>
    <x v="0"/>
    <x v="0"/>
    <x v="0"/>
    <x v="1"/>
  </r>
  <r>
    <x v="1"/>
    <x v="4"/>
    <x v="8"/>
    <x v="0"/>
    <x v="0"/>
    <x v="0"/>
    <x v="0"/>
    <x v="0"/>
    <x v="1"/>
  </r>
  <r>
    <x v="1"/>
    <x v="4"/>
    <x v="9"/>
    <x v="0"/>
    <x v="0"/>
    <x v="0"/>
    <x v="0"/>
    <x v="0"/>
    <x v="1"/>
  </r>
  <r>
    <x v="1"/>
    <x v="4"/>
    <x v="10"/>
    <x v="0"/>
    <x v="0"/>
    <x v="0"/>
    <x v="0"/>
    <x v="0"/>
    <x v="1"/>
  </r>
  <r>
    <x v="1"/>
    <x v="4"/>
    <x v="11"/>
    <x v="0"/>
    <x v="0"/>
    <x v="0"/>
    <x v="0"/>
    <x v="0"/>
    <x v="1"/>
  </r>
  <r>
    <x v="1"/>
    <x v="4"/>
    <x v="12"/>
    <x v="0"/>
    <x v="0"/>
    <x v="0"/>
    <x v="0"/>
    <x v="0"/>
    <x v="1"/>
  </r>
  <r>
    <x v="1"/>
    <x v="4"/>
    <x v="13"/>
    <x v="0"/>
    <x v="0"/>
    <x v="0"/>
    <x v="0"/>
    <x v="0"/>
    <x v="1"/>
  </r>
  <r>
    <x v="1"/>
    <x v="4"/>
    <x v="14"/>
    <x v="0"/>
    <x v="0"/>
    <x v="0"/>
    <x v="0"/>
    <x v="0"/>
    <x v="1"/>
  </r>
  <r>
    <x v="1"/>
    <x v="4"/>
    <x v="1"/>
    <x v="1"/>
    <x v="0"/>
    <x v="0"/>
    <x v="1"/>
    <x v="1"/>
    <x v="1"/>
  </r>
  <r>
    <x v="1"/>
    <x v="4"/>
    <x v="1"/>
    <x v="1"/>
    <x v="0"/>
    <x v="0"/>
    <x v="1"/>
    <x v="1"/>
    <x v="1"/>
  </r>
  <r>
    <x v="1"/>
    <x v="4"/>
    <x v="2"/>
    <x v="1"/>
    <x v="0"/>
    <x v="0"/>
    <x v="1"/>
    <x v="1"/>
    <x v="1"/>
  </r>
  <r>
    <x v="1"/>
    <x v="4"/>
    <x v="3"/>
    <x v="1"/>
    <x v="0"/>
    <x v="0"/>
    <x v="1"/>
    <x v="1"/>
    <x v="1"/>
  </r>
  <r>
    <x v="1"/>
    <x v="4"/>
    <x v="4"/>
    <x v="1"/>
    <x v="0"/>
    <x v="0"/>
    <x v="1"/>
    <x v="1"/>
    <x v="1"/>
  </r>
  <r>
    <x v="1"/>
    <x v="4"/>
    <x v="5"/>
    <x v="1"/>
    <x v="0"/>
    <x v="0"/>
    <x v="1"/>
    <x v="1"/>
    <x v="1"/>
  </r>
  <r>
    <x v="1"/>
    <x v="4"/>
    <x v="6"/>
    <x v="1"/>
    <x v="0"/>
    <x v="0"/>
    <x v="1"/>
    <x v="1"/>
    <x v="1"/>
  </r>
  <r>
    <x v="1"/>
    <x v="4"/>
    <x v="7"/>
    <x v="1"/>
    <x v="0"/>
    <x v="0"/>
    <x v="1"/>
    <x v="1"/>
    <x v="1"/>
  </r>
  <r>
    <x v="1"/>
    <x v="4"/>
    <x v="8"/>
    <x v="1"/>
    <x v="0"/>
    <x v="0"/>
    <x v="1"/>
    <x v="1"/>
    <x v="1"/>
  </r>
  <r>
    <x v="1"/>
    <x v="4"/>
    <x v="9"/>
    <x v="1"/>
    <x v="0"/>
    <x v="0"/>
    <x v="1"/>
    <x v="1"/>
    <x v="1"/>
  </r>
  <r>
    <x v="1"/>
    <x v="4"/>
    <x v="10"/>
    <x v="1"/>
    <x v="0"/>
    <x v="0"/>
    <x v="1"/>
    <x v="1"/>
    <x v="1"/>
  </r>
  <r>
    <x v="1"/>
    <x v="4"/>
    <x v="11"/>
    <x v="1"/>
    <x v="0"/>
    <x v="0"/>
    <x v="1"/>
    <x v="1"/>
    <x v="1"/>
  </r>
  <r>
    <x v="1"/>
    <x v="4"/>
    <x v="12"/>
    <x v="1"/>
    <x v="0"/>
    <x v="0"/>
    <x v="1"/>
    <x v="1"/>
    <x v="1"/>
  </r>
  <r>
    <x v="1"/>
    <x v="4"/>
    <x v="13"/>
    <x v="1"/>
    <x v="0"/>
    <x v="0"/>
    <x v="1"/>
    <x v="1"/>
    <x v="1"/>
  </r>
  <r>
    <x v="1"/>
    <x v="4"/>
    <x v="14"/>
    <x v="1"/>
    <x v="0"/>
    <x v="0"/>
    <x v="1"/>
    <x v="1"/>
    <x v="1"/>
  </r>
  <r>
    <x v="1"/>
    <x v="4"/>
    <x v="1"/>
    <x v="2"/>
    <x v="0"/>
    <x v="0"/>
    <x v="2"/>
    <x v="2"/>
    <x v="1"/>
  </r>
  <r>
    <x v="1"/>
    <x v="4"/>
    <x v="1"/>
    <x v="2"/>
    <x v="0"/>
    <x v="0"/>
    <x v="2"/>
    <x v="2"/>
    <x v="1"/>
  </r>
  <r>
    <x v="1"/>
    <x v="4"/>
    <x v="2"/>
    <x v="2"/>
    <x v="0"/>
    <x v="0"/>
    <x v="2"/>
    <x v="2"/>
    <x v="1"/>
  </r>
  <r>
    <x v="1"/>
    <x v="4"/>
    <x v="3"/>
    <x v="2"/>
    <x v="0"/>
    <x v="0"/>
    <x v="2"/>
    <x v="2"/>
    <x v="1"/>
  </r>
  <r>
    <x v="1"/>
    <x v="4"/>
    <x v="4"/>
    <x v="2"/>
    <x v="0"/>
    <x v="0"/>
    <x v="2"/>
    <x v="2"/>
    <x v="1"/>
  </r>
  <r>
    <x v="1"/>
    <x v="4"/>
    <x v="5"/>
    <x v="2"/>
    <x v="0"/>
    <x v="0"/>
    <x v="2"/>
    <x v="2"/>
    <x v="1"/>
  </r>
  <r>
    <x v="1"/>
    <x v="4"/>
    <x v="6"/>
    <x v="2"/>
    <x v="0"/>
    <x v="0"/>
    <x v="2"/>
    <x v="2"/>
    <x v="1"/>
  </r>
  <r>
    <x v="1"/>
    <x v="4"/>
    <x v="7"/>
    <x v="2"/>
    <x v="0"/>
    <x v="0"/>
    <x v="2"/>
    <x v="2"/>
    <x v="1"/>
  </r>
  <r>
    <x v="1"/>
    <x v="4"/>
    <x v="8"/>
    <x v="2"/>
    <x v="0"/>
    <x v="0"/>
    <x v="2"/>
    <x v="2"/>
    <x v="1"/>
  </r>
  <r>
    <x v="1"/>
    <x v="4"/>
    <x v="9"/>
    <x v="2"/>
    <x v="0"/>
    <x v="0"/>
    <x v="2"/>
    <x v="2"/>
    <x v="1"/>
  </r>
  <r>
    <x v="1"/>
    <x v="4"/>
    <x v="10"/>
    <x v="2"/>
    <x v="0"/>
    <x v="0"/>
    <x v="2"/>
    <x v="2"/>
    <x v="1"/>
  </r>
  <r>
    <x v="1"/>
    <x v="4"/>
    <x v="11"/>
    <x v="2"/>
    <x v="0"/>
    <x v="0"/>
    <x v="2"/>
    <x v="2"/>
    <x v="1"/>
  </r>
  <r>
    <x v="1"/>
    <x v="4"/>
    <x v="12"/>
    <x v="2"/>
    <x v="0"/>
    <x v="0"/>
    <x v="2"/>
    <x v="2"/>
    <x v="1"/>
  </r>
  <r>
    <x v="1"/>
    <x v="4"/>
    <x v="13"/>
    <x v="2"/>
    <x v="0"/>
    <x v="0"/>
    <x v="2"/>
    <x v="2"/>
    <x v="1"/>
  </r>
  <r>
    <x v="1"/>
    <x v="4"/>
    <x v="14"/>
    <x v="2"/>
    <x v="0"/>
    <x v="0"/>
    <x v="2"/>
    <x v="2"/>
    <x v="1"/>
  </r>
  <r>
    <x v="1"/>
    <x v="4"/>
    <x v="1"/>
    <x v="0"/>
    <x v="1"/>
    <x v="2"/>
    <x v="0"/>
    <x v="0"/>
    <x v="1"/>
  </r>
  <r>
    <x v="1"/>
    <x v="4"/>
    <x v="1"/>
    <x v="0"/>
    <x v="1"/>
    <x v="2"/>
    <x v="0"/>
    <x v="0"/>
    <x v="1"/>
  </r>
  <r>
    <x v="1"/>
    <x v="4"/>
    <x v="2"/>
    <x v="0"/>
    <x v="1"/>
    <x v="2"/>
    <x v="0"/>
    <x v="0"/>
    <x v="1"/>
  </r>
  <r>
    <x v="1"/>
    <x v="4"/>
    <x v="3"/>
    <x v="0"/>
    <x v="1"/>
    <x v="2"/>
    <x v="0"/>
    <x v="0"/>
    <x v="1"/>
  </r>
  <r>
    <x v="1"/>
    <x v="4"/>
    <x v="4"/>
    <x v="0"/>
    <x v="1"/>
    <x v="2"/>
    <x v="0"/>
    <x v="0"/>
    <x v="1"/>
  </r>
  <r>
    <x v="1"/>
    <x v="4"/>
    <x v="5"/>
    <x v="0"/>
    <x v="1"/>
    <x v="2"/>
    <x v="0"/>
    <x v="0"/>
    <x v="1"/>
  </r>
  <r>
    <x v="1"/>
    <x v="4"/>
    <x v="6"/>
    <x v="0"/>
    <x v="1"/>
    <x v="2"/>
    <x v="0"/>
    <x v="0"/>
    <x v="1"/>
  </r>
  <r>
    <x v="1"/>
    <x v="4"/>
    <x v="7"/>
    <x v="0"/>
    <x v="1"/>
    <x v="2"/>
    <x v="0"/>
    <x v="0"/>
    <x v="1"/>
  </r>
  <r>
    <x v="1"/>
    <x v="4"/>
    <x v="8"/>
    <x v="0"/>
    <x v="1"/>
    <x v="2"/>
    <x v="0"/>
    <x v="0"/>
    <x v="1"/>
  </r>
  <r>
    <x v="1"/>
    <x v="4"/>
    <x v="9"/>
    <x v="0"/>
    <x v="1"/>
    <x v="2"/>
    <x v="0"/>
    <x v="0"/>
    <x v="1"/>
  </r>
  <r>
    <x v="1"/>
    <x v="4"/>
    <x v="10"/>
    <x v="0"/>
    <x v="1"/>
    <x v="2"/>
    <x v="0"/>
    <x v="0"/>
    <x v="1"/>
  </r>
  <r>
    <x v="1"/>
    <x v="4"/>
    <x v="11"/>
    <x v="0"/>
    <x v="1"/>
    <x v="2"/>
    <x v="0"/>
    <x v="0"/>
    <x v="1"/>
  </r>
  <r>
    <x v="1"/>
    <x v="4"/>
    <x v="12"/>
    <x v="0"/>
    <x v="1"/>
    <x v="2"/>
    <x v="0"/>
    <x v="0"/>
    <x v="1"/>
  </r>
  <r>
    <x v="1"/>
    <x v="4"/>
    <x v="13"/>
    <x v="0"/>
    <x v="1"/>
    <x v="2"/>
    <x v="0"/>
    <x v="0"/>
    <x v="1"/>
  </r>
  <r>
    <x v="1"/>
    <x v="4"/>
    <x v="14"/>
    <x v="0"/>
    <x v="1"/>
    <x v="2"/>
    <x v="0"/>
    <x v="0"/>
    <x v="1"/>
  </r>
  <r>
    <x v="1"/>
    <x v="4"/>
    <x v="1"/>
    <x v="1"/>
    <x v="1"/>
    <x v="2"/>
    <x v="1"/>
    <x v="1"/>
    <x v="1"/>
  </r>
  <r>
    <x v="1"/>
    <x v="4"/>
    <x v="1"/>
    <x v="1"/>
    <x v="1"/>
    <x v="2"/>
    <x v="1"/>
    <x v="1"/>
    <x v="1"/>
  </r>
  <r>
    <x v="1"/>
    <x v="4"/>
    <x v="2"/>
    <x v="1"/>
    <x v="1"/>
    <x v="2"/>
    <x v="1"/>
    <x v="1"/>
    <x v="1"/>
  </r>
  <r>
    <x v="1"/>
    <x v="4"/>
    <x v="3"/>
    <x v="1"/>
    <x v="1"/>
    <x v="2"/>
    <x v="1"/>
    <x v="1"/>
    <x v="1"/>
  </r>
  <r>
    <x v="1"/>
    <x v="4"/>
    <x v="4"/>
    <x v="1"/>
    <x v="1"/>
    <x v="2"/>
    <x v="1"/>
    <x v="1"/>
    <x v="1"/>
  </r>
  <r>
    <x v="1"/>
    <x v="4"/>
    <x v="5"/>
    <x v="1"/>
    <x v="1"/>
    <x v="2"/>
    <x v="1"/>
    <x v="1"/>
    <x v="1"/>
  </r>
  <r>
    <x v="1"/>
    <x v="4"/>
    <x v="6"/>
    <x v="1"/>
    <x v="1"/>
    <x v="2"/>
    <x v="1"/>
    <x v="1"/>
    <x v="1"/>
  </r>
  <r>
    <x v="1"/>
    <x v="4"/>
    <x v="7"/>
    <x v="1"/>
    <x v="1"/>
    <x v="2"/>
    <x v="1"/>
    <x v="1"/>
    <x v="1"/>
  </r>
  <r>
    <x v="1"/>
    <x v="4"/>
    <x v="8"/>
    <x v="1"/>
    <x v="1"/>
    <x v="2"/>
    <x v="1"/>
    <x v="1"/>
    <x v="1"/>
  </r>
  <r>
    <x v="1"/>
    <x v="4"/>
    <x v="9"/>
    <x v="1"/>
    <x v="1"/>
    <x v="2"/>
    <x v="1"/>
    <x v="1"/>
    <x v="1"/>
  </r>
  <r>
    <x v="1"/>
    <x v="4"/>
    <x v="10"/>
    <x v="1"/>
    <x v="1"/>
    <x v="2"/>
    <x v="1"/>
    <x v="1"/>
    <x v="1"/>
  </r>
  <r>
    <x v="1"/>
    <x v="4"/>
    <x v="11"/>
    <x v="1"/>
    <x v="1"/>
    <x v="2"/>
    <x v="1"/>
    <x v="1"/>
    <x v="1"/>
  </r>
  <r>
    <x v="1"/>
    <x v="4"/>
    <x v="12"/>
    <x v="1"/>
    <x v="1"/>
    <x v="2"/>
    <x v="1"/>
    <x v="1"/>
    <x v="1"/>
  </r>
  <r>
    <x v="1"/>
    <x v="4"/>
    <x v="13"/>
    <x v="1"/>
    <x v="1"/>
    <x v="2"/>
    <x v="1"/>
    <x v="1"/>
    <x v="1"/>
  </r>
  <r>
    <x v="1"/>
    <x v="4"/>
    <x v="14"/>
    <x v="1"/>
    <x v="1"/>
    <x v="2"/>
    <x v="1"/>
    <x v="1"/>
    <x v="1"/>
  </r>
  <r>
    <x v="1"/>
    <x v="4"/>
    <x v="1"/>
    <x v="2"/>
    <x v="1"/>
    <x v="2"/>
    <x v="2"/>
    <x v="2"/>
    <x v="1"/>
  </r>
  <r>
    <x v="1"/>
    <x v="4"/>
    <x v="1"/>
    <x v="2"/>
    <x v="1"/>
    <x v="2"/>
    <x v="2"/>
    <x v="2"/>
    <x v="1"/>
  </r>
  <r>
    <x v="1"/>
    <x v="4"/>
    <x v="2"/>
    <x v="2"/>
    <x v="1"/>
    <x v="2"/>
    <x v="2"/>
    <x v="2"/>
    <x v="1"/>
  </r>
  <r>
    <x v="1"/>
    <x v="4"/>
    <x v="3"/>
    <x v="2"/>
    <x v="1"/>
    <x v="2"/>
    <x v="2"/>
    <x v="2"/>
    <x v="1"/>
  </r>
  <r>
    <x v="1"/>
    <x v="4"/>
    <x v="4"/>
    <x v="2"/>
    <x v="1"/>
    <x v="2"/>
    <x v="2"/>
    <x v="2"/>
    <x v="1"/>
  </r>
  <r>
    <x v="1"/>
    <x v="4"/>
    <x v="5"/>
    <x v="2"/>
    <x v="1"/>
    <x v="2"/>
    <x v="2"/>
    <x v="2"/>
    <x v="1"/>
  </r>
  <r>
    <x v="1"/>
    <x v="4"/>
    <x v="6"/>
    <x v="2"/>
    <x v="1"/>
    <x v="2"/>
    <x v="2"/>
    <x v="2"/>
    <x v="1"/>
  </r>
  <r>
    <x v="1"/>
    <x v="4"/>
    <x v="7"/>
    <x v="2"/>
    <x v="1"/>
    <x v="2"/>
    <x v="2"/>
    <x v="2"/>
    <x v="1"/>
  </r>
  <r>
    <x v="1"/>
    <x v="4"/>
    <x v="8"/>
    <x v="2"/>
    <x v="1"/>
    <x v="2"/>
    <x v="2"/>
    <x v="2"/>
    <x v="1"/>
  </r>
  <r>
    <x v="1"/>
    <x v="4"/>
    <x v="9"/>
    <x v="2"/>
    <x v="1"/>
    <x v="2"/>
    <x v="2"/>
    <x v="2"/>
    <x v="1"/>
  </r>
  <r>
    <x v="1"/>
    <x v="4"/>
    <x v="10"/>
    <x v="2"/>
    <x v="1"/>
    <x v="2"/>
    <x v="2"/>
    <x v="2"/>
    <x v="1"/>
  </r>
  <r>
    <x v="1"/>
    <x v="4"/>
    <x v="11"/>
    <x v="2"/>
    <x v="1"/>
    <x v="2"/>
    <x v="2"/>
    <x v="2"/>
    <x v="1"/>
  </r>
  <r>
    <x v="1"/>
    <x v="4"/>
    <x v="12"/>
    <x v="2"/>
    <x v="1"/>
    <x v="2"/>
    <x v="2"/>
    <x v="2"/>
    <x v="1"/>
  </r>
  <r>
    <x v="1"/>
    <x v="4"/>
    <x v="13"/>
    <x v="2"/>
    <x v="1"/>
    <x v="2"/>
    <x v="2"/>
    <x v="2"/>
    <x v="1"/>
  </r>
  <r>
    <x v="1"/>
    <x v="4"/>
    <x v="14"/>
    <x v="2"/>
    <x v="1"/>
    <x v="2"/>
    <x v="2"/>
    <x v="2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21">
  <r>
    <x v="0"/>
    <x v="0"/>
    <x v="0"/>
    <x v="0"/>
    <x v="0"/>
    <x v="0"/>
  </r>
  <r>
    <x v="0"/>
    <x v="0"/>
    <x v="1"/>
    <x v="0"/>
    <x v="1"/>
    <x v="1"/>
  </r>
  <r>
    <x v="0"/>
    <x v="0"/>
    <x v="2"/>
    <x v="0"/>
    <x v="2"/>
    <x v="2"/>
  </r>
  <r>
    <x v="0"/>
    <x v="0"/>
    <x v="3"/>
    <x v="0"/>
    <x v="3"/>
    <x v="3"/>
  </r>
  <r>
    <x v="0"/>
    <x v="0"/>
    <x v="4"/>
    <x v="0"/>
    <x v="4"/>
    <x v="4"/>
  </r>
  <r>
    <x v="0"/>
    <x v="0"/>
    <x v="5"/>
    <x v="0"/>
    <x v="5"/>
    <x v="5"/>
  </r>
  <r>
    <x v="1"/>
    <x v="0"/>
    <x v="2"/>
    <x v="0"/>
    <x v="2"/>
    <x v="6"/>
  </r>
  <r>
    <x v="1"/>
    <x v="0"/>
    <x v="3"/>
    <x v="0"/>
    <x v="3"/>
    <x v="7"/>
  </r>
  <r>
    <x v="1"/>
    <x v="0"/>
    <x v="4"/>
    <x v="0"/>
    <x v="4"/>
    <x v="8"/>
  </r>
  <r>
    <x v="1"/>
    <x v="0"/>
    <x v="5"/>
    <x v="0"/>
    <x v="5"/>
    <x v="9"/>
  </r>
  <r>
    <x v="1"/>
    <x v="0"/>
    <x v="3"/>
    <x v="1"/>
    <x v="3"/>
    <x v="7"/>
  </r>
  <r>
    <x v="1"/>
    <x v="0"/>
    <x v="4"/>
    <x v="1"/>
    <x v="4"/>
    <x v="8"/>
  </r>
  <r>
    <x v="1"/>
    <x v="0"/>
    <x v="5"/>
    <x v="1"/>
    <x v="5"/>
    <x v="9"/>
  </r>
  <r>
    <x v="1"/>
    <x v="0"/>
    <x v="6"/>
    <x v="1"/>
    <x v="6"/>
    <x v="10"/>
  </r>
  <r>
    <x v="1"/>
    <x v="0"/>
    <x v="7"/>
    <x v="1"/>
    <x v="7"/>
    <x v="11"/>
  </r>
  <r>
    <x v="1"/>
    <x v="0"/>
    <x v="8"/>
    <x v="1"/>
    <x v="8"/>
    <x v="12"/>
  </r>
  <r>
    <x v="1"/>
    <x v="0"/>
    <x v="9"/>
    <x v="1"/>
    <x v="9"/>
    <x v="13"/>
  </r>
  <r>
    <x v="1"/>
    <x v="0"/>
    <x v="10"/>
    <x v="1"/>
    <x v="10"/>
    <x v="11"/>
  </r>
  <r>
    <x v="1"/>
    <x v="0"/>
    <x v="11"/>
    <x v="1"/>
    <x v="11"/>
    <x v="11"/>
  </r>
  <r>
    <x v="1"/>
    <x v="0"/>
    <x v="12"/>
    <x v="1"/>
    <x v="12"/>
    <x v="12"/>
  </r>
  <r>
    <x v="1"/>
    <x v="0"/>
    <x v="13"/>
    <x v="1"/>
    <x v="13"/>
    <x v="11"/>
  </r>
  <r>
    <x v="1"/>
    <x v="0"/>
    <x v="14"/>
    <x v="1"/>
    <x v="14"/>
    <x v="14"/>
  </r>
  <r>
    <x v="0"/>
    <x v="0"/>
    <x v="3"/>
    <x v="1"/>
    <x v="3"/>
    <x v="3"/>
  </r>
  <r>
    <x v="0"/>
    <x v="0"/>
    <x v="4"/>
    <x v="1"/>
    <x v="4"/>
    <x v="4"/>
  </r>
  <r>
    <x v="0"/>
    <x v="0"/>
    <x v="5"/>
    <x v="1"/>
    <x v="5"/>
    <x v="5"/>
  </r>
  <r>
    <x v="0"/>
    <x v="0"/>
    <x v="6"/>
    <x v="1"/>
    <x v="6"/>
    <x v="8"/>
  </r>
  <r>
    <x v="0"/>
    <x v="0"/>
    <x v="7"/>
    <x v="1"/>
    <x v="7"/>
    <x v="9"/>
  </r>
  <r>
    <x v="2"/>
    <x v="0"/>
    <x v="15"/>
    <x v="2"/>
    <x v="9"/>
    <x v="15"/>
  </r>
  <r>
    <x v="2"/>
    <x v="0"/>
    <x v="16"/>
    <x v="2"/>
    <x v="10"/>
    <x v="16"/>
  </r>
  <r>
    <x v="2"/>
    <x v="0"/>
    <x v="17"/>
    <x v="2"/>
    <x v="11"/>
    <x v="16"/>
  </r>
  <r>
    <x v="2"/>
    <x v="0"/>
    <x v="18"/>
    <x v="2"/>
    <x v="13"/>
    <x v="16"/>
  </r>
  <r>
    <x v="1"/>
    <x v="1"/>
    <x v="5"/>
    <x v="3"/>
    <x v="15"/>
    <x v="17"/>
  </r>
  <r>
    <x v="1"/>
    <x v="1"/>
    <x v="6"/>
    <x v="3"/>
    <x v="16"/>
    <x v="12"/>
  </r>
  <r>
    <x v="1"/>
    <x v="1"/>
    <x v="8"/>
    <x v="3"/>
    <x v="17"/>
    <x v="13"/>
  </r>
  <r>
    <x v="1"/>
    <x v="1"/>
    <x v="10"/>
    <x v="3"/>
    <x v="18"/>
    <x v="18"/>
  </r>
  <r>
    <x v="1"/>
    <x v="1"/>
    <x v="12"/>
    <x v="3"/>
    <x v="19"/>
    <x v="18"/>
  </r>
  <r>
    <x v="1"/>
    <x v="1"/>
    <x v="14"/>
    <x v="3"/>
    <x v="20"/>
    <x v="16"/>
  </r>
  <r>
    <x v="0"/>
    <x v="1"/>
    <x v="5"/>
    <x v="3"/>
    <x v="15"/>
    <x v="19"/>
  </r>
  <r>
    <x v="0"/>
    <x v="1"/>
    <x v="6"/>
    <x v="3"/>
    <x v="16"/>
    <x v="20"/>
  </r>
  <r>
    <x v="1"/>
    <x v="1"/>
    <x v="8"/>
    <x v="4"/>
    <x v="17"/>
    <x v="21"/>
  </r>
  <r>
    <x v="1"/>
    <x v="1"/>
    <x v="9"/>
    <x v="4"/>
    <x v="21"/>
    <x v="15"/>
  </r>
  <r>
    <x v="1"/>
    <x v="1"/>
    <x v="10"/>
    <x v="4"/>
    <x v="18"/>
    <x v="16"/>
  </r>
  <r>
    <x v="1"/>
    <x v="1"/>
    <x v="11"/>
    <x v="4"/>
    <x v="22"/>
    <x v="16"/>
  </r>
  <r>
    <x v="1"/>
    <x v="1"/>
    <x v="12"/>
    <x v="4"/>
    <x v="19"/>
    <x v="16"/>
  </r>
  <r>
    <x v="1"/>
    <x v="1"/>
    <x v="13"/>
    <x v="4"/>
    <x v="23"/>
    <x v="16"/>
  </r>
  <r>
    <x v="1"/>
    <x v="1"/>
    <x v="14"/>
    <x v="4"/>
    <x v="20"/>
    <x v="16"/>
  </r>
  <r>
    <x v="1"/>
    <x v="1"/>
    <x v="19"/>
    <x v="4"/>
    <x v="24"/>
    <x v="16"/>
  </r>
  <r>
    <x v="2"/>
    <x v="1"/>
    <x v="20"/>
    <x v="5"/>
    <x v="21"/>
    <x v="21"/>
  </r>
  <r>
    <x v="2"/>
    <x v="1"/>
    <x v="21"/>
    <x v="5"/>
    <x v="18"/>
    <x v="15"/>
  </r>
  <r>
    <x v="2"/>
    <x v="1"/>
    <x v="22"/>
    <x v="5"/>
    <x v="22"/>
    <x v="16"/>
  </r>
  <r>
    <x v="2"/>
    <x v="1"/>
    <x v="23"/>
    <x v="5"/>
    <x v="19"/>
    <x v="16"/>
  </r>
  <r>
    <x v="2"/>
    <x v="1"/>
    <x v="24"/>
    <x v="5"/>
    <x v="23"/>
    <x v="16"/>
  </r>
  <r>
    <x v="2"/>
    <x v="1"/>
    <x v="25"/>
    <x v="5"/>
    <x v="20"/>
    <x v="16"/>
  </r>
  <r>
    <x v="2"/>
    <x v="1"/>
    <x v="26"/>
    <x v="5"/>
    <x v="24"/>
    <x v="16"/>
  </r>
  <r>
    <x v="2"/>
    <x v="1"/>
    <x v="27"/>
    <x v="5"/>
    <x v="21"/>
    <x v="22"/>
  </r>
  <r>
    <x v="2"/>
    <x v="1"/>
    <x v="22"/>
    <x v="5"/>
    <x v="22"/>
    <x v="23"/>
  </r>
  <r>
    <x v="2"/>
    <x v="1"/>
    <x v="24"/>
    <x v="5"/>
    <x v="23"/>
    <x v="24"/>
  </r>
  <r>
    <x v="3"/>
    <x v="2"/>
    <x v="28"/>
    <x v="6"/>
    <x v="25"/>
    <x v="25"/>
  </r>
  <r>
    <x v="4"/>
    <x v="2"/>
    <x v="28"/>
    <x v="7"/>
    <x v="25"/>
    <x v="25"/>
  </r>
  <r>
    <x v="4"/>
    <x v="2"/>
    <x v="29"/>
    <x v="7"/>
    <x v="26"/>
    <x v="1"/>
  </r>
  <r>
    <x v="4"/>
    <x v="2"/>
    <x v="0"/>
    <x v="7"/>
    <x v="27"/>
    <x v="26"/>
  </r>
  <r>
    <x v="2"/>
    <x v="2"/>
    <x v="28"/>
    <x v="7"/>
    <x v="25"/>
    <x v="25"/>
  </r>
  <r>
    <x v="2"/>
    <x v="2"/>
    <x v="29"/>
    <x v="7"/>
    <x v="26"/>
    <x v="1"/>
  </r>
  <r>
    <x v="1"/>
    <x v="2"/>
    <x v="0"/>
    <x v="7"/>
    <x v="27"/>
    <x v="27"/>
  </r>
  <r>
    <x v="3"/>
    <x v="2"/>
    <x v="28"/>
    <x v="7"/>
    <x v="25"/>
    <x v="25"/>
  </r>
  <r>
    <x v="3"/>
    <x v="2"/>
    <x v="29"/>
    <x v="7"/>
    <x v="26"/>
    <x v="1"/>
  </r>
  <r>
    <x v="3"/>
    <x v="2"/>
    <x v="0"/>
    <x v="7"/>
    <x v="27"/>
    <x v="26"/>
  </r>
  <r>
    <x v="3"/>
    <x v="2"/>
    <x v="1"/>
    <x v="7"/>
    <x v="28"/>
    <x v="28"/>
  </r>
  <r>
    <x v="5"/>
    <x v="2"/>
    <x v="28"/>
    <x v="7"/>
    <x v="25"/>
    <x v="29"/>
  </r>
  <r>
    <x v="5"/>
    <x v="2"/>
    <x v="29"/>
    <x v="7"/>
    <x v="26"/>
    <x v="0"/>
  </r>
  <r>
    <x v="5"/>
    <x v="2"/>
    <x v="0"/>
    <x v="7"/>
    <x v="27"/>
    <x v="27"/>
  </r>
  <r>
    <x v="5"/>
    <x v="2"/>
    <x v="1"/>
    <x v="7"/>
    <x v="28"/>
    <x v="25"/>
  </r>
  <r>
    <x v="0"/>
    <x v="2"/>
    <x v="28"/>
    <x v="7"/>
    <x v="25"/>
    <x v="30"/>
  </r>
  <r>
    <x v="0"/>
    <x v="2"/>
    <x v="29"/>
    <x v="7"/>
    <x v="26"/>
    <x v="31"/>
  </r>
  <r>
    <x v="0"/>
    <x v="2"/>
    <x v="0"/>
    <x v="7"/>
    <x v="27"/>
    <x v="32"/>
  </r>
  <r>
    <x v="0"/>
    <x v="2"/>
    <x v="1"/>
    <x v="7"/>
    <x v="28"/>
    <x v="33"/>
  </r>
  <r>
    <x v="4"/>
    <x v="2"/>
    <x v="28"/>
    <x v="8"/>
    <x v="25"/>
    <x v="25"/>
  </r>
  <r>
    <x v="4"/>
    <x v="2"/>
    <x v="1"/>
    <x v="8"/>
    <x v="28"/>
    <x v="34"/>
  </r>
  <r>
    <x v="4"/>
    <x v="2"/>
    <x v="0"/>
    <x v="8"/>
    <x v="27"/>
    <x v="26"/>
  </r>
  <r>
    <x v="4"/>
    <x v="2"/>
    <x v="1"/>
    <x v="8"/>
    <x v="28"/>
    <x v="34"/>
  </r>
  <r>
    <x v="3"/>
    <x v="2"/>
    <x v="28"/>
    <x v="9"/>
    <x v="25"/>
    <x v="25"/>
  </r>
  <r>
    <x v="3"/>
    <x v="2"/>
    <x v="0"/>
    <x v="9"/>
    <x v="27"/>
    <x v="26"/>
  </r>
  <r>
    <x v="3"/>
    <x v="2"/>
    <x v="1"/>
    <x v="9"/>
    <x v="28"/>
    <x v="28"/>
  </r>
  <r>
    <x v="5"/>
    <x v="2"/>
    <x v="28"/>
    <x v="9"/>
    <x v="25"/>
    <x v="29"/>
  </r>
  <r>
    <x v="5"/>
    <x v="2"/>
    <x v="1"/>
    <x v="9"/>
    <x v="28"/>
    <x v="25"/>
  </r>
  <r>
    <x v="0"/>
    <x v="2"/>
    <x v="28"/>
    <x v="9"/>
    <x v="25"/>
    <x v="30"/>
  </r>
  <r>
    <x v="0"/>
    <x v="2"/>
    <x v="0"/>
    <x v="9"/>
    <x v="27"/>
    <x v="32"/>
  </r>
  <r>
    <x v="4"/>
    <x v="2"/>
    <x v="0"/>
    <x v="10"/>
    <x v="27"/>
    <x v="26"/>
  </r>
  <r>
    <x v="4"/>
    <x v="2"/>
    <x v="1"/>
    <x v="10"/>
    <x v="28"/>
    <x v="34"/>
  </r>
  <r>
    <x v="2"/>
    <x v="2"/>
    <x v="0"/>
    <x v="10"/>
    <x v="27"/>
    <x v="26"/>
  </r>
  <r>
    <x v="5"/>
    <x v="2"/>
    <x v="29"/>
    <x v="10"/>
    <x v="26"/>
    <x v="0"/>
  </r>
  <r>
    <x v="5"/>
    <x v="2"/>
    <x v="0"/>
    <x v="10"/>
    <x v="27"/>
    <x v="27"/>
  </r>
  <r>
    <x v="5"/>
    <x v="2"/>
    <x v="1"/>
    <x v="10"/>
    <x v="28"/>
    <x v="25"/>
  </r>
  <r>
    <x v="0"/>
    <x v="2"/>
    <x v="29"/>
    <x v="10"/>
    <x v="26"/>
    <x v="31"/>
  </r>
  <r>
    <x v="0"/>
    <x v="2"/>
    <x v="0"/>
    <x v="10"/>
    <x v="27"/>
    <x v="32"/>
  </r>
  <r>
    <x v="0"/>
    <x v="2"/>
    <x v="1"/>
    <x v="10"/>
    <x v="28"/>
    <x v="33"/>
  </r>
  <r>
    <x v="0"/>
    <x v="2"/>
    <x v="2"/>
    <x v="10"/>
    <x v="29"/>
    <x v="35"/>
  </r>
  <r>
    <x v="6"/>
    <x v="3"/>
    <x v="3"/>
    <x v="11"/>
    <x v="3"/>
    <x v="36"/>
  </r>
  <r>
    <x v="6"/>
    <x v="3"/>
    <x v="4"/>
    <x v="11"/>
    <x v="4"/>
    <x v="37"/>
  </r>
  <r>
    <x v="6"/>
    <x v="3"/>
    <x v="5"/>
    <x v="11"/>
    <x v="5"/>
    <x v="38"/>
  </r>
  <r>
    <x v="6"/>
    <x v="3"/>
    <x v="6"/>
    <x v="11"/>
    <x v="6"/>
    <x v="39"/>
  </r>
  <r>
    <x v="6"/>
    <x v="3"/>
    <x v="7"/>
    <x v="11"/>
    <x v="7"/>
    <x v="40"/>
  </r>
  <r>
    <x v="6"/>
    <x v="3"/>
    <x v="8"/>
    <x v="11"/>
    <x v="8"/>
    <x v="41"/>
  </r>
  <r>
    <x v="6"/>
    <x v="3"/>
    <x v="9"/>
    <x v="11"/>
    <x v="9"/>
    <x v="42"/>
  </r>
  <r>
    <x v="6"/>
    <x v="3"/>
    <x v="10"/>
    <x v="11"/>
    <x v="10"/>
    <x v="43"/>
  </r>
  <r>
    <x v="6"/>
    <x v="3"/>
    <x v="11"/>
    <x v="11"/>
    <x v="11"/>
    <x v="44"/>
  </r>
  <r>
    <x v="6"/>
    <x v="3"/>
    <x v="12"/>
    <x v="11"/>
    <x v="12"/>
    <x v="31"/>
  </r>
  <r>
    <x v="6"/>
    <x v="3"/>
    <x v="13"/>
    <x v="11"/>
    <x v="13"/>
    <x v="45"/>
  </r>
  <r>
    <x v="6"/>
    <x v="3"/>
    <x v="14"/>
    <x v="11"/>
    <x v="14"/>
    <x v="46"/>
  </r>
  <r>
    <x v="6"/>
    <x v="3"/>
    <x v="8"/>
    <x v="12"/>
    <x v="8"/>
    <x v="41"/>
  </r>
  <r>
    <x v="6"/>
    <x v="3"/>
    <x v="9"/>
    <x v="12"/>
    <x v="9"/>
    <x v="42"/>
  </r>
  <r>
    <x v="6"/>
    <x v="3"/>
    <x v="10"/>
    <x v="12"/>
    <x v="10"/>
    <x v="43"/>
  </r>
  <r>
    <x v="6"/>
    <x v="3"/>
    <x v="11"/>
    <x v="12"/>
    <x v="11"/>
    <x v="44"/>
  </r>
  <r>
    <x v="6"/>
    <x v="3"/>
    <x v="12"/>
    <x v="12"/>
    <x v="12"/>
    <x v="31"/>
  </r>
  <r>
    <x v="6"/>
    <x v="3"/>
    <x v="14"/>
    <x v="12"/>
    <x v="14"/>
    <x v="46"/>
  </r>
  <r>
    <x v="6"/>
    <x v="3"/>
    <x v="9"/>
    <x v="13"/>
    <x v="9"/>
    <x v="42"/>
  </r>
  <r>
    <x v="6"/>
    <x v="3"/>
    <x v="10"/>
    <x v="13"/>
    <x v="10"/>
    <x v="43"/>
  </r>
  <r>
    <x v="6"/>
    <x v="3"/>
    <x v="11"/>
    <x v="13"/>
    <x v="11"/>
    <x v="44"/>
  </r>
  <r>
    <x v="6"/>
    <x v="3"/>
    <x v="12"/>
    <x v="13"/>
    <x v="12"/>
    <x v="31"/>
  </r>
  <r>
    <x v="6"/>
    <x v="3"/>
    <x v="14"/>
    <x v="13"/>
    <x v="14"/>
    <x v="46"/>
  </r>
  <r>
    <x v="7"/>
    <x v="4"/>
    <x v="30"/>
    <x v="14"/>
    <x v="30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Pivottabel5" cacheId="3" applyNumberFormats="0" applyBorderFormats="0" applyFontFormats="0" applyPatternFormats="0" applyAlignmentFormats="0" applyWidthHeightFormats="1" dataCaption="Værdier" updatedVersion="7" minRefreshableVersion="3" useAutoFormatting="1" itemPrintTitles="1" createdVersion="4" indent="0" outline="1" outlineData="1" multipleFieldFilters="0">
  <location ref="AV4:AV8" firstHeaderRow="1" firstDataRow="1" firstDataCol="1" rowPageCount="2" colPageCount="1"/>
  <pivotFields count="5">
    <pivotField axis="axisPage" showAll="0">
      <items count="26">
        <item x="0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4"/>
        <item t="default"/>
      </items>
    </pivotField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24">
        <item x="0"/>
        <item x="1"/>
        <item x="2"/>
        <item x="4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Row" showAll="0">
      <items count="7">
        <item x="0"/>
        <item x="2"/>
        <item x="3"/>
        <item x="4"/>
        <item x="5"/>
        <item x="1"/>
        <item t="default"/>
      </items>
    </pivotField>
    <pivotField axis="axisRow" showAll="0">
      <items count="8">
        <item x="1"/>
        <item x="2"/>
        <item x="3"/>
        <item x="4"/>
        <item x="5"/>
        <item x="0"/>
        <item x="6"/>
        <item t="default"/>
      </items>
    </pivotField>
  </pivotFields>
  <rowFields count="3">
    <field x="4"/>
    <field x="3"/>
    <field x="2"/>
  </rowFields>
  <rowItems count="4">
    <i>
      <x v="1"/>
    </i>
    <i r="1">
      <x v="2"/>
    </i>
    <i r="2">
      <x v="14"/>
    </i>
    <i t="grand">
      <x/>
    </i>
  </rowItems>
  <colItems count="1">
    <i/>
  </colItems>
  <pageFields count="2">
    <pageField fld="1" item="3" hier="-1"/>
    <pageField fld="0" item="14" hier="-1"/>
  </page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Pivottabel2" cacheId="5" applyNumberFormats="0" applyBorderFormats="0" applyFontFormats="0" applyPatternFormats="0" applyAlignmentFormats="0" applyWidthHeightFormats="1" dataCaption="Værdier" updatedVersion="6" minRefreshableVersion="3" useAutoFormatting="1" itemPrintTitles="1" createdVersion="4" indent="0" outline="1" outlineData="1" multipleFieldFilters="0">
  <location ref="BB6:BC47" firstHeaderRow="1" firstDataRow="1" firstDataCol="1" rowPageCount="4" colPageCount="1"/>
  <pivotFields count="6">
    <pivotField axis="axisPage" dataField="1" multipleItemSelectionAllowed="1" showAll="0">
      <items count="9">
        <item x="6"/>
        <item x="4"/>
        <item x="3"/>
        <item x="2"/>
        <item x="5"/>
        <item x="1"/>
        <item x="0"/>
        <item x="7"/>
        <item t="default"/>
      </items>
    </pivotField>
    <pivotField axis="axisPage" showAll="0">
      <items count="6">
        <item x="1"/>
        <item x="0"/>
        <item x="3"/>
        <item x="2"/>
        <item x="4"/>
        <item t="default"/>
      </items>
    </pivotField>
    <pivotField axis="axisPage" showAll="0">
      <items count="32">
        <item x="28"/>
        <item x="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9"/>
        <item x="23"/>
        <item x="17"/>
        <item x="24"/>
        <item x="25"/>
        <item x="18"/>
        <item x="26"/>
        <item x="27"/>
        <item x="20"/>
        <item x="21"/>
        <item x="15"/>
        <item x="22"/>
        <item x="16"/>
        <item x="30"/>
        <item t="default"/>
      </items>
    </pivotField>
    <pivotField axis="axisPage" showAll="0">
      <items count="16">
        <item x="6"/>
        <item x="9"/>
        <item x="7"/>
        <item x="10"/>
        <item x="8"/>
        <item x="3"/>
        <item x="4"/>
        <item x="0"/>
        <item x="1"/>
        <item x="5"/>
        <item x="2"/>
        <item x="11"/>
        <item x="12"/>
        <item x="13"/>
        <item x="14"/>
        <item t="default"/>
      </items>
    </pivotField>
    <pivotField axis="axisRow" showAll="0">
      <items count="33">
        <item x="13"/>
        <item x="24"/>
        <item x="12"/>
        <item x="20"/>
        <item x="11"/>
        <item x="23"/>
        <item x="10"/>
        <item x="19"/>
        <item x="22"/>
        <item x="9"/>
        <item x="18"/>
        <item x="8"/>
        <item x="21"/>
        <item x="7"/>
        <item x="17"/>
        <item x="6"/>
        <item m="1" x="31"/>
        <item x="5"/>
        <item x="16"/>
        <item x="4"/>
        <item x="15"/>
        <item x="3"/>
        <item x="2"/>
        <item x="29"/>
        <item x="1"/>
        <item x="28"/>
        <item x="0"/>
        <item x="27"/>
        <item x="26"/>
        <item x="25"/>
        <item x="30"/>
        <item x="14"/>
        <item t="default"/>
      </items>
    </pivotField>
    <pivotField axis="axisRow" showAll="0">
      <items count="50">
        <item x="17"/>
        <item x="23"/>
        <item x="24"/>
        <item x="19"/>
        <item x="22"/>
        <item x="16"/>
        <item x="18"/>
        <item x="15"/>
        <item x="21"/>
        <item x="13"/>
        <item x="11"/>
        <item x="14"/>
        <item x="12"/>
        <item x="9"/>
        <item x="10"/>
        <item x="20"/>
        <item x="5"/>
        <item x="8"/>
        <item x="4"/>
        <item x="7"/>
        <item x="6"/>
        <item x="3"/>
        <item x="2"/>
        <item x="45"/>
        <item x="34"/>
        <item x="1"/>
        <item x="26"/>
        <item x="25"/>
        <item x="0"/>
        <item x="27"/>
        <item x="29"/>
        <item x="35"/>
        <item x="33"/>
        <item x="31"/>
        <item x="32"/>
        <item x="28"/>
        <item x="30"/>
        <item x="44"/>
        <item x="43"/>
        <item x="42"/>
        <item x="41"/>
        <item x="40"/>
        <item x="39"/>
        <item m="1" x="48"/>
        <item x="38"/>
        <item x="37"/>
        <item x="36"/>
        <item x="47"/>
        <item x="46"/>
        <item t="default"/>
      </items>
    </pivotField>
  </pivotFields>
  <rowFields count="2">
    <field x="4"/>
    <field x="5"/>
  </rowFields>
  <rowItems count="41">
    <i>
      <x/>
    </i>
    <i r="1">
      <x v="5"/>
    </i>
    <i r="1">
      <x v="10"/>
    </i>
    <i>
      <x v="2"/>
    </i>
    <i r="1">
      <x v="12"/>
    </i>
    <i>
      <x v="4"/>
    </i>
    <i r="1">
      <x v="5"/>
    </i>
    <i r="1">
      <x v="10"/>
    </i>
    <i>
      <x v="6"/>
    </i>
    <i r="1">
      <x v="5"/>
    </i>
    <i r="1">
      <x v="10"/>
    </i>
    <i>
      <x v="9"/>
    </i>
    <i r="1">
      <x v="7"/>
    </i>
    <i r="1">
      <x v="9"/>
    </i>
    <i>
      <x v="11"/>
    </i>
    <i r="1">
      <x v="12"/>
    </i>
    <i>
      <x v="13"/>
    </i>
    <i r="1">
      <x v="10"/>
    </i>
    <i r="1">
      <x v="13"/>
    </i>
    <i>
      <x v="15"/>
    </i>
    <i r="1">
      <x v="14"/>
    </i>
    <i r="1">
      <x v="17"/>
    </i>
    <i>
      <x v="17"/>
    </i>
    <i r="1">
      <x v="13"/>
    </i>
    <i r="1">
      <x v="16"/>
    </i>
    <i>
      <x v="19"/>
    </i>
    <i r="1">
      <x v="17"/>
    </i>
    <i r="1">
      <x v="18"/>
    </i>
    <i>
      <x v="21"/>
    </i>
    <i r="1">
      <x v="19"/>
    </i>
    <i r="1">
      <x v="21"/>
    </i>
    <i>
      <x v="22"/>
    </i>
    <i r="1">
      <x v="20"/>
    </i>
    <i r="1">
      <x v="22"/>
    </i>
    <i>
      <x v="24"/>
    </i>
    <i r="1">
      <x v="25"/>
    </i>
    <i>
      <x v="26"/>
    </i>
    <i r="1">
      <x v="28"/>
    </i>
    <i>
      <x v="31"/>
    </i>
    <i r="1">
      <x v="11"/>
    </i>
    <i t="grand">
      <x/>
    </i>
  </rowItems>
  <colItems count="1">
    <i/>
  </colItems>
  <pageFields count="4">
    <pageField fld="2" hier="-1"/>
    <pageField fld="3" hier="-1"/>
    <pageField fld="1" item="1" hier="-1"/>
    <pageField fld="0" hier="-1"/>
  </pageFields>
  <dataFields count="1">
    <dataField name="Antal af Antal ledere" fld="0" subtotal="count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el1" cacheId="4" applyNumberFormats="0" applyBorderFormats="0" applyFontFormats="0" applyPatternFormats="0" applyAlignmentFormats="0" applyWidthHeightFormats="1" dataCaption="Værdier" updatedVersion="4" minRefreshableVersion="3" useAutoFormatting="1" itemPrintTitles="1" createdVersion="4" indent="0" outline="1" outlineData="1" multipleFieldFilters="0">
  <location ref="AY6:AY12" firstHeaderRow="1" firstDataRow="1" firstDataCol="1" rowPageCount="4" colPageCount="1"/>
  <pivotFields count="9">
    <pivotField axis="axisRow" showAll="0">
      <items count="3">
        <item x="1"/>
        <item h="1" x="0"/>
        <item t="default"/>
      </items>
    </pivotField>
    <pivotField axis="axisPage" showAll="0">
      <items count="6">
        <item x="2"/>
        <item x="1"/>
        <item x="4"/>
        <item x="0"/>
        <item x="3"/>
        <item t="default"/>
      </items>
    </pivotField>
    <pivotField axis="axisPage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7">
        <item x="0"/>
        <item x="4"/>
        <item x="1"/>
        <item x="2"/>
        <item x="5"/>
        <item x="3"/>
        <item t="default"/>
      </items>
    </pivotField>
    <pivotField axis="axisRow" showAll="0">
      <items count="6">
        <item x="3"/>
        <item x="0"/>
        <item x="4"/>
        <item x="1"/>
        <item x="2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axis="axisRow" showAll="0">
      <items count="3">
        <item x="1"/>
        <item x="0"/>
        <item t="default"/>
      </items>
    </pivotField>
  </pivotFields>
  <rowFields count="5">
    <field x="7"/>
    <field x="6"/>
    <field x="8"/>
    <field x="5"/>
    <field x="0"/>
  </rowFields>
  <rowItems count="6">
    <i>
      <x v="1"/>
    </i>
    <i r="1">
      <x/>
    </i>
    <i r="2">
      <x v="1"/>
    </i>
    <i r="3">
      <x v="2"/>
    </i>
    <i r="4">
      <x/>
    </i>
    <i t="grand">
      <x/>
    </i>
  </rowItems>
  <colItems count="1">
    <i/>
  </colItems>
  <pageFields count="4">
    <pageField fld="1" item="3" hier="-1"/>
    <pageField fld="2" item="14" hier="-1"/>
    <pageField fld="3" item="0" hier="-1"/>
    <pageField fld="4" item="1" hier="-1"/>
  </page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Sikringens_størrelse___A" xr10:uid="{00000000-0013-0000-FFFF-FFFF01000000}" sourceName="Sikringens størrelse [ A ]">
  <pivotTables>
    <pivotTable tabId="5" name="Pivottabel5"/>
  </pivotTables>
  <data>
    <tabular pivotCacheId="4">
      <items count="25">
        <i x="15" s="1"/>
        <i x="16"/>
        <i x="17"/>
        <i x="0" nd="1"/>
        <i x="1" nd="1"/>
        <i x="2" nd="1"/>
        <i x="3" nd="1"/>
        <i x="4" nd="1"/>
        <i x="5" nd="1"/>
        <i x="6" nd="1"/>
        <i x="7" nd="1"/>
        <i x="8" nd="1"/>
        <i x="9" nd="1"/>
        <i x="10" nd="1"/>
        <i x="11" nd="1"/>
        <i x="12" nd="1"/>
        <i x="13" nd="1"/>
        <i x="14" nd="1"/>
        <i x="18" nd="1"/>
        <i x="19" nd="1"/>
        <i x="20" nd="1"/>
        <i x="21" nd="1"/>
        <i x="22" nd="1"/>
        <i x="23" nd="1"/>
        <i x="24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Sikrings_typen" xr10:uid="{00000000-0013-0000-FFFF-FFFF02000000}" sourceName="Sikrings typen">
  <pivotTables>
    <pivotTable tabId="5" name="Pivottabel5"/>
  </pivotTables>
  <data>
    <tabular pivotCacheId="4">
      <items count="6">
        <i x="3" s="1"/>
        <i x="0" nd="1"/>
        <i x="1" nd="1"/>
        <i x="2" nd="1"/>
        <i x="4" nd="1"/>
        <i x="5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Standart" xr10:uid="{00000000-0013-0000-FFFF-FFFF03000000}" sourceName="Standart">
  <pivotTables>
    <pivotTable tabId="5" name="Pivottabel1"/>
  </pivotTables>
  <data>
    <tabular pivotCacheId="12">
      <items count="2">
        <i x="1" s="1"/>
        <i x="0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Automatsikring" xr10:uid="{00000000-0013-0000-FFFF-FFFF04000000}" sourceName="Automatsikring">
  <pivotTables>
    <pivotTable tabId="5" name="Pivottabel1"/>
  </pivotTables>
  <data>
    <tabular pivotCacheId="12">
      <items count="5">
        <i x="2"/>
        <i x="1"/>
        <i x="4"/>
        <i x="0" s="1"/>
        <i x="3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mærkestrøm" xr10:uid="{00000000-0013-0000-FFFF-FFFF05000000}" sourceName="mærkestrøm">
  <pivotTables>
    <pivotTable tabId="5" name="Pivottabel1"/>
  </pivotTables>
  <data>
    <tabular pivotCacheId="12">
      <items count="18">
        <i x="1"/>
        <i x="2"/>
        <i x="3"/>
        <i x="4"/>
        <i x="5"/>
        <i x="6"/>
        <i x="7"/>
        <i x="8"/>
        <i x="9"/>
        <i x="10"/>
        <i x="11"/>
        <i x="12"/>
        <i x="13"/>
        <i x="14" s="1"/>
        <i x="0" nd="1"/>
        <i x="15" nd="1"/>
        <i x="16" nd="1"/>
        <i x="17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Kurve" xr10:uid="{00000000-0013-0000-FFFF-FFFF06000000}" sourceName="Kurve">
  <pivotTables>
    <pivotTable tabId="5" name="Pivottabel1"/>
  </pivotTables>
  <data>
    <tabular pivotCacheId="12">
      <items count="3">
        <i x="0" s="1"/>
        <i x="1"/>
        <i x="2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Poler" xr10:uid="{00000000-0013-0000-FFFF-FFFF07000000}" sourceName="Poler">
  <pivotTables>
    <pivotTable tabId="5" name="Pivottabel1"/>
  </pivotTables>
  <data>
    <tabular pivotCacheId="12">
      <items count="2">
        <i x="0"/>
        <i x="1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Antal_ledere" xr10:uid="{00000000-0013-0000-FFFF-FFFF08000000}" sourceName="Antal ledere">
  <pivotTables>
    <pivotTable tabId="5" name="Pivottabel2"/>
  </pivotTables>
  <data>
    <tabular pivotCacheId="13">
      <items count="8">
        <i x="2" s="1"/>
        <i x="1" s="1"/>
        <i x="0" s="1"/>
        <i x="6" s="1" nd="1"/>
        <i x="4" s="1" nd="1"/>
        <i x="3" s="1" nd="1"/>
        <i x="5" s="1" nd="1"/>
        <i x="7" s="1" nd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Leder_type" xr10:uid="{00000000-0013-0000-FFFF-FFFF09000000}" sourceName="Leder type">
  <pivotTables>
    <pivotTable tabId="5" name="Pivottabel2"/>
  </pivotTables>
  <data>
    <tabular pivotCacheId="13">
      <items count="5">
        <i x="1"/>
        <i x="0" s="1"/>
        <i x="3"/>
        <i x="2"/>
        <i x="4" nd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Tværsnit" xr10:uid="{00000000-0013-0000-FFFF-FFFF0A000000}" sourceName="Tværsnit">
  <pivotTables>
    <pivotTable tabId="5" name="Pivottabel2"/>
  </pivotTables>
  <data>
    <tabular pivotCacheId="13">
      <items count="31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7" s="1"/>
        <i x="18" s="1"/>
        <i x="15" s="1"/>
        <i x="16" s="1"/>
        <i x="28" s="1" nd="1"/>
        <i x="29" s="1" nd="1"/>
        <i x="19" s="1" nd="1"/>
        <i x="23" s="1" nd="1"/>
        <i x="24" s="1" nd="1"/>
        <i x="25" s="1" nd="1"/>
        <i x="26" s="1" nd="1"/>
        <i x="27" s="1" nd="1"/>
        <i x="20" s="1" nd="1"/>
        <i x="21" s="1" nd="1"/>
        <i x="22" s="1" nd="1"/>
        <i x="30" s="1" nd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Kabel_type" xr10:uid="{00000000-0013-0000-FFFF-FFFF0B000000}" sourceName="Kabel type">
  <pivotTables>
    <pivotTable tabId="5" name="Pivottabel2"/>
  </pivotTables>
  <data>
    <tabular pivotCacheId="13">
      <items count="15">
        <i x="0" s="1"/>
        <i x="1" s="1"/>
        <i x="2" s="1"/>
        <i x="6" s="1" nd="1"/>
        <i x="9" s="1" nd="1"/>
        <i x="7" s="1" nd="1"/>
        <i x="10" s="1" nd="1"/>
        <i x="8" s="1" nd="1"/>
        <i x="12" s="1" nd="1"/>
        <i x="3" s="1" nd="1"/>
        <i x="4" s="1" nd="1"/>
        <i x="13" s="1" nd="1"/>
        <i x="5" s="1" nd="1"/>
        <i x="11" s="1" nd="1"/>
        <i x="14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ikringens størrelse [ A ]" xr10:uid="{00000000-0014-0000-FFFF-FFFF01000000}" cache="Udsnitsværktøj_Sikringens_størrelse___A" caption="Sikringens størrelse [ A ]" columnCount="5" rowHeight="251883"/>
  <slicer name="Sikrings typen" xr10:uid="{00000000-0014-0000-FFFF-FFFF02000000}" cache="Udsnitsværktøj_Sikrings_typen" caption="Sikrings typen" columnCount="2" rowHeight="251883"/>
  <slicer name="Standart" xr10:uid="{00000000-0014-0000-FFFF-FFFF03000000}" cache="Udsnitsværktøj_Standart" caption="Standart" rowHeight="251883"/>
  <slicer name="Automatsikrings type" xr10:uid="{00000000-0014-0000-FFFF-FFFF04000000}" cache="Udsnitsværktøj_Automatsikring" caption="Automatsikrings type" columnCount="2" rowHeight="251883"/>
  <slicer name="Mærkestrøm [A]" xr10:uid="{00000000-0014-0000-FFFF-FFFF05000000}" cache="Udsnitsværktøj_mærkestrøm" caption="Mærkestrøm [A]" columnCount="3" rowHeight="251883"/>
  <slicer name="Kurve" xr10:uid="{00000000-0014-0000-FFFF-FFFF06000000}" cache="Udsnitsværktøj_Kurve" caption="Kurve" rowHeight="251883"/>
  <slicer name="Poler" xr10:uid="{00000000-0014-0000-FFFF-FFFF07000000}" cache="Udsnitsværktøj_Poler" caption="Poler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tal ledere" xr10:uid="{00000000-0014-0000-FFFF-FFFF08000000}" cache="Udsnitsværktøj_Antal_ledere" caption="Antal ledere" columnCount="2" rowHeight="251883"/>
  <slicer name="Leder type" xr10:uid="{00000000-0014-0000-FFFF-FFFF09000000}" cache="Udsnitsværktøj_Leder_type" caption="Leder type" rowHeight="251883"/>
  <slicer name="Tværsnit" xr10:uid="{00000000-0014-0000-FFFF-FFFF0A000000}" cache="Udsnitsværktøj_Tværsnit" caption="Tværsnit" columnCount="2" rowHeight="251883"/>
  <slicer name="Kabel type" xr10:uid="{00000000-0014-0000-FFFF-FFFF0B000000}" cache="Udsnitsværktøj_Kabel_type" caption="Kabel type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3" displayName="Tabel3" ref="Z6:AE127" totalsRowShown="0">
  <autoFilter ref="Z6:AE127" xr:uid="{00000000-0009-0000-0100-000003000000}"/>
  <tableColumns count="6">
    <tableColumn id="1" xr3:uid="{00000000-0010-0000-0000-000001000000}" name="Antal ledere"/>
    <tableColumn id="2" xr3:uid="{00000000-0010-0000-0000-000002000000}" name="Leder type"/>
    <tableColumn id="3" xr3:uid="{00000000-0010-0000-0000-000003000000}" name="Tværsnit"/>
    <tableColumn id="4" xr3:uid="{00000000-0010-0000-0000-000004000000}" name="Kabel type"/>
    <tableColumn id="5" xr3:uid="{00000000-0010-0000-0000-000005000000}" name="R">
      <calculatedColumnFormula>VLOOKUP(Tabel3[[#This Row],[Tværsnit]],'Lister og genveje'!$AQ$10:$AS$25,2,0)</calculatedColumnFormula>
    </tableColumn>
    <tableColumn id="6" xr3:uid="{00000000-0010-0000-0000-000006000000}" name="X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1" displayName="Tabel1" ref="L26:T776" totalsRowShown="0">
  <autoFilter ref="L26:T776" xr:uid="{00000000-0009-0000-0100-000001000000}"/>
  <tableColumns count="9">
    <tableColumn id="1" xr3:uid="{00000000-0010-0000-0100-000001000000}" name="Standart" dataDxfId="1"/>
    <tableColumn id="2" xr3:uid="{00000000-0010-0000-0100-000002000000}" name="Automatsikring"/>
    <tableColumn id="3" xr3:uid="{00000000-0010-0000-0100-000003000000}" name="mærkestrøm"/>
    <tableColumn id="4" xr3:uid="{00000000-0010-0000-0100-000004000000}" name="Kurve"/>
    <tableColumn id="5" xr3:uid="{00000000-0010-0000-0100-000005000000}" name="Poler"/>
    <tableColumn id="6" xr3:uid="{00000000-0010-0000-0100-000006000000}" name="Icu [ kA ]" dataDxfId="0">
      <calculatedColumnFormula>INDEX('Lister og genveje'!$E$39:$I$46,MATCH(M27,'Lister og genveje'!$D$39:$D$46,0),MATCH(P27,'Lister og genveje'!$E$38:$I$38,0),1)</calculatedColumnFormula>
    </tableColumn>
    <tableColumn id="7" xr3:uid="{00000000-0010-0000-0100-000007000000}" name="Isd min">
      <calculatedColumnFormula>HLOOKUP(O27,'Lister og genveje'!$E$50:$G$52,2,0)</calculatedColumnFormula>
    </tableColumn>
    <tableColumn id="8" xr3:uid="{00000000-0010-0000-0100-000008000000}" name="Isd max">
      <calculatedColumnFormula>HLOOKUP(O27,'Lister og genveje'!$E$50:$G$52,3,0)</calculatedColumnFormula>
    </tableColumn>
    <tableColumn id="9" xr3:uid="{00000000-0010-0000-0100-000009000000}" name="Ics">
      <calculatedColumnFormula>VLOOKUP(M27,'Lister og genveje'!$D$39:$J$46,7,0)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Kontor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2.xml"/><Relationship Id="rId18" Type="http://schemas.openxmlformats.org/officeDocument/2006/relationships/ctrlProp" Target="../ctrlProps/ctrlProp17.xml"/><Relationship Id="rId26" Type="http://schemas.openxmlformats.org/officeDocument/2006/relationships/ctrlProp" Target="../ctrlProps/ctrlProp25.xml"/><Relationship Id="rId39" Type="http://schemas.openxmlformats.org/officeDocument/2006/relationships/ctrlProp" Target="../ctrlProps/ctrlProp38.xml"/><Relationship Id="rId21" Type="http://schemas.openxmlformats.org/officeDocument/2006/relationships/ctrlProp" Target="../ctrlProps/ctrlProp20.xml"/><Relationship Id="rId34" Type="http://schemas.openxmlformats.org/officeDocument/2006/relationships/ctrlProp" Target="../ctrlProps/ctrlProp33.xml"/><Relationship Id="rId7" Type="http://schemas.openxmlformats.org/officeDocument/2006/relationships/ctrlProp" Target="../ctrlProps/ctrlProp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5.xml"/><Relationship Id="rId20" Type="http://schemas.openxmlformats.org/officeDocument/2006/relationships/ctrlProp" Target="../ctrlProps/ctrlProp19.xml"/><Relationship Id="rId29" Type="http://schemas.openxmlformats.org/officeDocument/2006/relationships/ctrlProp" Target="../ctrlProps/ctrlProp28.xml"/><Relationship Id="rId41" Type="http://schemas.openxmlformats.org/officeDocument/2006/relationships/ctrlProp" Target="../ctrlProps/ctrlProp40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5.xml"/><Relationship Id="rId11" Type="http://schemas.openxmlformats.org/officeDocument/2006/relationships/ctrlProp" Target="../ctrlProps/ctrlProp10.xml"/><Relationship Id="rId24" Type="http://schemas.openxmlformats.org/officeDocument/2006/relationships/ctrlProp" Target="../ctrlProps/ctrlProp23.xml"/><Relationship Id="rId32" Type="http://schemas.openxmlformats.org/officeDocument/2006/relationships/ctrlProp" Target="../ctrlProps/ctrlProp31.xml"/><Relationship Id="rId37" Type="http://schemas.openxmlformats.org/officeDocument/2006/relationships/ctrlProp" Target="../ctrlProps/ctrlProp36.xml"/><Relationship Id="rId40" Type="http://schemas.openxmlformats.org/officeDocument/2006/relationships/ctrlProp" Target="../ctrlProps/ctrlProp39.xml"/><Relationship Id="rId5" Type="http://schemas.openxmlformats.org/officeDocument/2006/relationships/ctrlProp" Target="../ctrlProps/ctrlProp4.xml"/><Relationship Id="rId15" Type="http://schemas.openxmlformats.org/officeDocument/2006/relationships/ctrlProp" Target="../ctrlProps/ctrlProp14.xml"/><Relationship Id="rId23" Type="http://schemas.openxmlformats.org/officeDocument/2006/relationships/ctrlProp" Target="../ctrlProps/ctrlProp22.xml"/><Relationship Id="rId28" Type="http://schemas.openxmlformats.org/officeDocument/2006/relationships/ctrlProp" Target="../ctrlProps/ctrlProp27.xml"/><Relationship Id="rId36" Type="http://schemas.openxmlformats.org/officeDocument/2006/relationships/ctrlProp" Target="../ctrlProps/ctrlProp35.xml"/><Relationship Id="rId10" Type="http://schemas.openxmlformats.org/officeDocument/2006/relationships/ctrlProp" Target="../ctrlProps/ctrlProp9.xml"/><Relationship Id="rId19" Type="http://schemas.openxmlformats.org/officeDocument/2006/relationships/ctrlProp" Target="../ctrlProps/ctrlProp18.xml"/><Relationship Id="rId31" Type="http://schemas.openxmlformats.org/officeDocument/2006/relationships/ctrlProp" Target="../ctrlProps/ctrlProp30.xml"/><Relationship Id="rId4" Type="http://schemas.openxmlformats.org/officeDocument/2006/relationships/ctrlProp" Target="../ctrlProps/ctrlProp3.xml"/><Relationship Id="rId9" Type="http://schemas.openxmlformats.org/officeDocument/2006/relationships/ctrlProp" Target="../ctrlProps/ctrlProp8.xml"/><Relationship Id="rId14" Type="http://schemas.openxmlformats.org/officeDocument/2006/relationships/ctrlProp" Target="../ctrlProps/ctrlProp13.xml"/><Relationship Id="rId22" Type="http://schemas.openxmlformats.org/officeDocument/2006/relationships/ctrlProp" Target="../ctrlProps/ctrlProp21.xml"/><Relationship Id="rId27" Type="http://schemas.openxmlformats.org/officeDocument/2006/relationships/ctrlProp" Target="../ctrlProps/ctrlProp26.xml"/><Relationship Id="rId30" Type="http://schemas.openxmlformats.org/officeDocument/2006/relationships/ctrlProp" Target="../ctrlProps/ctrlProp29.xml"/><Relationship Id="rId35" Type="http://schemas.openxmlformats.org/officeDocument/2006/relationships/ctrlProp" Target="../ctrlProps/ctrlProp34.xml"/><Relationship Id="rId8" Type="http://schemas.openxmlformats.org/officeDocument/2006/relationships/ctrlProp" Target="../ctrlProps/ctrlProp7.xml"/><Relationship Id="rId3" Type="http://schemas.openxmlformats.org/officeDocument/2006/relationships/vmlDrawing" Target="../drawings/vmlDrawing2.vml"/><Relationship Id="rId12" Type="http://schemas.openxmlformats.org/officeDocument/2006/relationships/ctrlProp" Target="../ctrlProps/ctrlProp11.xml"/><Relationship Id="rId17" Type="http://schemas.openxmlformats.org/officeDocument/2006/relationships/ctrlProp" Target="../ctrlProps/ctrlProp16.xml"/><Relationship Id="rId25" Type="http://schemas.openxmlformats.org/officeDocument/2006/relationships/ctrlProp" Target="../ctrlProps/ctrlProp24.xml"/><Relationship Id="rId33" Type="http://schemas.openxmlformats.org/officeDocument/2006/relationships/ctrlProp" Target="../ctrlProps/ctrlProp32.xml"/><Relationship Id="rId38" Type="http://schemas.openxmlformats.org/officeDocument/2006/relationships/ctrlProp" Target="../ctrlProps/ctrlProp37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zoomScale="110" zoomScaleNormal="110" zoomScalePageLayoutView="110" workbookViewId="0">
      <selection activeCell="G8" sqref="G8"/>
    </sheetView>
  </sheetViews>
  <sheetFormatPr defaultColWidth="10.83203125" defaultRowHeight="15"/>
  <cols>
    <col min="1" max="16384" width="10.83203125" style="6"/>
  </cols>
  <sheetData>
    <row r="1" spans="1:6" ht="15.5" thickBot="1">
      <c r="A1" s="65"/>
      <c r="B1" s="65"/>
      <c r="C1" s="65"/>
      <c r="D1" s="65"/>
      <c r="E1" s="65"/>
      <c r="F1" s="65"/>
    </row>
    <row r="2" spans="1:6" ht="15" customHeight="1">
      <c r="A2" s="65"/>
      <c r="B2" s="124" t="s">
        <v>176</v>
      </c>
      <c r="C2" s="125"/>
      <c r="D2" s="65"/>
      <c r="E2" s="124" t="s">
        <v>27</v>
      </c>
      <c r="F2" s="125"/>
    </row>
    <row r="3" spans="1:6" ht="16.149999999999999" customHeight="1" thickBot="1">
      <c r="A3" s="65"/>
      <c r="B3" s="126"/>
      <c r="C3" s="127"/>
      <c r="D3" s="65"/>
      <c r="E3" s="126"/>
      <c r="F3" s="127"/>
    </row>
    <row r="4" spans="1:6" ht="15.5" thickBot="1">
      <c r="A4" s="65"/>
      <c r="B4" s="65"/>
      <c r="C4" s="65"/>
      <c r="D4" s="65"/>
      <c r="E4" s="65"/>
      <c r="F4" s="65"/>
    </row>
    <row r="5" spans="1:6">
      <c r="A5" s="65"/>
      <c r="B5" s="124" t="s">
        <v>177</v>
      </c>
      <c r="C5" s="125"/>
      <c r="D5" s="65"/>
      <c r="E5" s="124" t="s">
        <v>26</v>
      </c>
      <c r="F5" s="125"/>
    </row>
    <row r="6" spans="1:6" ht="15.5" thickBot="1">
      <c r="A6" s="65"/>
      <c r="B6" s="126"/>
      <c r="C6" s="127"/>
      <c r="D6" s="65"/>
      <c r="E6" s="126"/>
      <c r="F6" s="127"/>
    </row>
    <row r="7" spans="1:6" ht="15.5" thickBot="1">
      <c r="A7" s="65"/>
      <c r="B7" s="65"/>
      <c r="C7" s="65"/>
      <c r="D7" s="65"/>
      <c r="E7" s="65"/>
      <c r="F7" s="65"/>
    </row>
    <row r="8" spans="1:6">
      <c r="A8" s="65"/>
      <c r="B8" s="124" t="s">
        <v>55</v>
      </c>
      <c r="C8" s="125"/>
      <c r="D8" s="65"/>
      <c r="E8" s="65"/>
      <c r="F8" s="65"/>
    </row>
    <row r="9" spans="1:6" ht="15.5" thickBot="1">
      <c r="A9" s="65"/>
      <c r="B9" s="126"/>
      <c r="C9" s="127"/>
      <c r="D9" s="65"/>
      <c r="E9" s="65"/>
      <c r="F9" s="65"/>
    </row>
    <row r="10" spans="1:6" ht="15.5" thickBot="1">
      <c r="A10" s="65"/>
      <c r="B10" s="65"/>
      <c r="C10" s="65"/>
      <c r="D10" s="65"/>
      <c r="E10" s="65"/>
      <c r="F10" s="65"/>
    </row>
    <row r="11" spans="1:6">
      <c r="A11" s="65"/>
      <c r="B11" s="132"/>
      <c r="C11" s="133"/>
      <c r="D11" s="65"/>
      <c r="E11" s="128" t="s">
        <v>29</v>
      </c>
      <c r="F11" s="129"/>
    </row>
    <row r="12" spans="1:6" ht="15.5" thickBot="1">
      <c r="A12" s="65"/>
      <c r="B12" s="134"/>
      <c r="C12" s="135"/>
      <c r="D12" s="65"/>
      <c r="E12" s="130"/>
      <c r="F12" s="131"/>
    </row>
  </sheetData>
  <mergeCells count="7">
    <mergeCell ref="B5:C6"/>
    <mergeCell ref="B2:C3"/>
    <mergeCell ref="E5:F6"/>
    <mergeCell ref="E2:F3"/>
    <mergeCell ref="E11:F12"/>
    <mergeCell ref="B8:C9"/>
    <mergeCell ref="B11:C12"/>
  </mergeCells>
  <hyperlinks>
    <hyperlink ref="B2" location="Sikringer!B4" display="Valg af smeltesikringer" xr:uid="{00000000-0004-0000-0000-000000000000}"/>
    <hyperlink ref="C2" location="Sikringer!B4" display="Sikringer!B4" xr:uid="{00000000-0004-0000-0000-000001000000}"/>
    <hyperlink ref="B3" location="Sikringer!B4" display="Sikringer!B4" xr:uid="{00000000-0004-0000-0000-000002000000}"/>
    <hyperlink ref="C3" location="Sikringer!B4" display="Sikringer!B4" xr:uid="{00000000-0004-0000-0000-000003000000}"/>
    <hyperlink ref="E5" location="'Tavle dim'!D6" display="Belastnings beregning" xr:uid="{00000000-0004-0000-0000-000004000000}"/>
    <hyperlink ref="F5" location="'Tavle dim'!D6" display="'Tavle dim'!D6" xr:uid="{00000000-0004-0000-0000-000005000000}"/>
    <hyperlink ref="E6" location="'Tavle dim'!D6" display="'Tavle dim'!D6" xr:uid="{00000000-0004-0000-0000-000006000000}"/>
    <hyperlink ref="F6" location="'Tavle dim'!D6" display="'Tavle dim'!D6" xr:uid="{00000000-0004-0000-0000-000007000000}"/>
    <hyperlink ref="E2" location="'Tavle dim'!B2" display="Tavleoversigt" xr:uid="{00000000-0004-0000-0000-000008000000}"/>
    <hyperlink ref="F2" location="'Tavle dim'!B2" display="'Tavle dim'!B2" xr:uid="{00000000-0004-0000-0000-000009000000}"/>
    <hyperlink ref="E3" location="'Tavle dim'!B2" display="'Tavle dim'!B2" xr:uid="{00000000-0004-0000-0000-00000A000000}"/>
    <hyperlink ref="F3" location="'Tavle dim'!B2" display="'Tavle dim'!B2" xr:uid="{00000000-0004-0000-0000-00000B000000}"/>
    <hyperlink ref="E11" location="'Lister og genveje'!A1" display="Lister og genveje" xr:uid="{00000000-0004-0000-0000-00000C000000}"/>
    <hyperlink ref="F11" location="'Lister og genveje'!A1" display="'Lister og genveje'!A1" xr:uid="{00000000-0004-0000-0000-00000D000000}"/>
    <hyperlink ref="E12" location="'Lister og genveje'!A1" display="'Lister og genveje'!A1" xr:uid="{00000000-0004-0000-0000-00000E000000}"/>
    <hyperlink ref="F12" location="'Lister og genveje'!A1" display="'Lister og genveje'!A1" xr:uid="{00000000-0004-0000-0000-00000F000000}"/>
    <hyperlink ref="B8" location="'Maksimal afbryder'!D6" display="Maksimal afbryder" xr:uid="{00000000-0004-0000-0000-000010000000}"/>
    <hyperlink ref="C8" location="'Maksimal afbryder'!D6" display="'Maksimal afbryder'!D6" xr:uid="{00000000-0004-0000-0000-000011000000}"/>
    <hyperlink ref="B9" location="'Maksimal afbryder'!D6" display="'Maksimal afbryder'!D6" xr:uid="{00000000-0004-0000-0000-000012000000}"/>
    <hyperlink ref="C9" location="'Maksimal afbryder'!D6" display="'Maksimal afbryder'!D6" xr:uid="{00000000-0004-0000-0000-000013000000}"/>
    <hyperlink ref="B5" location="Sikringer!I4" display="Valg af Automatsikring" xr:uid="{00000000-0004-0000-0000-000014000000}"/>
    <hyperlink ref="C5" location="Sikringer!I4" display="Sikringer!I4" xr:uid="{00000000-0004-0000-0000-000015000000}"/>
    <hyperlink ref="B6" location="Sikringer!I4" display="Sikringer!I4" xr:uid="{00000000-0004-0000-0000-000016000000}"/>
    <hyperlink ref="C6" location="Sikringer!I4" display="Sikringer!I4" xr:uid="{00000000-0004-0000-0000-00001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64"/>
  <sheetViews>
    <sheetView workbookViewId="0">
      <selection activeCell="L37" sqref="L37"/>
    </sheetView>
  </sheetViews>
  <sheetFormatPr defaultColWidth="10.83203125" defaultRowHeight="15"/>
  <cols>
    <col min="1" max="2" width="10.75" style="8" customWidth="1"/>
    <col min="3" max="3" width="10.75" style="7" customWidth="1"/>
    <col min="4" max="4" width="6.25" style="7" bestFit="1" customWidth="1"/>
    <col min="5" max="5" width="10.75" style="7" customWidth="1"/>
    <col min="6" max="6" width="2.5" style="7" bestFit="1" customWidth="1"/>
    <col min="7" max="20" width="10.75" style="8" customWidth="1"/>
    <col min="21" max="21" width="13.5" style="8" bestFit="1" customWidth="1"/>
    <col min="22" max="22" width="17.5" style="8" customWidth="1"/>
    <col min="23" max="23" width="9.25" style="8" bestFit="1" customWidth="1"/>
    <col min="24" max="24" width="7.75" style="8" bestFit="1" customWidth="1"/>
    <col min="25" max="16384" width="10.83203125" style="8"/>
  </cols>
  <sheetData>
    <row r="1" spans="1:27" ht="15.5" thickBot="1">
      <c r="X1" s="7"/>
      <c r="Y1" s="7"/>
      <c r="Z1" s="7"/>
      <c r="AA1" s="7"/>
    </row>
    <row r="2" spans="1:27" ht="15.5" thickBot="1">
      <c r="A2" s="76" t="str">
        <f>IF(D6&lt;=40,40,"")&amp;IF(AND(D6&gt;40,D6&lt;=100),100,"")&amp;IF(AND(D6&gt;100,D6&lt;=160),160,"")&amp;IF(AND(D6&gt;160,D6&lt;=250),250,"")&amp;IF(AND(D6&gt;250,D6&lt;=400),400,"")&amp;IF(AND(D6&gt;400,D6&lt;=630),630,"")</f>
        <v>400</v>
      </c>
      <c r="B2" s="144" t="s">
        <v>138</v>
      </c>
      <c r="C2" s="145"/>
      <c r="D2" s="145"/>
      <c r="E2" s="145"/>
      <c r="F2" s="146"/>
      <c r="K2" s="8" t="s">
        <v>144</v>
      </c>
    </row>
    <row r="3" spans="1:27" ht="16.149999999999999" customHeight="1" thickBot="1">
      <c r="A3" s="77">
        <v>2</v>
      </c>
      <c r="B3" s="18" t="s">
        <v>139</v>
      </c>
      <c r="F3" s="58"/>
      <c r="R3" s="139" t="s">
        <v>230</v>
      </c>
      <c r="S3" s="140"/>
      <c r="T3" s="140"/>
      <c r="U3" s="140"/>
      <c r="V3" s="140"/>
      <c r="W3" s="140"/>
      <c r="X3" s="140"/>
      <c r="Y3" s="141"/>
    </row>
    <row r="4" spans="1:27">
      <c r="B4" s="18"/>
      <c r="F4" s="58"/>
      <c r="L4" s="8" t="s">
        <v>145</v>
      </c>
      <c r="R4" s="18"/>
      <c r="Y4" s="17"/>
    </row>
    <row r="5" spans="1:27">
      <c r="B5" s="18"/>
      <c r="F5" s="58"/>
      <c r="R5" s="18"/>
      <c r="S5" s="108" t="s">
        <v>174</v>
      </c>
      <c r="T5" s="108"/>
      <c r="U5" s="108"/>
      <c r="V5" s="108"/>
      <c r="W5" s="108"/>
      <c r="X5" s="109"/>
      <c r="Y5" s="17"/>
    </row>
    <row r="6" spans="1:27" ht="20.149999999999999" customHeight="1">
      <c r="B6" s="18"/>
      <c r="C6" s="66" t="s">
        <v>30</v>
      </c>
      <c r="D6" s="113">
        <v>303.8</v>
      </c>
      <c r="E6" s="66" t="s">
        <v>133</v>
      </c>
      <c r="F6" s="58"/>
      <c r="L6" s="7"/>
      <c r="M6" s="7"/>
      <c r="R6" s="18"/>
      <c r="S6" s="109"/>
      <c r="T6" s="109"/>
      <c r="U6" s="109"/>
      <c r="V6" s="109"/>
      <c r="W6" s="109"/>
      <c r="X6" s="109"/>
      <c r="Y6" s="17"/>
    </row>
    <row r="7" spans="1:27" ht="17.149999999999999" customHeight="1">
      <c r="B7" s="18"/>
      <c r="C7" s="66" t="s">
        <v>59</v>
      </c>
      <c r="D7" s="67">
        <v>303.8</v>
      </c>
      <c r="E7" s="66" t="s">
        <v>134</v>
      </c>
      <c r="F7" s="58"/>
      <c r="L7" s="7" t="str">
        <f>"NSX "&amp;IF(A2&lt;=100,100,LEFT($A$2,3))</f>
        <v>NSX 400</v>
      </c>
      <c r="M7" s="8" t="str">
        <f>IF(AND(D8&gt;0,D8&lt;=35.99),"F","")&amp;IF(AND(D8&gt;36,D8&lt;=49.99),"N","")&amp;IF(AND(D8&gt;50,D8&lt;=69.99),"H","")&amp;IF(AND(D8&gt;70,D8&lt;=99.99),"S","")&amp;IF(AND(D8&gt;100,D8&lt;=150),"L","")</f>
        <v>F</v>
      </c>
      <c r="O7" s="9" t="s">
        <v>57</v>
      </c>
      <c r="P7" s="7">
        <f>INDEX('Lister og genveje'!$D$2:$I$6,MATCH($L$7,'Lister og genveje'!$C$2:$C$6,FALSE),MATCH(M7,'Lister og genveje'!$D$1:$I$1,FALSE),1)</f>
        <v>36</v>
      </c>
      <c r="Q7" s="8" t="s">
        <v>62</v>
      </c>
      <c r="R7" s="18"/>
      <c r="S7" s="109" t="str">
        <f>"valg af maksimalafbryder: "&amp;L7&amp;M7</f>
        <v>valg af maksimalafbryder: NSX 400F</v>
      </c>
      <c r="T7" s="109"/>
      <c r="V7" s="110" t="s">
        <v>175</v>
      </c>
      <c r="W7" s="109"/>
      <c r="X7" s="109"/>
      <c r="Y7" s="109"/>
    </row>
    <row r="8" spans="1:27" ht="16.149999999999999" customHeight="1">
      <c r="B8" s="18"/>
      <c r="C8" s="66" t="s">
        <v>60</v>
      </c>
      <c r="D8" s="67">
        <v>12.1</v>
      </c>
      <c r="E8" s="66" t="s">
        <v>62</v>
      </c>
      <c r="F8" s="58"/>
      <c r="R8" s="18"/>
      <c r="S8" s="109" t="str">
        <f>"In = "&amp;P9&amp;" A"</f>
        <v>In = 400 A</v>
      </c>
      <c r="T8" s="109"/>
      <c r="V8" s="137" t="str">
        <f>"In = "&amp;P9&amp;" A"</f>
        <v>In = 400 A</v>
      </c>
      <c r="W8" s="137"/>
      <c r="X8" s="137"/>
      <c r="Y8" s="109"/>
    </row>
    <row r="9" spans="1:27" ht="16.149999999999999" customHeight="1">
      <c r="B9" s="18"/>
      <c r="C9" s="66" t="s">
        <v>61</v>
      </c>
      <c r="D9" s="67">
        <v>0</v>
      </c>
      <c r="E9" s="66" t="s">
        <v>135</v>
      </c>
      <c r="F9" s="58"/>
      <c r="L9" s="9" t="s">
        <v>31</v>
      </c>
      <c r="M9" s="56" t="s">
        <v>18</v>
      </c>
      <c r="N9" s="7">
        <f>D6</f>
        <v>303.8</v>
      </c>
      <c r="O9" s="7" t="s">
        <v>48</v>
      </c>
      <c r="P9" s="7" t="str">
        <f>RIGHT(L7,3)</f>
        <v>400</v>
      </c>
      <c r="Q9" s="10">
        <f>IF((LEFT(P9,3)-LEFT(N9,3))&gt;=0,1,-1)</f>
        <v>1</v>
      </c>
      <c r="R9" s="18"/>
      <c r="S9" s="109" t="str">
        <f>"Icu = "&amp;P7&amp;" kA"</f>
        <v>Icu = 36 kA</v>
      </c>
      <c r="T9" s="109"/>
      <c r="V9" s="108" t="str">
        <f>"Ir = "&amp;" ( "&amp;IF($D$6&lt;=40,'Lister og genveje'!$F$19,"")&amp;IF(AND($D$6&gt;=40,$D$6&lt;=100),'Lister og genveje'!F20,"")&amp;IF(AND($D$6&gt;=100,$D$6&lt;=160),'Lister og genveje'!F21,"")&amp;IF(AND($D$6&gt;=160,$D$6&lt;=250,A3=1),'Lister og genveje'!F22,'Lister og genveje'!F23)&amp;IF(AND($D$6&gt;=250,$D$6&lt;=400),'Lister og genveje'!F24,"")&amp;IF(AND($D$6&gt;=400,$D$6&lt;=630),'Lister og genveje'!F25,"")&amp;" - "</f>
        <v xml:space="preserve">Ir =  ( 144 - </v>
      </c>
      <c r="W9" s="114">
        <f>D6</f>
        <v>303.8</v>
      </c>
      <c r="X9" s="108" t="str">
        <f>" - "&amp;IF($D$6&lt;=40,'Lister og genveje'!$F$19,"")&amp;IF(AND($D$6&gt;=40,$D$6&lt;=100),'Lister og genveje'!H20,"")&amp;IF(AND($D$6&gt;=100,$D$6&lt;=160),'Lister og genveje'!H21,"")&amp;IF(AND($D$6&gt;=160,$D$6&lt;=250),"",'Lister og genveje'!H23)&amp;IF(AND($D$6&gt;250,$D$6&lt;=400),'Lister og genveje'!H24,'Lister og genveje'!H23)&amp;IF(AND($D$6&gt;=400,$D$6&lt;=630),'Lister og genveje'!H25,"")&amp;" )"</f>
        <v xml:space="preserve"> - 250400 )</v>
      </c>
      <c r="Y9" s="109"/>
    </row>
    <row r="10" spans="1:27">
      <c r="B10" s="18"/>
      <c r="C10" s="66" t="s">
        <v>128</v>
      </c>
      <c r="D10" s="67">
        <v>0</v>
      </c>
      <c r="E10" s="66" t="s">
        <v>62</v>
      </c>
      <c r="F10" s="58"/>
      <c r="M10" s="7"/>
      <c r="N10" s="7"/>
      <c r="O10" s="7"/>
      <c r="P10" s="7"/>
      <c r="R10" s="18"/>
      <c r="S10" s="109" t="str">
        <f>"Ics = "&amp;"Ics mangler"</f>
        <v>Ics = Ics mangler</v>
      </c>
      <c r="T10" s="109"/>
      <c r="V10" s="137" t="str">
        <f>"Isd = "&amp;"( 1,5 - 10 ) x "&amp;W9&amp;" = "</f>
        <v xml:space="preserve">Isd = ( 1,5 - 10 ) x 303,8 = </v>
      </c>
      <c r="W10" s="137"/>
      <c r="X10" s="137"/>
      <c r="Y10" s="109"/>
    </row>
    <row r="11" spans="1:27" ht="21" thickBot="1">
      <c r="B11" s="19"/>
      <c r="C11" s="60"/>
      <c r="D11" s="60"/>
      <c r="E11" s="60"/>
      <c r="F11" s="59"/>
      <c r="L11" s="9" t="s">
        <v>50</v>
      </c>
      <c r="M11" s="56" t="s">
        <v>18</v>
      </c>
      <c r="N11" s="7">
        <f>N9</f>
        <v>303.8</v>
      </c>
      <c r="O11" s="7" t="s">
        <v>48</v>
      </c>
      <c r="P11" s="7">
        <f>C17</f>
        <v>320</v>
      </c>
      <c r="Q11" s="10">
        <f>IF((LEFT(P11,3)-LEFT(N11,3))&gt;=0,1,-1)</f>
        <v>1</v>
      </c>
      <c r="R11" s="18"/>
      <c r="S11" s="109"/>
      <c r="T11" s="109"/>
      <c r="V11" s="108" t="str">
        <f>"Isd ="&amp;" ( "&amp;1.5*W9&amp;" - "</f>
        <v xml:space="preserve">Isd = ( 455,7 - </v>
      </c>
      <c r="W11" s="114">
        <f>E27*C27</f>
        <v>607.6</v>
      </c>
      <c r="X11" s="108" t="str">
        <f>" - "&amp;10*C27&amp;" ) A"</f>
        <v xml:space="preserve"> - 3038 ) A</v>
      </c>
      <c r="Y11" s="109"/>
    </row>
    <row r="12" spans="1:27" ht="15.5" thickBot="1">
      <c r="M12" s="7"/>
      <c r="N12" s="7"/>
      <c r="O12" s="7"/>
      <c r="P12" s="7"/>
      <c r="R12" s="18"/>
      <c r="S12" s="109"/>
      <c r="T12" s="109"/>
      <c r="V12" s="137" t="str">
        <f>"Ii = "&amp;R33&amp;" kA"</f>
        <v>Ii = 4800 kA</v>
      </c>
      <c r="W12" s="137"/>
      <c r="X12" s="137"/>
      <c r="Y12" s="109"/>
    </row>
    <row r="13" spans="1:27" ht="15.5" thickBot="1">
      <c r="B13" s="144" t="s">
        <v>141</v>
      </c>
      <c r="C13" s="145"/>
      <c r="D13" s="145"/>
      <c r="E13" s="145"/>
      <c r="F13" s="146"/>
      <c r="H13" s="150"/>
      <c r="I13" s="150"/>
      <c r="J13" s="150"/>
      <c r="L13" s="136" t="s">
        <v>34</v>
      </c>
      <c r="M13" s="136" t="s">
        <v>18</v>
      </c>
      <c r="N13" s="138">
        <f>D7</f>
        <v>303.8</v>
      </c>
      <c r="O13" s="143" t="s">
        <v>48</v>
      </c>
      <c r="P13" s="138" t="str">
        <f>$H$27&amp;" / "&amp;H28</f>
        <v>668,36 / 546,84</v>
      </c>
      <c r="Q13" s="10">
        <f>IF((H27-D7)&gt;=0,1,-1)</f>
        <v>1</v>
      </c>
      <c r="R13" s="19"/>
      <c r="S13" s="20"/>
      <c r="T13" s="20"/>
      <c r="U13" s="20"/>
      <c r="V13" s="20"/>
      <c r="W13" s="20"/>
      <c r="X13" s="20"/>
      <c r="Y13" s="21"/>
    </row>
    <row r="14" spans="1:27">
      <c r="B14" s="18" t="s">
        <v>140</v>
      </c>
      <c r="F14" s="58"/>
      <c r="H14" s="144"/>
      <c r="I14" s="145"/>
      <c r="J14" s="146"/>
      <c r="L14" s="136"/>
      <c r="M14" s="136"/>
      <c r="N14" s="138"/>
      <c r="O14" s="143"/>
      <c r="P14" s="138"/>
      <c r="Q14" s="10">
        <f>IF(H28-D7&gt;=0,1,-1)</f>
        <v>1</v>
      </c>
    </row>
    <row r="15" spans="1:27" ht="20.149999999999999" customHeight="1">
      <c r="B15" s="18"/>
      <c r="F15" s="58"/>
      <c r="H15" s="147"/>
      <c r="I15" s="143"/>
      <c r="J15" s="148"/>
      <c r="M15" s="7"/>
      <c r="N15" s="7"/>
      <c r="O15" s="7"/>
      <c r="P15" s="7"/>
    </row>
    <row r="16" spans="1:27" ht="18" customHeight="1" thickBot="1">
      <c r="B16" s="147" t="s">
        <v>58</v>
      </c>
      <c r="C16" s="143"/>
      <c r="D16" s="143"/>
      <c r="E16" s="143"/>
      <c r="F16" s="148"/>
      <c r="H16" s="149"/>
      <c r="I16" s="150"/>
      <c r="J16" s="151"/>
      <c r="L16" s="9" t="s">
        <v>36</v>
      </c>
      <c r="M16" s="56" t="s">
        <v>18</v>
      </c>
      <c r="N16" s="7" t="str">
        <f>IF(LEFT(A2,3)="40",600,"")&amp;IF(LEFT(A2,3)="100",1500,"")&amp;IF(LEFT(A2,3)="160",2400,"")&amp;IF(LEFT(A2,3)="250",3000,"")&amp;IF(LEFT(A2,3)="400",4800,"")&amp;IF(LEFT(A2,3)="630",9000,"")</f>
        <v>4800</v>
      </c>
      <c r="O16" s="7" t="s">
        <v>48</v>
      </c>
      <c r="P16" s="7">
        <f>D8*10^3</f>
        <v>12100</v>
      </c>
      <c r="Q16" s="10">
        <f>IF(P16-N16&gt;=0,1,-1)</f>
        <v>1</v>
      </c>
    </row>
    <row r="17" spans="2:39" ht="20.5">
      <c r="B17" s="68" t="s">
        <v>52</v>
      </c>
      <c r="C17" s="69">
        <v>320</v>
      </c>
      <c r="E17" s="8"/>
      <c r="F17" s="58" t="str">
        <f>IF('Lister og genveje'!F19=40,'Lister og genveje'!H19,"")</f>
        <v/>
      </c>
      <c r="G17" s="7"/>
      <c r="M17" s="7"/>
      <c r="N17" s="7"/>
      <c r="O17" s="7"/>
      <c r="P17" s="7"/>
      <c r="X17" s="7"/>
    </row>
    <row r="18" spans="2:39" ht="20.5">
      <c r="B18" s="70" t="s">
        <v>125</v>
      </c>
      <c r="C18" s="54" t="str">
        <f>" ( "&amp;IF($D$6&lt;=40,'Lister og genveje'!$F$19,"")&amp;IF(AND($D$6&gt;=40,$D$6&lt;=100),'Lister og genveje'!F20,"")&amp;IF(AND($D$6&gt;=100,$D$6&lt;=160),'Lister og genveje'!F21,"")&amp;IF(AND($D$6&gt;=160,$D$6&lt;=250,A3=1),'Lister og genveje'!F22,'Lister og genveje'!F23)&amp;IF(AND($D$6&gt;=250,$D$6&lt;=400),'Lister og genveje'!F24,"")&amp;IF(AND($D$6&gt;=400,$D$6&lt;=630),'Lister og genveje'!F25,"")&amp;" - "</f>
        <v xml:space="preserve"> ( 144 - </v>
      </c>
      <c r="D18" s="71">
        <f>D6</f>
        <v>303.8</v>
      </c>
      <c r="E18" s="72" t="str">
        <f>" - "&amp;IF($D$6&lt;=40,'Lister og genveje'!$F$19,"")&amp;IF(AND($D$6&gt;=40,$D$6&lt;=100),'Lister og genveje'!H20,"")&amp;IF(AND($D$6&gt;=100,$D$6&lt;=160),'Lister og genveje'!H21,"")&amp;IF(AND($D$6&gt;160,$D$6&lt;250),'Lister og genveje'!H22,'Lister og genveje'!H23)&amp;IF(AND($D$6&gt;=250,$D$6&lt;=400),'Lister og genveje'!H24,"")&amp;IF(AND($D$6&gt;=400,$D$6&lt;=630),'Lister og genveje'!H25,"")&amp;" )"</f>
        <v xml:space="preserve"> - 250400 )</v>
      </c>
      <c r="F18" s="17"/>
      <c r="L18" s="9" t="s">
        <v>33</v>
      </c>
      <c r="M18" s="56" t="s">
        <v>18</v>
      </c>
      <c r="N18" s="7">
        <f>LEFT(P7,3)*10^3</f>
        <v>36000</v>
      </c>
      <c r="O18" s="56" t="s">
        <v>54</v>
      </c>
      <c r="P18" s="7">
        <f>D8*10^3</f>
        <v>12100</v>
      </c>
      <c r="Q18" s="10">
        <f>IF((P7*10^3)-D8&gt;=0,1)</f>
        <v>1</v>
      </c>
      <c r="X18" s="7"/>
      <c r="Y18" s="7"/>
      <c r="Z18" s="7"/>
      <c r="AA18" s="7"/>
    </row>
    <row r="19" spans="2:39" ht="15.5" thickBot="1">
      <c r="B19" s="19"/>
      <c r="C19" s="60"/>
      <c r="D19" s="60"/>
      <c r="E19" s="60"/>
      <c r="F19" s="59"/>
      <c r="M19" s="7"/>
      <c r="N19" s="7"/>
      <c r="O19" s="7"/>
      <c r="P19" s="7"/>
      <c r="X19" s="7"/>
      <c r="Y19" s="7"/>
      <c r="Z19" s="7"/>
      <c r="AA19" s="7"/>
    </row>
    <row r="20" spans="2:39" ht="20.5">
      <c r="L20" s="9" t="s">
        <v>32</v>
      </c>
      <c r="M20" s="56" t="s">
        <v>18</v>
      </c>
      <c r="N20" s="7">
        <f>D9</f>
        <v>0</v>
      </c>
      <c r="O20" s="7" t="s">
        <v>56</v>
      </c>
      <c r="P20" s="7" t="str">
        <f>N16</f>
        <v>4800</v>
      </c>
      <c r="Q20" s="10">
        <f>IF((P20-D9)&gt;0,1,-1)</f>
        <v>1</v>
      </c>
      <c r="X20" s="7"/>
      <c r="Y20" s="7"/>
      <c r="Z20" s="7"/>
      <c r="AA20" s="7"/>
    </row>
    <row r="21" spans="2:39" ht="15.5" thickBot="1">
      <c r="M21" s="7"/>
      <c r="N21" s="7"/>
      <c r="O21" s="7"/>
      <c r="P21" s="7"/>
      <c r="Q21" s="10"/>
      <c r="X21" s="7"/>
      <c r="Y21" s="7"/>
      <c r="Z21" s="7"/>
      <c r="AA21" s="7"/>
    </row>
    <row r="22" spans="2:39">
      <c r="B22" s="144" t="s">
        <v>142</v>
      </c>
      <c r="C22" s="145"/>
      <c r="D22" s="145"/>
      <c r="E22" s="145"/>
      <c r="F22" s="145"/>
      <c r="G22" s="145"/>
      <c r="H22" s="145"/>
      <c r="I22" s="146"/>
      <c r="L22" s="136" t="s">
        <v>35</v>
      </c>
      <c r="M22" s="136" t="s">
        <v>18</v>
      </c>
      <c r="N22" s="143">
        <f>N20</f>
        <v>0</v>
      </c>
      <c r="O22" s="143" t="s">
        <v>48</v>
      </c>
      <c r="P22" s="138" t="str">
        <f>$H$27&amp;" / "&amp;H28</f>
        <v>668,36 / 546,84</v>
      </c>
      <c r="Q22" s="10">
        <f>IF((H27-D9)&gt;=0,1,-1)</f>
        <v>1</v>
      </c>
      <c r="X22" s="7"/>
      <c r="Y22" s="7"/>
      <c r="Z22" s="7"/>
      <c r="AA22" s="7"/>
    </row>
    <row r="23" spans="2:39">
      <c r="B23" s="18" t="s">
        <v>143</v>
      </c>
      <c r="I23" s="17"/>
      <c r="L23" s="136"/>
      <c r="M23" s="136"/>
      <c r="N23" s="143"/>
      <c r="O23" s="143"/>
      <c r="P23" s="138"/>
      <c r="Q23" s="10">
        <f>IF((H28-N22)&gt;=0,1,-1)</f>
        <v>1</v>
      </c>
      <c r="X23" s="7"/>
      <c r="Y23" s="7"/>
      <c r="Z23" s="7"/>
      <c r="AA23" s="7"/>
    </row>
    <row r="24" spans="2:39">
      <c r="B24" s="18"/>
      <c r="I24" s="17"/>
      <c r="X24" s="7"/>
      <c r="Y24" s="7"/>
      <c r="Z24" s="7"/>
      <c r="AA24" s="7"/>
    </row>
    <row r="25" spans="2:39" ht="43">
      <c r="B25" s="160" t="s">
        <v>126</v>
      </c>
      <c r="C25" s="138"/>
      <c r="D25" s="138"/>
      <c r="E25" s="138"/>
      <c r="F25" s="138"/>
      <c r="G25" s="138"/>
      <c r="H25" s="138"/>
      <c r="I25" s="17"/>
      <c r="K25" s="55" t="s">
        <v>129</v>
      </c>
      <c r="L25" s="55"/>
      <c r="M25" s="55" t="str">
        <f>C7</f>
        <v>I start</v>
      </c>
      <c r="N25" s="55"/>
      <c r="O25" s="55" t="s">
        <v>130</v>
      </c>
      <c r="P25" s="55"/>
      <c r="Q25" s="55" t="str">
        <f>C10</f>
        <v>Ik min</v>
      </c>
      <c r="S25" s="55" t="str">
        <f>C8</f>
        <v>Ik max</v>
      </c>
      <c r="U25" s="55" t="s">
        <v>132</v>
      </c>
      <c r="X25" s="7"/>
      <c r="Y25" s="7"/>
      <c r="Z25" s="7"/>
      <c r="AA25" s="7"/>
    </row>
    <row r="26" spans="2:39" ht="15.5">
      <c r="B26" s="160"/>
      <c r="C26" s="138"/>
      <c r="D26" s="138"/>
      <c r="E26" s="138"/>
      <c r="F26" s="138"/>
      <c r="G26" s="138"/>
      <c r="H26" s="138"/>
      <c r="I26" s="17"/>
      <c r="K26" s="8">
        <f>N9</f>
        <v>303.8</v>
      </c>
      <c r="L26" s="64" t="s">
        <v>48</v>
      </c>
      <c r="M26" s="7">
        <f>D7</f>
        <v>303.8</v>
      </c>
      <c r="N26" s="64" t="s">
        <v>48</v>
      </c>
      <c r="O26" s="7">
        <f>H28</f>
        <v>546.84</v>
      </c>
      <c r="P26" s="64" t="s">
        <v>48</v>
      </c>
      <c r="Q26" s="7">
        <f>D10*10^3</f>
        <v>0</v>
      </c>
      <c r="R26" s="64" t="s">
        <v>48</v>
      </c>
      <c r="S26" s="7">
        <f>D8*10^3</f>
        <v>12100</v>
      </c>
      <c r="T26" s="64" t="s">
        <v>48</v>
      </c>
      <c r="U26" s="7">
        <f>P7*10^3</f>
        <v>36000</v>
      </c>
      <c r="V26" s="8" t="s">
        <v>133</v>
      </c>
      <c r="X26" s="7"/>
      <c r="Y26" s="7"/>
      <c r="Z26" s="7"/>
      <c r="AA26" s="7"/>
    </row>
    <row r="27" spans="2:39">
      <c r="B27" s="142" t="s">
        <v>53</v>
      </c>
      <c r="C27" s="143">
        <f>D6</f>
        <v>303.8</v>
      </c>
      <c r="D27" s="143" t="s">
        <v>51</v>
      </c>
      <c r="E27" s="159">
        <v>2</v>
      </c>
      <c r="F27" s="143" t="s">
        <v>18</v>
      </c>
      <c r="G27" s="73" t="str">
        <f>" + "&amp;"10%"</f>
        <v xml:space="preserve"> + 10%</v>
      </c>
      <c r="H27" s="12">
        <f>ROUNDUP($C$27*$E$27*1.1,2)</f>
        <v>668.36</v>
      </c>
      <c r="I27" s="17"/>
      <c r="L27" s="8" t="str">
        <f>IF(K26&lt;=M26,"","falsk")</f>
        <v/>
      </c>
      <c r="N27" s="8" t="str">
        <f>IF(M26&lt;=O26,"","falsk")</f>
        <v/>
      </c>
      <c r="P27" s="8" t="str">
        <f>IF(O26&lt;=Q26,"","falsk")</f>
        <v>falsk</v>
      </c>
      <c r="R27" s="8" t="str">
        <f>IF(Q26&lt;=S26,"","falsk")</f>
        <v/>
      </c>
      <c r="T27" s="8" t="str">
        <f>IF(S26&lt;=U26,"","falsk")</f>
        <v/>
      </c>
      <c r="X27" s="7"/>
      <c r="Y27" s="7"/>
      <c r="Z27" s="7"/>
      <c r="AA27" s="7"/>
    </row>
    <row r="28" spans="2:39" ht="15.5" thickBot="1">
      <c r="B28" s="142"/>
      <c r="C28" s="143"/>
      <c r="D28" s="143"/>
      <c r="E28" s="159"/>
      <c r="F28" s="143"/>
      <c r="G28" s="8" t="str">
        <f>" - 10%"</f>
        <v xml:space="preserve"> - 10%</v>
      </c>
      <c r="H28" s="12">
        <f>ROUNDUP($C$27*$E$27*0.9,2)</f>
        <v>546.84</v>
      </c>
      <c r="I28" s="17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X28" s="7"/>
      <c r="Y28" s="7"/>
      <c r="Z28" s="7"/>
      <c r="AA28" s="7"/>
    </row>
    <row r="29" spans="2:39">
      <c r="B29" s="18"/>
      <c r="C29" s="8"/>
      <c r="D29" s="8"/>
      <c r="E29" s="8"/>
      <c r="F29" s="8"/>
      <c r="I29" s="17"/>
      <c r="X29" s="7"/>
      <c r="Y29" s="7"/>
      <c r="Z29" s="7"/>
      <c r="AA29" s="7"/>
    </row>
    <row r="30" spans="2:39" ht="15.5" thickBot="1">
      <c r="B30" s="142" t="s">
        <v>53</v>
      </c>
      <c r="C30" s="143" t="str">
        <f>"( 1,5 - "&amp;ROUNDUP(IF(OR(E27=1.5,E27=10),"",E27),0)&amp;IF(OR(E27=1.5,E27=10),""," - ")&amp;"10 )"</f>
        <v>( 1,5 - 2 - 10 )</v>
      </c>
      <c r="D30" s="143"/>
      <c r="E30" s="143"/>
      <c r="F30" s="143"/>
      <c r="G30" s="143"/>
      <c r="H30" s="143"/>
      <c r="I30" s="17"/>
      <c r="X30" s="7"/>
      <c r="Y30" s="7"/>
      <c r="Z30" s="7"/>
      <c r="AA30" s="7"/>
    </row>
    <row r="31" spans="2:39" ht="17.5">
      <c r="B31" s="142"/>
      <c r="C31" s="143"/>
      <c r="D31" s="143"/>
      <c r="E31" s="143"/>
      <c r="F31" s="143"/>
      <c r="G31" s="143"/>
      <c r="H31" s="143"/>
      <c r="I31" s="17"/>
      <c r="W31" s="153" t="s">
        <v>28</v>
      </c>
      <c r="X31" s="154"/>
      <c r="Y31" s="155"/>
      <c r="Z31" s="7"/>
      <c r="AA31" s="7"/>
      <c r="AJ31" s="9"/>
      <c r="AL31" s="9"/>
      <c r="AM31" s="9"/>
    </row>
    <row r="32" spans="2:39" ht="19.5" thickBot="1">
      <c r="B32" s="18"/>
      <c r="C32" s="8"/>
      <c r="D32" s="8"/>
      <c r="E32" s="8"/>
      <c r="F32" s="8"/>
      <c r="I32" s="17"/>
      <c r="R32" s="55" t="s">
        <v>131</v>
      </c>
      <c r="S32" s="7"/>
      <c r="T32" s="7"/>
      <c r="U32" s="7"/>
      <c r="W32" s="156"/>
      <c r="X32" s="157"/>
      <c r="Y32" s="158"/>
      <c r="Z32" s="7"/>
      <c r="AA32" s="7"/>
    </row>
    <row r="33" spans="2:27">
      <c r="B33" s="142" t="s">
        <v>53</v>
      </c>
      <c r="C33" s="136" t="str">
        <f>"( "&amp;C17*1.5</f>
        <v>( 480</v>
      </c>
      <c r="D33" s="143" t="s">
        <v>136</v>
      </c>
      <c r="E33" s="152">
        <f>C27*E27</f>
        <v>607.6</v>
      </c>
      <c r="F33" s="143" t="s">
        <v>136</v>
      </c>
      <c r="G33" s="136" t="str">
        <f>10*C17&amp;" ) "</f>
        <v xml:space="preserve">3200 ) </v>
      </c>
      <c r="I33" s="17"/>
      <c r="O33" s="143"/>
      <c r="P33" s="143"/>
      <c r="Q33" s="143"/>
      <c r="R33" s="8" t="str">
        <f>N16</f>
        <v>4800</v>
      </c>
      <c r="X33" s="7"/>
      <c r="Y33" s="7"/>
      <c r="Z33" s="7"/>
      <c r="AA33" s="7"/>
    </row>
    <row r="34" spans="2:27">
      <c r="B34" s="142"/>
      <c r="C34" s="136"/>
      <c r="D34" s="143"/>
      <c r="E34" s="152"/>
      <c r="F34" s="143"/>
      <c r="G34" s="136"/>
      <c r="I34" s="17"/>
    </row>
    <row r="35" spans="2:27" ht="15.5" thickBot="1">
      <c r="B35" s="19"/>
      <c r="C35" s="60"/>
      <c r="D35" s="60"/>
      <c r="E35" s="60"/>
      <c r="F35" s="60"/>
      <c r="G35" s="20"/>
      <c r="H35" s="20"/>
      <c r="I35" s="21"/>
    </row>
    <row r="43" spans="2:27">
      <c r="U43" s="11"/>
    </row>
    <row r="57" spans="15:27" ht="15.5">
      <c r="AA57" s="2"/>
    </row>
    <row r="58" spans="15:27" ht="15.5">
      <c r="AA58" s="2"/>
    </row>
    <row r="59" spans="15:27" ht="15.5">
      <c r="U59" s="2"/>
      <c r="V59" s="2"/>
      <c r="W59" s="2"/>
      <c r="X59" s="2"/>
      <c r="Y59" s="2"/>
      <c r="Z59" s="2"/>
      <c r="AA59" s="2"/>
    </row>
    <row r="60" spans="15:27" ht="15.5">
      <c r="U60" s="2"/>
      <c r="V60" s="2"/>
      <c r="W60" s="2"/>
      <c r="X60" s="2"/>
      <c r="Y60" s="2"/>
      <c r="Z60" s="2"/>
      <c r="AA60" s="2"/>
    </row>
    <row r="62" spans="15:27" s="7" customFormat="1">
      <c r="O62" s="8"/>
      <c r="P62" s="8"/>
      <c r="Q62" s="8"/>
      <c r="R62" s="8"/>
      <c r="S62" s="8"/>
      <c r="T62" s="8"/>
    </row>
    <row r="63" spans="15:27" s="7" customFormat="1">
      <c r="O63" s="8"/>
      <c r="P63" s="8"/>
      <c r="Q63" s="8"/>
      <c r="R63" s="8"/>
      <c r="S63" s="8"/>
      <c r="T63" s="8"/>
    </row>
    <row r="64" spans="15:27" s="7" customFormat="1">
      <c r="O64" s="8"/>
      <c r="P64" s="8"/>
      <c r="Q64" s="8"/>
      <c r="R64" s="8"/>
      <c r="S64" s="8"/>
      <c r="T64" s="8"/>
    </row>
  </sheetData>
  <sheetProtection selectLockedCells="1"/>
  <mergeCells count="36">
    <mergeCell ref="F27:F28"/>
    <mergeCell ref="E27:E28"/>
    <mergeCell ref="B25:H26"/>
    <mergeCell ref="P22:P23"/>
    <mergeCell ref="O22:O23"/>
    <mergeCell ref="N22:N23"/>
    <mergeCell ref="B2:F2"/>
    <mergeCell ref="B13:F13"/>
    <mergeCell ref="B16:F16"/>
    <mergeCell ref="B22:I22"/>
    <mergeCell ref="H13:J13"/>
    <mergeCell ref="R3:Y3"/>
    <mergeCell ref="B33:B34"/>
    <mergeCell ref="O33:Q33"/>
    <mergeCell ref="C30:H31"/>
    <mergeCell ref="O13:O14"/>
    <mergeCell ref="H14:J16"/>
    <mergeCell ref="D33:D34"/>
    <mergeCell ref="C33:C34"/>
    <mergeCell ref="F33:F34"/>
    <mergeCell ref="G33:G34"/>
    <mergeCell ref="B30:B31"/>
    <mergeCell ref="C27:C28"/>
    <mergeCell ref="B27:B28"/>
    <mergeCell ref="E33:E34"/>
    <mergeCell ref="W31:Y32"/>
    <mergeCell ref="D27:D28"/>
    <mergeCell ref="L13:L14"/>
    <mergeCell ref="V10:X10"/>
    <mergeCell ref="V8:X8"/>
    <mergeCell ref="V12:X12"/>
    <mergeCell ref="L22:L23"/>
    <mergeCell ref="P13:P14"/>
    <mergeCell ref="M13:M14"/>
    <mergeCell ref="M22:M23"/>
    <mergeCell ref="N13:N14"/>
  </mergeCells>
  <hyperlinks>
    <hyperlink ref="W31" location="Forside!G8" display="Tilbage til forsiden" xr:uid="{00000000-0004-0000-0100-000000000000}"/>
    <hyperlink ref="Y31" location="Forside!G8" display="Forside!G8" xr:uid="{00000000-0004-0000-0100-000001000000}"/>
    <hyperlink ref="W32" location="Forside!G8" display="Forside!G8" xr:uid="{00000000-0004-0000-0100-000002000000}"/>
    <hyperlink ref="Y32" location="Forside!G8" display="Forside!G8" xr:uid="{00000000-0004-0000-0100-000003000000}"/>
  </hyperlinks>
  <pageMargins left="0.7" right="0.7" top="0.75" bottom="0.75" header="0.3" footer="0.3"/>
  <pageSetup paperSize="9" orientation="portrait" r:id="rId1"/>
  <ignoredErrors>
    <ignoredError sqref="A2 S7:X7 S12:X12 T8:U8 T9:U9 T10:U10 W8:X8 W9:X9 W10:X10 S11:U11 W11:X11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6" r:id="rId4" name="Option Button 10">
              <controlPr locked="0" defaultSize="0" autoFill="0" autoLine="0" autoPict="0">
                <anchor moveWithCells="1">
                  <from>
                    <xdr:col>7</xdr:col>
                    <xdr:colOff>107950</xdr:colOff>
                    <xdr:row>14</xdr:row>
                    <xdr:rowOff>114300</xdr:rowOff>
                  </from>
                  <to>
                    <xdr:col>9</xdr:col>
                    <xdr:colOff>628650</xdr:colOff>
                    <xdr:row>15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5" name="Option Button 14">
              <controlPr locked="0" defaultSize="0" autoFill="0" autoLine="0" autoPict="0">
                <anchor moveWithCells="1">
                  <from>
                    <xdr:col>7</xdr:col>
                    <xdr:colOff>107950</xdr:colOff>
                    <xdr:row>13</xdr:row>
                    <xdr:rowOff>38100</xdr:rowOff>
                  </from>
                  <to>
                    <xdr:col>9</xdr:col>
                    <xdr:colOff>641350</xdr:colOff>
                    <xdr:row>14</xdr:row>
                    <xdr:rowOff>190500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1" id="{C0F1537D-FA99-8145-AF38-0574808EC97B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3Symbols" iconId="0"/>
              <x14:cfIcon iconSet="3Symbols2" iconId="2"/>
            </x14:iconSet>
          </x14:cfRule>
          <xm:sqref>Q9</xm:sqref>
        </x14:conditionalFormatting>
        <x14:conditionalFormatting xmlns:xm="http://schemas.microsoft.com/office/excel/2006/main">
          <x14:cfRule type="iconSet" priority="20" id="{1923859E-47CA-2748-8C53-8A85933BA013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3Symbols" iconId="0"/>
              <x14:cfIcon iconSet="3Symbols2" iconId="2"/>
            </x14:iconSet>
          </x14:cfRule>
          <xm:sqref>Q11</xm:sqref>
        </x14:conditionalFormatting>
        <x14:conditionalFormatting xmlns:xm="http://schemas.microsoft.com/office/excel/2006/main">
          <x14:cfRule type="iconSet" priority="19" id="{EC18C6F5-2984-E242-B424-480146A43A1A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3Symbols" iconId="0"/>
              <x14:cfIcon iconSet="3Symbols2" iconId="2"/>
            </x14:iconSet>
          </x14:cfRule>
          <xm:sqref>Q13</xm:sqref>
        </x14:conditionalFormatting>
        <x14:conditionalFormatting xmlns:xm="http://schemas.microsoft.com/office/excel/2006/main">
          <x14:cfRule type="iconSet" priority="12" id="{4DD7430E-CE98-4645-9FA9-878535E11BC1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3Symbols" iconId="0"/>
              <x14:cfIcon iconSet="3Symbols2" iconId="2"/>
            </x14:iconSet>
          </x14:cfRule>
          <xm:sqref>Q14</xm:sqref>
        </x14:conditionalFormatting>
        <x14:conditionalFormatting xmlns:xm="http://schemas.microsoft.com/office/excel/2006/main">
          <x14:cfRule type="iconSet" priority="18" id="{EEC5A6D3-1FE1-E747-AE90-34037437ABC6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3Symbols" iconId="0"/>
              <x14:cfIcon iconSet="3Symbols2" iconId="2"/>
            </x14:iconSet>
          </x14:cfRule>
          <xm:sqref>Q16</xm:sqref>
        </x14:conditionalFormatting>
        <x14:conditionalFormatting xmlns:xm="http://schemas.microsoft.com/office/excel/2006/main">
          <x14:cfRule type="iconSet" priority="17" id="{639D66B5-02CC-ED4F-90DA-A8948C896B89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3Symbols" iconId="0"/>
              <x14:cfIcon iconSet="3Symbols2" iconId="2"/>
            </x14:iconSet>
          </x14:cfRule>
          <xm:sqref>Q18</xm:sqref>
        </x14:conditionalFormatting>
        <x14:conditionalFormatting xmlns:xm="http://schemas.microsoft.com/office/excel/2006/main">
          <x14:cfRule type="iconSet" priority="14" id="{285B3897-AB4F-8741-953F-90187D918A09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3Symbols" iconId="0"/>
              <x14:cfIcon iconSet="3Symbols2" iconId="2"/>
            </x14:iconSet>
          </x14:cfRule>
          <xm:sqref>Q20</xm:sqref>
        </x14:conditionalFormatting>
        <x14:conditionalFormatting xmlns:xm="http://schemas.microsoft.com/office/excel/2006/main">
          <x14:cfRule type="iconSet" priority="9" id="{6518C0B8-F9F8-EE49-A6D4-FCB66FCC740C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3Symbols" iconId="0"/>
              <x14:cfIcon iconSet="3Symbols2" iconId="2"/>
            </x14:iconSet>
          </x14:cfRule>
          <xm:sqref>Q22</xm:sqref>
        </x14:conditionalFormatting>
        <x14:conditionalFormatting xmlns:xm="http://schemas.microsoft.com/office/excel/2006/main">
          <x14:cfRule type="iconSet" priority="7" id="{7059DB7F-BC6F-E242-8ED7-1E5B382EEA44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3Symbols" iconId="0"/>
              <x14:cfIcon iconSet="3Symbols2" iconId="2"/>
            </x14:iconSet>
          </x14:cfRule>
          <xm:sqref>Q23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INDIRECT('Lister og genveje'!$C$18)</xm:f>
          </x14:formula1>
          <xm:sqref>C17</xm:sqref>
        </x14:dataValidation>
        <x14:dataValidation type="list" allowBlank="1" showInputMessage="1" showErrorMessage="1" xr:uid="{00000000-0002-0000-0100-000001000000}">
          <x14:formula1>
            <xm:f>'Lister og genveje'!$A$9:$A$17</xm:f>
          </x14:formula1>
          <xm:sqref>E27:E28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96"/>
  <sheetViews>
    <sheetView tabSelected="1" topLeftCell="A3" zoomScale="70" zoomScaleNormal="70" zoomScalePageLayoutView="85" workbookViewId="0">
      <selection activeCell="R6" sqref="R6:S27"/>
    </sheetView>
  </sheetViews>
  <sheetFormatPr defaultColWidth="8.83203125" defaultRowHeight="15.5"/>
  <cols>
    <col min="1" max="1" width="18.25" style="81" bestFit="1" customWidth="1"/>
    <col min="2" max="2" width="13.5" style="81" customWidth="1"/>
    <col min="3" max="3" width="13.5" style="82" customWidth="1"/>
    <col min="4" max="4" width="10.83203125" style="82" customWidth="1"/>
    <col min="5" max="5" width="8.75" style="81" customWidth="1"/>
    <col min="6" max="6" width="7.25" style="82" customWidth="1"/>
    <col min="7" max="7" width="4" style="81" customWidth="1"/>
    <col min="8" max="8" width="8.75" style="81" customWidth="1"/>
    <col min="9" max="9" width="6.25" style="81" customWidth="1"/>
    <col min="10" max="10" width="5.75" style="81" customWidth="1"/>
    <col min="11" max="11" width="27.75" style="96" customWidth="1"/>
    <col min="12" max="12" width="13.33203125" style="97" customWidth="1"/>
    <col min="13" max="13" width="6.75" style="97" customWidth="1"/>
    <col min="14" max="14" width="8.75" style="97" customWidth="1"/>
    <col min="15" max="15" width="6.75" style="97" customWidth="1"/>
    <col min="16" max="16" width="8.75" style="97" customWidth="1"/>
    <col min="17" max="17" width="6.75" style="97" customWidth="1"/>
    <col min="18" max="18" width="6.25" style="97" customWidth="1"/>
    <col min="19" max="19" width="5.75" style="81" customWidth="1"/>
    <col min="20" max="20" width="4.75" style="81" customWidth="1"/>
    <col min="21" max="21" width="6.25" style="81" customWidth="1"/>
    <col min="22" max="22" width="5.75" style="81" customWidth="1"/>
    <col min="23" max="23" width="4.75" style="81" customWidth="1"/>
    <col min="24" max="24" width="12.5" style="81" customWidth="1"/>
    <col min="25" max="27" width="12.75" style="81" customWidth="1"/>
    <col min="28" max="28" width="12.75" style="91" customWidth="1"/>
    <col min="29" max="35" width="12.75" style="81" customWidth="1"/>
    <col min="36" max="16384" width="8.83203125" style="95"/>
  </cols>
  <sheetData>
    <row r="1" spans="1:51" s="81" customFormat="1" ht="16.5" customHeight="1">
      <c r="C1" s="82"/>
      <c r="D1" s="82"/>
      <c r="F1" s="82"/>
      <c r="K1" s="96"/>
      <c r="L1" s="97"/>
      <c r="M1" s="97"/>
      <c r="N1" s="97"/>
      <c r="O1" s="97"/>
      <c r="P1" s="97"/>
      <c r="Q1" s="97"/>
      <c r="R1" s="97"/>
      <c r="AB1" s="91"/>
    </row>
    <row r="2" spans="1:51" s="81" customFormat="1" ht="16.5" customHeight="1">
      <c r="A2" s="81" t="s">
        <v>178</v>
      </c>
      <c r="B2" s="106">
        <v>400</v>
      </c>
      <c r="C2" s="123" t="s">
        <v>179</v>
      </c>
      <c r="D2" s="82"/>
      <c r="F2" s="82"/>
      <c r="K2" s="121" t="s">
        <v>180</v>
      </c>
      <c r="L2" s="105">
        <v>0</v>
      </c>
      <c r="M2" s="97"/>
      <c r="N2" s="97"/>
      <c r="O2" s="97"/>
      <c r="P2" s="97"/>
      <c r="Q2" s="97"/>
      <c r="R2" s="97"/>
      <c r="AB2" s="91"/>
    </row>
    <row r="3" spans="1:51" s="81" customFormat="1" ht="15" customHeight="1">
      <c r="C3" s="82"/>
      <c r="D3" s="82"/>
      <c r="F3" s="82"/>
      <c r="K3" s="121" t="s">
        <v>181</v>
      </c>
      <c r="L3" s="105">
        <v>0</v>
      </c>
      <c r="M3" s="97"/>
      <c r="N3" s="97"/>
      <c r="O3" s="97"/>
      <c r="P3" s="97"/>
      <c r="Q3" s="97"/>
      <c r="R3" s="97"/>
      <c r="AB3" s="91"/>
    </row>
    <row r="4" spans="1:51" s="81" customFormat="1" ht="14.25" customHeight="1">
      <c r="C4" s="82"/>
      <c r="D4" s="82"/>
      <c r="F4" s="82"/>
      <c r="K4" s="96"/>
      <c r="L4" s="97"/>
      <c r="M4" s="97"/>
      <c r="N4" s="97"/>
      <c r="O4" s="97"/>
      <c r="P4" s="97"/>
      <c r="Q4" s="97"/>
      <c r="R4" s="97"/>
      <c r="AB4" s="91"/>
    </row>
    <row r="5" spans="1:51" s="81" customFormat="1" ht="18.75" customHeight="1">
      <c r="A5" s="168" t="s">
        <v>251</v>
      </c>
      <c r="B5" s="98"/>
      <c r="C5" s="171" t="s">
        <v>182</v>
      </c>
      <c r="D5" s="99" t="s">
        <v>183</v>
      </c>
      <c r="E5" s="171" t="s">
        <v>184</v>
      </c>
      <c r="F5" s="174" t="s">
        <v>185</v>
      </c>
      <c r="G5" s="175"/>
      <c r="H5" s="99" t="s">
        <v>186</v>
      </c>
      <c r="I5" s="122" t="s">
        <v>234</v>
      </c>
      <c r="K5" s="117" t="s">
        <v>187</v>
      </c>
      <c r="L5" s="118" t="s">
        <v>239</v>
      </c>
      <c r="M5" s="118" t="s">
        <v>240</v>
      </c>
      <c r="N5" s="118" t="s">
        <v>241</v>
      </c>
      <c r="O5" s="118" t="s">
        <v>240</v>
      </c>
      <c r="P5" s="118" t="s">
        <v>242</v>
      </c>
      <c r="Q5" s="118" t="s">
        <v>240</v>
      </c>
      <c r="R5" s="118" t="s">
        <v>243</v>
      </c>
      <c r="S5" s="116" t="s">
        <v>240</v>
      </c>
      <c r="AB5" s="92"/>
      <c r="AC5" s="82"/>
      <c r="AD5" s="82"/>
      <c r="AF5" s="89"/>
      <c r="AI5" s="82"/>
      <c r="AJ5" s="82"/>
      <c r="AK5" s="82"/>
      <c r="AL5" s="82"/>
      <c r="AM5" s="82"/>
      <c r="AN5" s="82"/>
      <c r="AO5" s="82"/>
      <c r="AQ5" s="83"/>
      <c r="AR5" s="82"/>
      <c r="AS5" s="82"/>
      <c r="AT5" s="82"/>
      <c r="AU5" s="82"/>
      <c r="AV5" s="82"/>
      <c r="AW5" s="82"/>
      <c r="AX5" s="82"/>
      <c r="AY5" s="82"/>
    </row>
    <row r="6" spans="1:51" s="81" customFormat="1" ht="20.149999999999999" customHeight="1">
      <c r="A6" s="169" t="s">
        <v>252</v>
      </c>
      <c r="B6" s="107"/>
      <c r="C6" s="172">
        <v>6.6</v>
      </c>
      <c r="D6" s="100">
        <f>CHOOSE(L36,C6*1000/Q36,C6*1000/Q36/E6,C6)*I6</f>
        <v>6.6</v>
      </c>
      <c r="E6" s="173">
        <v>0.95</v>
      </c>
      <c r="F6" s="174"/>
      <c r="G6" s="175"/>
      <c r="H6" s="98">
        <f>-DEGREES(ACOS(E6))</f>
        <v>-18.194872338766785</v>
      </c>
      <c r="I6" s="81">
        <v>1</v>
      </c>
      <c r="K6" s="119" t="str">
        <f>A6</f>
        <v>W09.1 - Søjleboremaskine</v>
      </c>
      <c r="L6" s="187">
        <f>ROUNDUP(IMABS(COMPLEX(M57,N57)),2)</f>
        <v>6.6</v>
      </c>
      <c r="M6" s="187">
        <f>ROUNDUP(IFERROR(DEGREES(IMARGUMENT(COMPLEX(M57,N57))),0),2)</f>
        <v>-18.200000000000003</v>
      </c>
      <c r="N6" s="176">
        <f>ROUNDUP(IMABS(COMPLEX(O57,P57)),2)</f>
        <v>0</v>
      </c>
      <c r="O6" s="176">
        <f>ROUNDUP(IFERROR(DEGREES(IMARGUMENT(COMPLEX(O57,P57))),0),2)</f>
        <v>0</v>
      </c>
      <c r="P6" s="197">
        <f>ROUNDUP(IMABS(COMPLEX(Q57,R57)),2)</f>
        <v>0</v>
      </c>
      <c r="Q6" s="197">
        <f>ROUNDUP(IFERROR(DEGREES(IMARGUMENT(COMPLEX(Q57,R57))),0),2)</f>
        <v>0</v>
      </c>
      <c r="R6" s="177">
        <f t="shared" ref="R6:R24" si="0">CHOOSE(M36,0,L6,N6,P6,0,0,0,0,0)</f>
        <v>6.6</v>
      </c>
      <c r="S6" s="178"/>
      <c r="AB6" s="91"/>
      <c r="AF6" s="89"/>
      <c r="AK6" s="84"/>
      <c r="AU6" s="84"/>
    </row>
    <row r="7" spans="1:51" s="81" customFormat="1" ht="20.149999999999999" customHeight="1">
      <c r="A7" s="169" t="s">
        <v>253</v>
      </c>
      <c r="B7" s="107"/>
      <c r="C7" s="172">
        <v>8.6</v>
      </c>
      <c r="D7" s="100">
        <f t="shared" ref="D7:D24" si="1">CHOOSE(L37,C7*1000/Q37,C7*1000/Q37/E7,C7)*I7</f>
        <v>8.6</v>
      </c>
      <c r="E7" s="173">
        <v>0.95</v>
      </c>
      <c r="F7" s="174"/>
      <c r="G7" s="175"/>
      <c r="H7" s="98">
        <f t="shared" ref="H7:H24" si="2">-DEGREES(ACOS(E7))</f>
        <v>-18.194872338766785</v>
      </c>
      <c r="I7" s="81">
        <v>1</v>
      </c>
      <c r="K7" s="119" t="str">
        <f t="shared" ref="K7:K24" si="3">A7</f>
        <v>W09.2 - Båndsav</v>
      </c>
      <c r="L7" s="187">
        <f t="shared" ref="L7:L24" si="4">ROUNDUP(IMABS(COMPLEX(M58,N58)),2)</f>
        <v>0</v>
      </c>
      <c r="M7" s="187">
        <f t="shared" ref="M7:M24" si="5">ROUNDUP(IFERROR(DEGREES(IMARGUMENT(COMPLEX(M58,N58))),0),2)</f>
        <v>0</v>
      </c>
      <c r="N7" s="176">
        <f t="shared" ref="N7:N24" si="6">ROUNDUP(IMABS(COMPLEX(O58,P58)),2)</f>
        <v>8.6</v>
      </c>
      <c r="O7" s="176">
        <f t="shared" ref="O7:O24" si="7">ROUNDUP(IFERROR(DEGREES(IMARGUMENT(COMPLEX(O58,P58))),0),2)</f>
        <v>-18.200000000000003</v>
      </c>
      <c r="P7" s="197">
        <f t="shared" ref="P7:P24" si="8">ROUNDUP(IMABS(COMPLEX(Q58,R58)),2)</f>
        <v>0</v>
      </c>
      <c r="Q7" s="197">
        <f t="shared" ref="Q7:Q24" si="9">ROUNDUP(IFERROR(DEGREES(IMARGUMENT(COMPLEX(Q58,R58))),0),2)</f>
        <v>0</v>
      </c>
      <c r="R7" s="177">
        <f t="shared" si="0"/>
        <v>8.6</v>
      </c>
      <c r="S7" s="178"/>
      <c r="AB7" s="91"/>
      <c r="AF7" s="89"/>
    </row>
    <row r="8" spans="1:51" s="81" customFormat="1" ht="20.149999999999999" customHeight="1">
      <c r="A8" s="169" t="s">
        <v>254</v>
      </c>
      <c r="B8" s="107"/>
      <c r="C8" s="172">
        <v>6.6</v>
      </c>
      <c r="D8" s="100">
        <f t="shared" si="1"/>
        <v>6.6</v>
      </c>
      <c r="E8" s="173">
        <v>0.95</v>
      </c>
      <c r="F8" s="174"/>
      <c r="G8" s="175"/>
      <c r="H8" s="98">
        <f t="shared" si="2"/>
        <v>-18.194872338766785</v>
      </c>
      <c r="I8" s="81">
        <v>1</v>
      </c>
      <c r="K8" s="119" t="str">
        <f t="shared" si="3"/>
        <v>W09.3 - Skivepudsemaskine</v>
      </c>
      <c r="L8" s="187">
        <f t="shared" si="4"/>
        <v>0</v>
      </c>
      <c r="M8" s="187">
        <f t="shared" si="5"/>
        <v>0</v>
      </c>
      <c r="N8" s="176">
        <f t="shared" si="6"/>
        <v>0</v>
      </c>
      <c r="O8" s="176">
        <f t="shared" si="7"/>
        <v>0</v>
      </c>
      <c r="P8" s="197">
        <f t="shared" si="8"/>
        <v>6.6</v>
      </c>
      <c r="Q8" s="197">
        <f t="shared" si="9"/>
        <v>-18.200000000000003</v>
      </c>
      <c r="R8" s="177">
        <f t="shared" si="0"/>
        <v>6.6</v>
      </c>
      <c r="S8" s="178"/>
      <c r="AB8" s="91"/>
      <c r="AF8" s="89"/>
    </row>
    <row r="9" spans="1:51" s="81" customFormat="1" ht="20.149999999999999" customHeight="1">
      <c r="A9" s="169" t="s">
        <v>255</v>
      </c>
      <c r="B9" s="107"/>
      <c r="C9" s="172">
        <v>22</v>
      </c>
      <c r="D9" s="100">
        <f t="shared" si="1"/>
        <v>22</v>
      </c>
      <c r="E9" s="173">
        <v>0.9</v>
      </c>
      <c r="F9" s="174"/>
      <c r="G9" s="175"/>
      <c r="H9" s="98">
        <f t="shared" si="2"/>
        <v>-25.841932763167126</v>
      </c>
      <c r="I9" s="81">
        <v>1</v>
      </c>
      <c r="K9" s="119" t="str">
        <f t="shared" si="3"/>
        <v>W09.4 - Drejebænk</v>
      </c>
      <c r="L9" s="187">
        <f t="shared" si="4"/>
        <v>22</v>
      </c>
      <c r="M9" s="187">
        <f t="shared" si="5"/>
        <v>-25.85</v>
      </c>
      <c r="N9" s="176">
        <f t="shared" si="6"/>
        <v>22</v>
      </c>
      <c r="O9" s="176">
        <f t="shared" si="7"/>
        <v>-25.85</v>
      </c>
      <c r="P9" s="197">
        <f t="shared" si="8"/>
        <v>22</v>
      </c>
      <c r="Q9" s="197">
        <f t="shared" si="9"/>
        <v>-25.85</v>
      </c>
      <c r="R9" s="177">
        <f t="shared" si="0"/>
        <v>0</v>
      </c>
      <c r="S9" s="178"/>
      <c r="AB9" s="91"/>
      <c r="AF9" s="89"/>
    </row>
    <row r="10" spans="1:51" s="81" customFormat="1" ht="20.149999999999999" customHeight="1">
      <c r="A10" s="169" t="s">
        <v>257</v>
      </c>
      <c r="B10" s="107"/>
      <c r="C10" s="172">
        <v>8.6</v>
      </c>
      <c r="D10" s="100">
        <f t="shared" si="1"/>
        <v>8.6</v>
      </c>
      <c r="E10" s="173">
        <v>0.9</v>
      </c>
      <c r="F10" s="174"/>
      <c r="G10" s="175">
        <v>-14.38</v>
      </c>
      <c r="H10" s="98">
        <f t="shared" si="2"/>
        <v>-25.841932763167126</v>
      </c>
      <c r="I10" s="81">
        <v>1</v>
      </c>
      <c r="K10" s="119" t="str">
        <f t="shared" si="3"/>
        <v>W09.5 - Afretter</v>
      </c>
      <c r="L10" s="187">
        <f t="shared" si="4"/>
        <v>0</v>
      </c>
      <c r="M10" s="187">
        <f t="shared" si="5"/>
        <v>0</v>
      </c>
      <c r="N10" s="176">
        <f t="shared" si="6"/>
        <v>0</v>
      </c>
      <c r="O10" s="176">
        <f t="shared" si="7"/>
        <v>0</v>
      </c>
      <c r="P10" s="197">
        <f t="shared" si="8"/>
        <v>8.6</v>
      </c>
      <c r="Q10" s="197">
        <f t="shared" si="9"/>
        <v>-25.85</v>
      </c>
      <c r="R10" s="177">
        <f t="shared" si="0"/>
        <v>8.6</v>
      </c>
      <c r="S10" s="178"/>
      <c r="AB10" s="91"/>
    </row>
    <row r="11" spans="1:51" s="81" customFormat="1" ht="20.149999999999999" customHeight="1">
      <c r="A11" s="169" t="s">
        <v>256</v>
      </c>
      <c r="B11" s="107"/>
      <c r="C11" s="172">
        <v>11.5</v>
      </c>
      <c r="D11" s="100">
        <f t="shared" si="1"/>
        <v>11.5</v>
      </c>
      <c r="E11" s="173">
        <v>0.95</v>
      </c>
      <c r="F11" s="174"/>
      <c r="G11" s="175"/>
      <c r="H11" s="98">
        <f t="shared" si="2"/>
        <v>-18.194872338766785</v>
      </c>
      <c r="I11" s="81">
        <v>1</v>
      </c>
      <c r="K11" s="119" t="str">
        <f t="shared" si="3"/>
        <v>W09.6 - Overfræser</v>
      </c>
      <c r="L11" s="187">
        <f t="shared" si="4"/>
        <v>11.5</v>
      </c>
      <c r="M11" s="187">
        <f t="shared" si="5"/>
        <v>-18.200000000000003</v>
      </c>
      <c r="N11" s="176">
        <f t="shared" si="6"/>
        <v>0</v>
      </c>
      <c r="O11" s="176">
        <f t="shared" si="7"/>
        <v>0</v>
      </c>
      <c r="P11" s="197">
        <f t="shared" si="8"/>
        <v>0</v>
      </c>
      <c r="Q11" s="197">
        <f t="shared" si="9"/>
        <v>0</v>
      </c>
      <c r="R11" s="177">
        <f t="shared" si="0"/>
        <v>11.5</v>
      </c>
      <c r="S11" s="178"/>
      <c r="AB11" s="93"/>
      <c r="AF11" s="89"/>
      <c r="AS11" s="85"/>
    </row>
    <row r="12" spans="1:51" s="81" customFormat="1" ht="20.149999999999999" customHeight="1">
      <c r="A12" s="169" t="s">
        <v>258</v>
      </c>
      <c r="B12" s="107"/>
      <c r="C12" s="172">
        <v>9</v>
      </c>
      <c r="D12" s="100">
        <f t="shared" si="1"/>
        <v>9</v>
      </c>
      <c r="E12" s="173">
        <v>0.9</v>
      </c>
      <c r="F12" s="174"/>
      <c r="G12" s="175"/>
      <c r="H12" s="98">
        <f t="shared" si="2"/>
        <v>-25.841932763167126</v>
      </c>
      <c r="I12" s="81">
        <v>1</v>
      </c>
      <c r="K12" s="119" t="str">
        <f t="shared" si="3"/>
        <v>W09.7 - Tykkelseshøvl</v>
      </c>
      <c r="L12" s="187">
        <f t="shared" si="4"/>
        <v>0</v>
      </c>
      <c r="M12" s="187">
        <f t="shared" si="5"/>
        <v>0</v>
      </c>
      <c r="N12" s="176">
        <f t="shared" si="6"/>
        <v>9</v>
      </c>
      <c r="O12" s="176">
        <f t="shared" si="7"/>
        <v>-25.85</v>
      </c>
      <c r="P12" s="197">
        <f t="shared" si="8"/>
        <v>0</v>
      </c>
      <c r="Q12" s="197">
        <f t="shared" si="9"/>
        <v>0</v>
      </c>
      <c r="R12" s="177">
        <f t="shared" si="0"/>
        <v>9</v>
      </c>
      <c r="S12" s="178"/>
      <c r="AB12" s="93"/>
      <c r="AF12" s="89"/>
      <c r="AS12" s="85"/>
    </row>
    <row r="13" spans="1:51" s="81" customFormat="1" ht="20.149999999999999" customHeight="1">
      <c r="A13" s="169" t="s">
        <v>259</v>
      </c>
      <c r="B13" s="107"/>
      <c r="C13" s="172">
        <v>5</v>
      </c>
      <c r="D13" s="100">
        <f t="shared" si="1"/>
        <v>5</v>
      </c>
      <c r="E13" s="173">
        <v>0.95</v>
      </c>
      <c r="F13" s="174"/>
      <c r="G13" s="175"/>
      <c r="H13" s="98">
        <f t="shared" si="2"/>
        <v>-18.194872338766785</v>
      </c>
      <c r="I13" s="81">
        <v>1</v>
      </c>
      <c r="K13" s="119" t="str">
        <f t="shared" si="3"/>
        <v>W09.8 - Langhulsboremaskine</v>
      </c>
      <c r="L13" s="187">
        <f t="shared" si="4"/>
        <v>5</v>
      </c>
      <c r="M13" s="187">
        <f t="shared" si="5"/>
        <v>-18.200000000000003</v>
      </c>
      <c r="N13" s="176">
        <f t="shared" si="6"/>
        <v>0</v>
      </c>
      <c r="O13" s="176">
        <f t="shared" si="7"/>
        <v>0</v>
      </c>
      <c r="P13" s="197">
        <f t="shared" si="8"/>
        <v>0</v>
      </c>
      <c r="Q13" s="197">
        <f t="shared" si="9"/>
        <v>0</v>
      </c>
      <c r="R13" s="177">
        <f t="shared" si="0"/>
        <v>5</v>
      </c>
      <c r="S13" s="178"/>
      <c r="AB13" s="93"/>
      <c r="AF13" s="89"/>
      <c r="AS13" s="85"/>
    </row>
    <row r="14" spans="1:51" s="81" customFormat="1" ht="20.149999999999999" customHeight="1">
      <c r="A14" s="169" t="s">
        <v>260</v>
      </c>
      <c r="B14" s="107"/>
      <c r="C14" s="172">
        <v>18.5</v>
      </c>
      <c r="D14" s="100">
        <f>CHOOSE(L44,C14*1000/Q44,C14*1000/Q44/E14,C14)*I14</f>
        <v>18.5</v>
      </c>
      <c r="E14" s="173">
        <v>0.81</v>
      </c>
      <c r="F14" s="174"/>
      <c r="G14" s="175"/>
      <c r="H14" s="98">
        <f t="shared" si="2"/>
        <v>-35.904068583317162</v>
      </c>
      <c r="I14" s="81">
        <v>1</v>
      </c>
      <c r="K14" s="119" t="str">
        <f t="shared" si="3"/>
        <v>W09.9 - Plasmaskærer</v>
      </c>
      <c r="L14" s="187">
        <f t="shared" si="4"/>
        <v>18.5</v>
      </c>
      <c r="M14" s="187">
        <f t="shared" si="5"/>
        <v>-35.909999999999997</v>
      </c>
      <c r="N14" s="176">
        <f t="shared" si="6"/>
        <v>18.5</v>
      </c>
      <c r="O14" s="176">
        <f t="shared" si="7"/>
        <v>-35.909999999999997</v>
      </c>
      <c r="P14" s="197">
        <f t="shared" si="8"/>
        <v>18.5</v>
      </c>
      <c r="Q14" s="197">
        <f t="shared" si="9"/>
        <v>-35.909999999999997</v>
      </c>
      <c r="R14" s="177">
        <f t="shared" si="0"/>
        <v>0</v>
      </c>
      <c r="S14" s="178"/>
      <c r="AB14" s="93"/>
      <c r="AF14" s="89"/>
      <c r="AS14" s="85"/>
    </row>
    <row r="15" spans="1:51" s="81" customFormat="1" ht="20.149999999999999" customHeight="1">
      <c r="A15" s="170" t="s">
        <v>261</v>
      </c>
      <c r="B15" s="107"/>
      <c r="C15" s="172">
        <v>19</v>
      </c>
      <c r="D15" s="100">
        <f t="shared" si="1"/>
        <v>19</v>
      </c>
      <c r="E15" s="173">
        <v>0.9</v>
      </c>
      <c r="F15" s="174"/>
      <c r="G15" s="175"/>
      <c r="H15" s="98">
        <f t="shared" si="2"/>
        <v>-25.841932763167126</v>
      </c>
      <c r="I15" s="81">
        <v>1</v>
      </c>
      <c r="K15" s="119" t="str">
        <f t="shared" si="3"/>
        <v>W09.10 - Fræser</v>
      </c>
      <c r="L15" s="187">
        <f t="shared" si="4"/>
        <v>19</v>
      </c>
      <c r="M15" s="187">
        <f t="shared" si="5"/>
        <v>-25.85</v>
      </c>
      <c r="N15" s="176">
        <f t="shared" si="6"/>
        <v>19</v>
      </c>
      <c r="O15" s="176">
        <f t="shared" si="7"/>
        <v>-25.85</v>
      </c>
      <c r="P15" s="197">
        <f t="shared" si="8"/>
        <v>19</v>
      </c>
      <c r="Q15" s="197">
        <f t="shared" si="9"/>
        <v>-25.85</v>
      </c>
      <c r="R15" s="177">
        <f t="shared" si="0"/>
        <v>0</v>
      </c>
      <c r="S15" s="178"/>
      <c r="AB15" s="93"/>
      <c r="AF15" s="89"/>
      <c r="AN15" s="86"/>
      <c r="AS15" s="85"/>
      <c r="AX15" s="86"/>
    </row>
    <row r="16" spans="1:51" s="81" customFormat="1" ht="20.149999999999999" customHeight="1">
      <c r="A16" s="170" t="s">
        <v>262</v>
      </c>
      <c r="B16" s="107"/>
      <c r="C16" s="172">
        <v>15.2</v>
      </c>
      <c r="D16" s="100">
        <f t="shared" si="1"/>
        <v>15.2</v>
      </c>
      <c r="E16" s="173">
        <v>0.9</v>
      </c>
      <c r="F16" s="174"/>
      <c r="G16" s="175"/>
      <c r="H16" s="98">
        <f t="shared" si="2"/>
        <v>-25.841932763167126</v>
      </c>
      <c r="I16" s="81">
        <v>1</v>
      </c>
      <c r="K16" s="119" t="str">
        <f t="shared" si="3"/>
        <v>W09.11 - Båndpudser</v>
      </c>
      <c r="L16" s="187">
        <f t="shared" si="4"/>
        <v>15.2</v>
      </c>
      <c r="M16" s="187">
        <f t="shared" si="5"/>
        <v>-25.85</v>
      </c>
      <c r="N16" s="176">
        <f t="shared" si="6"/>
        <v>15.2</v>
      </c>
      <c r="O16" s="176">
        <f t="shared" si="7"/>
        <v>-25.85</v>
      </c>
      <c r="P16" s="197">
        <f t="shared" si="8"/>
        <v>15.2</v>
      </c>
      <c r="Q16" s="197">
        <f t="shared" si="9"/>
        <v>-25.85</v>
      </c>
      <c r="R16" s="177">
        <f t="shared" si="0"/>
        <v>0</v>
      </c>
      <c r="S16" s="178"/>
      <c r="AB16" s="87"/>
      <c r="AS16" s="87"/>
    </row>
    <row r="17" spans="1:50" s="81" customFormat="1" ht="20.149999999999999" customHeight="1">
      <c r="A17" s="170" t="s">
        <v>263</v>
      </c>
      <c r="B17" s="107"/>
      <c r="C17" s="172">
        <v>24</v>
      </c>
      <c r="D17" s="100">
        <f t="shared" si="1"/>
        <v>24</v>
      </c>
      <c r="E17" s="173">
        <v>0.95</v>
      </c>
      <c r="F17" s="174"/>
      <c r="G17" s="175"/>
      <c r="H17" s="98">
        <f t="shared" si="2"/>
        <v>-18.194872338766785</v>
      </c>
      <c r="I17" s="81">
        <v>1</v>
      </c>
      <c r="K17" s="119" t="str">
        <f t="shared" si="3"/>
        <v>W09.12 - Rundsav</v>
      </c>
      <c r="L17" s="187">
        <f t="shared" si="4"/>
        <v>24</v>
      </c>
      <c r="M17" s="187">
        <f t="shared" si="5"/>
        <v>-18.200000000000003</v>
      </c>
      <c r="N17" s="176">
        <f t="shared" si="6"/>
        <v>24</v>
      </c>
      <c r="O17" s="176">
        <f t="shared" si="7"/>
        <v>-18.200000000000003</v>
      </c>
      <c r="P17" s="197">
        <f t="shared" si="8"/>
        <v>24</v>
      </c>
      <c r="Q17" s="197">
        <f t="shared" si="9"/>
        <v>-18.200000000000003</v>
      </c>
      <c r="R17" s="177">
        <f t="shared" si="0"/>
        <v>0</v>
      </c>
      <c r="S17" s="178"/>
      <c r="AB17" s="87"/>
      <c r="AS17" s="87"/>
    </row>
    <row r="18" spans="1:50" s="81" customFormat="1" ht="20.149999999999999" customHeight="1">
      <c r="A18" s="170" t="s">
        <v>264</v>
      </c>
      <c r="B18" s="107"/>
      <c r="C18" s="172">
        <v>18</v>
      </c>
      <c r="D18" s="100">
        <f t="shared" si="1"/>
        <v>18</v>
      </c>
      <c r="E18" s="173">
        <v>0.8</v>
      </c>
      <c r="F18" s="174"/>
      <c r="G18" s="175"/>
      <c r="H18" s="98">
        <f t="shared" si="2"/>
        <v>-36.869897645844013</v>
      </c>
      <c r="I18" s="81">
        <v>1</v>
      </c>
      <c r="K18" s="119" t="str">
        <f t="shared" si="3"/>
        <v>W09.13 - Svejseværk</v>
      </c>
      <c r="L18" s="187">
        <f t="shared" si="4"/>
        <v>0</v>
      </c>
      <c r="M18" s="187">
        <f t="shared" si="5"/>
        <v>0</v>
      </c>
      <c r="N18" s="176">
        <f t="shared" si="6"/>
        <v>18</v>
      </c>
      <c r="O18" s="176">
        <f t="shared" si="7"/>
        <v>-6.87</v>
      </c>
      <c r="P18" s="197">
        <f t="shared" si="8"/>
        <v>18</v>
      </c>
      <c r="Q18" s="197">
        <f t="shared" si="9"/>
        <v>-66.87</v>
      </c>
      <c r="R18" s="177">
        <f t="shared" si="0"/>
        <v>0</v>
      </c>
      <c r="S18" s="178"/>
      <c r="AB18" s="88"/>
      <c r="AF18" s="89"/>
      <c r="AN18" s="88"/>
      <c r="AQ18" s="89"/>
      <c r="AS18" s="88"/>
      <c r="AX18" s="88"/>
    </row>
    <row r="19" spans="1:50" s="81" customFormat="1" ht="20.149999999999999" customHeight="1">
      <c r="A19" s="170" t="s">
        <v>265</v>
      </c>
      <c r="B19" s="107"/>
      <c r="C19" s="172">
        <v>40</v>
      </c>
      <c r="D19" s="100">
        <f t="shared" si="1"/>
        <v>20</v>
      </c>
      <c r="E19" s="173">
        <v>0.95</v>
      </c>
      <c r="F19" s="174"/>
      <c r="G19" s="175"/>
      <c r="H19" s="98">
        <f t="shared" si="2"/>
        <v>-18.194872338766785</v>
      </c>
      <c r="I19" s="81">
        <v>0.5</v>
      </c>
      <c r="K19" s="119" t="str">
        <f t="shared" si="3"/>
        <v>W09.14 - W09.20 -Stikk</v>
      </c>
      <c r="L19" s="187">
        <f t="shared" si="4"/>
        <v>20</v>
      </c>
      <c r="M19" s="187">
        <f t="shared" si="5"/>
        <v>-18.200000000000003</v>
      </c>
      <c r="N19" s="176">
        <f t="shared" si="6"/>
        <v>0</v>
      </c>
      <c r="O19" s="176">
        <f t="shared" si="7"/>
        <v>0</v>
      </c>
      <c r="P19" s="197">
        <f t="shared" si="8"/>
        <v>0</v>
      </c>
      <c r="Q19" s="197">
        <f t="shared" si="9"/>
        <v>0</v>
      </c>
      <c r="R19" s="177">
        <f t="shared" si="0"/>
        <v>20</v>
      </c>
      <c r="S19" s="178"/>
      <c r="AB19" s="88"/>
      <c r="AF19" s="89"/>
      <c r="AN19" s="88"/>
      <c r="AQ19" s="89"/>
      <c r="AS19" s="88"/>
      <c r="AX19" s="88"/>
    </row>
    <row r="20" spans="1:50" s="81" customFormat="1" ht="20.149999999999999" customHeight="1">
      <c r="A20" s="170" t="s">
        <v>265</v>
      </c>
      <c r="B20" s="107"/>
      <c r="C20" s="172">
        <v>30</v>
      </c>
      <c r="D20" s="100">
        <f t="shared" si="1"/>
        <v>15</v>
      </c>
      <c r="E20" s="173">
        <v>0.95</v>
      </c>
      <c r="F20" s="174"/>
      <c r="G20" s="175"/>
      <c r="H20" s="98">
        <f t="shared" si="2"/>
        <v>-18.194872338766785</v>
      </c>
      <c r="I20" s="81">
        <v>0.5</v>
      </c>
      <c r="K20" s="119" t="str">
        <f t="shared" si="3"/>
        <v>W09.14 - W09.20 -Stikk</v>
      </c>
      <c r="L20" s="187">
        <f t="shared" si="4"/>
        <v>0</v>
      </c>
      <c r="M20" s="187">
        <f t="shared" si="5"/>
        <v>0</v>
      </c>
      <c r="N20" s="176">
        <f t="shared" si="6"/>
        <v>15</v>
      </c>
      <c r="O20" s="176">
        <f t="shared" si="7"/>
        <v>-18.200000000000003</v>
      </c>
      <c r="P20" s="197">
        <f t="shared" si="8"/>
        <v>0</v>
      </c>
      <c r="Q20" s="197">
        <f t="shared" si="9"/>
        <v>0</v>
      </c>
      <c r="R20" s="177">
        <f t="shared" si="0"/>
        <v>15</v>
      </c>
      <c r="S20" s="178"/>
      <c r="AB20" s="88"/>
      <c r="AF20" s="89"/>
      <c r="AN20" s="88"/>
      <c r="AQ20" s="89"/>
      <c r="AS20" s="88"/>
      <c r="AX20" s="88"/>
    </row>
    <row r="21" spans="1:50" s="81" customFormat="1" ht="20.149999999999999" customHeight="1">
      <c r="A21" s="170" t="s">
        <v>265</v>
      </c>
      <c r="B21" s="107"/>
      <c r="C21" s="172">
        <v>30</v>
      </c>
      <c r="D21" s="100">
        <f t="shared" si="1"/>
        <v>15</v>
      </c>
      <c r="E21" s="173">
        <v>0.95</v>
      </c>
      <c r="F21" s="174"/>
      <c r="G21" s="175"/>
      <c r="H21" s="98">
        <f t="shared" si="2"/>
        <v>-18.194872338766785</v>
      </c>
      <c r="I21" s="81">
        <v>0.5</v>
      </c>
      <c r="K21" s="119" t="str">
        <f t="shared" si="3"/>
        <v>W09.14 - W09.20 -Stikk</v>
      </c>
      <c r="L21" s="187">
        <f t="shared" si="4"/>
        <v>0</v>
      </c>
      <c r="M21" s="187">
        <f t="shared" si="5"/>
        <v>0</v>
      </c>
      <c r="N21" s="176">
        <f t="shared" si="6"/>
        <v>0</v>
      </c>
      <c r="O21" s="176">
        <f t="shared" si="7"/>
        <v>0</v>
      </c>
      <c r="P21" s="197">
        <f t="shared" si="8"/>
        <v>15</v>
      </c>
      <c r="Q21" s="197">
        <f t="shared" si="9"/>
        <v>-18.200000000000003</v>
      </c>
      <c r="R21" s="177">
        <f t="shared" si="0"/>
        <v>15</v>
      </c>
      <c r="S21" s="178"/>
      <c r="AB21" s="88"/>
      <c r="AQ21" s="89"/>
      <c r="AS21" s="88"/>
    </row>
    <row r="22" spans="1:50" s="81" customFormat="1" ht="20.149999999999999" customHeight="1">
      <c r="A22" s="170" t="s">
        <v>266</v>
      </c>
      <c r="B22" s="107"/>
      <c r="C22" s="172">
        <v>64</v>
      </c>
      <c r="D22" s="100">
        <f t="shared" si="1"/>
        <v>32</v>
      </c>
      <c r="E22" s="173">
        <v>0.85</v>
      </c>
      <c r="F22" s="174"/>
      <c r="G22" s="175"/>
      <c r="H22" s="98">
        <f t="shared" si="2"/>
        <v>-31.788330617051621</v>
      </c>
      <c r="I22" s="81">
        <v>0.5</v>
      </c>
      <c r="K22" s="119" t="str">
        <f t="shared" si="3"/>
        <v>W09.21 - W09.22</v>
      </c>
      <c r="L22" s="187">
        <f t="shared" si="4"/>
        <v>32</v>
      </c>
      <c r="M22" s="187">
        <f t="shared" si="5"/>
        <v>-31.790000000000003</v>
      </c>
      <c r="N22" s="176">
        <f t="shared" si="6"/>
        <v>32</v>
      </c>
      <c r="O22" s="176">
        <f t="shared" si="7"/>
        <v>-31.790000000000003</v>
      </c>
      <c r="P22" s="197">
        <f t="shared" si="8"/>
        <v>32</v>
      </c>
      <c r="Q22" s="197">
        <f t="shared" si="9"/>
        <v>-31.790000000000003</v>
      </c>
      <c r="R22" s="177">
        <f t="shared" si="0"/>
        <v>0</v>
      </c>
      <c r="S22" s="178"/>
      <c r="AB22" s="88"/>
      <c r="AG22" s="161"/>
      <c r="AH22" s="161"/>
      <c r="AM22" s="161"/>
      <c r="AN22" s="161"/>
      <c r="AS22" s="88"/>
      <c r="AW22" s="161"/>
      <c r="AX22" s="161"/>
    </row>
    <row r="23" spans="1:50" s="81" customFormat="1" ht="20.149999999999999" customHeight="1">
      <c r="A23" s="170" t="s">
        <v>267</v>
      </c>
      <c r="B23" s="107"/>
      <c r="C23" s="172">
        <v>10</v>
      </c>
      <c r="D23" s="100">
        <f t="shared" si="1"/>
        <v>10</v>
      </c>
      <c r="E23" s="173">
        <v>1</v>
      </c>
      <c r="F23" s="174"/>
      <c r="G23" s="175"/>
      <c r="H23" s="98">
        <f t="shared" si="2"/>
        <v>0</v>
      </c>
      <c r="I23" s="81">
        <v>1</v>
      </c>
      <c r="K23" s="119" t="str">
        <f t="shared" si="3"/>
        <v>W09.23 - W09.25</v>
      </c>
      <c r="L23" s="187">
        <f t="shared" si="4"/>
        <v>10</v>
      </c>
      <c r="M23" s="187">
        <f t="shared" si="5"/>
        <v>0</v>
      </c>
      <c r="N23" s="176">
        <f t="shared" si="6"/>
        <v>10</v>
      </c>
      <c r="O23" s="176">
        <f t="shared" si="7"/>
        <v>0</v>
      </c>
      <c r="P23" s="197">
        <f t="shared" si="8"/>
        <v>10</v>
      </c>
      <c r="Q23" s="197">
        <f t="shared" si="9"/>
        <v>0</v>
      </c>
      <c r="R23" s="177">
        <f t="shared" si="0"/>
        <v>0</v>
      </c>
      <c r="S23" s="178"/>
      <c r="AB23" s="91"/>
    </row>
    <row r="24" spans="1:50" s="90" customFormat="1" ht="20.149999999999999" customHeight="1">
      <c r="A24" s="170"/>
      <c r="B24" s="107"/>
      <c r="C24" s="172"/>
      <c r="D24" s="100">
        <f t="shared" si="1"/>
        <v>0</v>
      </c>
      <c r="E24" s="173">
        <v>1</v>
      </c>
      <c r="F24" s="174"/>
      <c r="G24" s="175"/>
      <c r="H24" s="98">
        <f t="shared" si="2"/>
        <v>0</v>
      </c>
      <c r="I24" s="81">
        <v>1</v>
      </c>
      <c r="J24" s="81"/>
      <c r="K24" s="119">
        <f t="shared" si="3"/>
        <v>0</v>
      </c>
      <c r="L24" s="187">
        <f t="shared" si="4"/>
        <v>0</v>
      </c>
      <c r="M24" s="187">
        <f t="shared" si="5"/>
        <v>0</v>
      </c>
      <c r="N24" s="176">
        <f t="shared" si="6"/>
        <v>0</v>
      </c>
      <c r="O24" s="176">
        <f t="shared" si="7"/>
        <v>0</v>
      </c>
      <c r="P24" s="197">
        <f t="shared" si="8"/>
        <v>0</v>
      </c>
      <c r="Q24" s="197">
        <f t="shared" si="9"/>
        <v>0</v>
      </c>
      <c r="R24" s="177">
        <f t="shared" si="0"/>
        <v>0</v>
      </c>
      <c r="S24" s="178"/>
      <c r="T24" s="81"/>
      <c r="U24" s="81"/>
      <c r="V24" s="81"/>
      <c r="W24" s="81"/>
      <c r="X24" s="81"/>
      <c r="Y24" s="81"/>
      <c r="Z24" s="81"/>
      <c r="AA24" s="81"/>
      <c r="AB24" s="94"/>
    </row>
    <row r="25" spans="1:50" s="90" customFormat="1" ht="20.149999999999999" customHeight="1" thickBot="1">
      <c r="A25" s="81"/>
      <c r="B25" s="81"/>
      <c r="C25" s="82"/>
      <c r="D25" s="82"/>
      <c r="E25" s="81"/>
      <c r="F25" s="82"/>
      <c r="G25" s="81"/>
      <c r="H25" s="81"/>
      <c r="I25" s="81"/>
      <c r="J25" s="81"/>
      <c r="L25" s="188"/>
      <c r="M25" s="189"/>
      <c r="N25" s="194"/>
      <c r="O25" s="195"/>
      <c r="P25" s="198"/>
      <c r="Q25" s="199"/>
      <c r="R25" s="196"/>
      <c r="S25" s="196"/>
      <c r="T25" s="81"/>
      <c r="U25" s="81"/>
      <c r="V25" s="81"/>
      <c r="W25" s="81"/>
      <c r="X25" s="81"/>
      <c r="Y25" s="81"/>
      <c r="Z25" s="81"/>
      <c r="AA25" s="81"/>
      <c r="AB25" s="94"/>
    </row>
    <row r="26" spans="1:50" s="90" customFormat="1" ht="20.149999999999999" customHeight="1" thickBot="1">
      <c r="A26" s="81"/>
      <c r="B26" s="81"/>
      <c r="C26" s="82"/>
      <c r="D26" s="82"/>
      <c r="E26" s="81"/>
      <c r="F26" s="82"/>
      <c r="G26" s="81"/>
      <c r="H26" s="81"/>
      <c r="I26" s="81"/>
      <c r="J26" s="81"/>
      <c r="K26" s="120" t="s">
        <v>249</v>
      </c>
      <c r="L26" s="190">
        <f>ROUNDUP(IMABS(COMPLEX(M76,N76)),2)</f>
        <v>181.88</v>
      </c>
      <c r="M26" s="191">
        <f>ROUNDUP(IFERROR(DEGREES(IMARGUMENT(COMPLEX(M76,N76))),0),2)</f>
        <v>-23.720000000000002</v>
      </c>
      <c r="N26" s="179">
        <f>ROUNDUP(IMABS(COMPLEX(O76,P76)),2)</f>
        <v>188.70999999999998</v>
      </c>
      <c r="O26" s="180">
        <f>ROUNDUP(IFERROR(DEGREES(IMARGUMENT(COMPLEX(O76,P76))),0),2)</f>
        <v>-22.810000000000002</v>
      </c>
      <c r="P26" s="200">
        <f>ROUNDUP(IMABS(COMPLEX(Q76,R76)),2)</f>
        <v>182.79</v>
      </c>
      <c r="Q26" s="201">
        <f>ROUNDUP(IFERROR(DEGREES(IMARGUMENT(COMPLEX(Q76,R76))),0),2)</f>
        <v>-28.34</v>
      </c>
      <c r="R26" s="183">
        <f>ROUNDUP(IMABS(IMSUM(M85,O85,Q85)),2)</f>
        <v>11.77</v>
      </c>
      <c r="S26" s="184">
        <f>ROUNDUP(IFERROR(DEGREES(IMARGUMENT(IMSUM(M85,O85,Q85)))+180,"%"),2)</f>
        <v>157.39999999999998</v>
      </c>
      <c r="T26" s="81"/>
      <c r="U26" s="81"/>
      <c r="V26" s="81"/>
      <c r="W26" s="81"/>
      <c r="X26" s="81"/>
      <c r="Y26" s="81"/>
      <c r="Z26" s="81"/>
      <c r="AA26" s="81"/>
      <c r="AB26" s="94"/>
    </row>
    <row r="27" spans="1:50" s="90" customFormat="1" ht="20.149999999999999" customHeight="1" thickBot="1">
      <c r="A27" s="81"/>
      <c r="B27" s="81"/>
      <c r="C27" s="82"/>
      <c r="D27" s="82"/>
      <c r="E27" s="81"/>
      <c r="F27" s="82"/>
      <c r="G27" s="81"/>
      <c r="H27" s="81"/>
      <c r="I27" s="81"/>
      <c r="J27" s="81"/>
      <c r="K27" s="120" t="s">
        <v>250</v>
      </c>
      <c r="L27" s="192">
        <f>L26*$L$2*$L$3</f>
        <v>0</v>
      </c>
      <c r="M27" s="193">
        <f>M26</f>
        <v>-23.720000000000002</v>
      </c>
      <c r="N27" s="181">
        <f>N26*$L$2*$L$3</f>
        <v>0</v>
      </c>
      <c r="O27" s="182">
        <f>O26</f>
        <v>-22.810000000000002</v>
      </c>
      <c r="P27" s="202">
        <f>P26*$L$2*$L$3</f>
        <v>0</v>
      </c>
      <c r="Q27" s="203">
        <f>Q26</f>
        <v>-28.34</v>
      </c>
      <c r="R27" s="185">
        <f>R26*$L$2*$L$3</f>
        <v>0</v>
      </c>
      <c r="S27" s="186">
        <f>IFERROR(DEGREES(IMARGUMENT(IMSUM(M85,O85,Q85)))+180,"%")</f>
        <v>157.39726776493811</v>
      </c>
      <c r="T27" s="81"/>
      <c r="U27" s="81"/>
      <c r="V27" s="81"/>
      <c r="W27" s="81"/>
      <c r="X27" s="81"/>
      <c r="Y27" s="81"/>
      <c r="Z27" s="81"/>
      <c r="AA27" s="81"/>
      <c r="AB27" s="94"/>
    </row>
    <row r="28" spans="1:50" s="90" customFormat="1" ht="20.149999999999999" customHeight="1">
      <c r="A28" s="81"/>
      <c r="B28" s="81"/>
      <c r="C28" s="82"/>
      <c r="D28" s="82"/>
      <c r="E28" s="81"/>
      <c r="F28" s="82"/>
      <c r="G28" s="81"/>
      <c r="H28" s="81"/>
      <c r="I28" s="81"/>
      <c r="J28" s="81"/>
      <c r="K28" s="96"/>
      <c r="L28" s="97"/>
      <c r="M28" s="97"/>
      <c r="N28" s="97"/>
      <c r="O28" s="97"/>
      <c r="P28" s="97"/>
      <c r="Q28" s="97"/>
      <c r="R28" s="97"/>
      <c r="S28" s="81"/>
      <c r="T28" s="81"/>
      <c r="U28" s="81"/>
      <c r="V28" s="81"/>
      <c r="W28" s="81"/>
      <c r="X28" s="81"/>
      <c r="Y28" s="81"/>
      <c r="Z28" s="81"/>
      <c r="AA28" s="81"/>
      <c r="AB28" s="94"/>
    </row>
    <row r="29" spans="1:50" s="81" customFormat="1" ht="15" customHeight="1" thickBot="1">
      <c r="C29" s="82"/>
      <c r="D29" s="82"/>
      <c r="F29" s="82"/>
      <c r="K29" s="96"/>
      <c r="L29" s="97"/>
      <c r="M29" s="97"/>
      <c r="N29" s="97"/>
      <c r="O29" s="97"/>
      <c r="P29" s="97"/>
      <c r="Q29" s="97"/>
      <c r="R29" s="97"/>
      <c r="AB29" s="91"/>
    </row>
    <row r="30" spans="1:50">
      <c r="B30" s="153" t="s">
        <v>28</v>
      </c>
      <c r="C30" s="154"/>
      <c r="D30" s="155"/>
    </row>
    <row r="31" spans="1:50" ht="16" thickBot="1">
      <c r="B31" s="156"/>
      <c r="C31" s="157"/>
      <c r="D31" s="158"/>
      <c r="L31" s="96" t="s">
        <v>213</v>
      </c>
    </row>
    <row r="32" spans="1:50">
      <c r="L32" s="96">
        <v>0</v>
      </c>
      <c r="M32" s="97">
        <v>-120</v>
      </c>
      <c r="N32" s="97">
        <v>120</v>
      </c>
    </row>
    <row r="33" spans="3:37" s="81" customFormat="1">
      <c r="C33" s="82"/>
      <c r="D33" s="82"/>
      <c r="F33" s="82"/>
      <c r="K33" s="96"/>
      <c r="L33" s="96" t="s">
        <v>217</v>
      </c>
      <c r="M33" s="97"/>
      <c r="N33" s="97"/>
      <c r="O33" s="97"/>
      <c r="P33" s="97"/>
      <c r="Q33" s="97"/>
      <c r="R33" s="97"/>
      <c r="AB33" s="91"/>
      <c r="AJ33" s="95"/>
      <c r="AK33" s="95"/>
    </row>
    <row r="34" spans="3:37" s="81" customFormat="1">
      <c r="C34" s="82"/>
      <c r="D34" s="82"/>
      <c r="F34" s="82"/>
      <c r="K34" s="96"/>
      <c r="L34" s="96">
        <v>0</v>
      </c>
      <c r="M34" s="97">
        <v>-2.0943951023931953</v>
      </c>
      <c r="N34" s="97">
        <v>2.0943951023931953</v>
      </c>
      <c r="O34" s="97"/>
      <c r="P34" s="97"/>
      <c r="Q34" s="97"/>
      <c r="R34" s="97"/>
      <c r="AB34" s="91"/>
      <c r="AJ34" s="95"/>
      <c r="AK34" s="95"/>
    </row>
    <row r="35" spans="3:37" s="81" customFormat="1">
      <c r="C35" s="82"/>
      <c r="D35" s="82"/>
      <c r="F35" s="82"/>
      <c r="K35" s="101"/>
      <c r="L35" s="99" t="s">
        <v>214</v>
      </c>
      <c r="M35" s="99" t="s">
        <v>215</v>
      </c>
      <c r="N35" s="99" t="s">
        <v>216</v>
      </c>
      <c r="O35" s="99">
        <v>30</v>
      </c>
      <c r="P35" s="99">
        <v>-30</v>
      </c>
      <c r="Q35" s="99" t="s">
        <v>16</v>
      </c>
      <c r="R35" s="97"/>
      <c r="AB35" s="91"/>
      <c r="AJ35" s="95"/>
      <c r="AK35" s="95"/>
    </row>
    <row r="36" spans="3:37" s="81" customFormat="1">
      <c r="C36" s="82"/>
      <c r="D36" s="82"/>
      <c r="F36" s="82"/>
      <c r="K36" s="101"/>
      <c r="L36" s="100">
        <v>3</v>
      </c>
      <c r="M36" s="100">
        <v>2</v>
      </c>
      <c r="N36" s="99">
        <f t="shared" ref="N36:N54" si="10">RADIANS(H6)</f>
        <v>-0.31756042929152151</v>
      </c>
      <c r="O36" s="99">
        <f>RADIANS(O35)</f>
        <v>0.52359877559829882</v>
      </c>
      <c r="P36" s="99">
        <f>RADIANS(P35)</f>
        <v>-0.52359877559829882</v>
      </c>
      <c r="Q36" s="102">
        <f t="shared" ref="Q36:Q54" si="11">CHOOSE(M36,$B$2*SQRT(3),$B$2/SQRT(3),$B$2/SQRT(3),$B$2/SQRT(3),$B$2,$B$2,$B$2)</f>
        <v>230.94010767585033</v>
      </c>
      <c r="R36" s="97"/>
      <c r="AB36" s="91"/>
      <c r="AJ36" s="95"/>
      <c r="AK36" s="95"/>
    </row>
    <row r="37" spans="3:37" s="81" customFormat="1">
      <c r="C37" s="82"/>
      <c r="D37" s="82"/>
      <c r="F37" s="82"/>
      <c r="K37" s="96"/>
      <c r="L37" s="100">
        <v>3</v>
      </c>
      <c r="M37" s="100">
        <v>3</v>
      </c>
      <c r="N37" s="99">
        <f t="shared" si="10"/>
        <v>-0.31756042929152151</v>
      </c>
      <c r="Q37" s="102">
        <f t="shared" si="11"/>
        <v>230.94010767585033</v>
      </c>
      <c r="R37" s="97"/>
      <c r="AB37" s="91"/>
      <c r="AJ37" s="95"/>
      <c r="AK37" s="95"/>
    </row>
    <row r="38" spans="3:37" s="81" customFormat="1">
      <c r="C38" s="82"/>
      <c r="D38" s="82"/>
      <c r="F38" s="82"/>
      <c r="K38" s="96"/>
      <c r="L38" s="100">
        <v>3</v>
      </c>
      <c r="M38" s="100">
        <v>4</v>
      </c>
      <c r="N38" s="99">
        <f t="shared" si="10"/>
        <v>-0.31756042929152151</v>
      </c>
      <c r="Q38" s="102">
        <f t="shared" si="11"/>
        <v>230.94010767585033</v>
      </c>
      <c r="R38" s="97"/>
      <c r="AB38" s="91"/>
      <c r="AJ38" s="95"/>
      <c r="AK38" s="95"/>
    </row>
    <row r="39" spans="3:37" s="81" customFormat="1">
      <c r="C39" s="82"/>
      <c r="D39" s="82"/>
      <c r="F39" s="82"/>
      <c r="K39" s="96"/>
      <c r="L39" s="100">
        <v>3</v>
      </c>
      <c r="M39" s="100">
        <v>1</v>
      </c>
      <c r="N39" s="99">
        <f t="shared" si="10"/>
        <v>-0.45102681179626236</v>
      </c>
      <c r="Q39" s="102">
        <f t="shared" si="11"/>
        <v>692.8203230275509</v>
      </c>
      <c r="R39" s="97"/>
      <c r="AB39" s="91"/>
      <c r="AJ39" s="95"/>
      <c r="AK39" s="95"/>
    </row>
    <row r="40" spans="3:37" s="81" customFormat="1">
      <c r="C40" s="82"/>
      <c r="D40" s="82"/>
      <c r="F40" s="82"/>
      <c r="K40" s="96"/>
      <c r="L40" s="100">
        <v>3</v>
      </c>
      <c r="M40" s="100">
        <v>4</v>
      </c>
      <c r="N40" s="99">
        <f t="shared" si="10"/>
        <v>-0.45102681179626236</v>
      </c>
      <c r="Q40" s="102">
        <f t="shared" si="11"/>
        <v>230.94010767585033</v>
      </c>
      <c r="R40" s="97"/>
      <c r="AB40" s="91"/>
      <c r="AJ40" s="95"/>
      <c r="AK40" s="95"/>
    </row>
    <row r="41" spans="3:37" s="81" customFormat="1">
      <c r="C41" s="82"/>
      <c r="D41" s="82"/>
      <c r="F41" s="82"/>
      <c r="K41" s="96"/>
      <c r="L41" s="100">
        <v>3</v>
      </c>
      <c r="M41" s="100">
        <v>2</v>
      </c>
      <c r="N41" s="99">
        <f t="shared" si="10"/>
        <v>-0.31756042929152151</v>
      </c>
      <c r="Q41" s="102">
        <f t="shared" si="11"/>
        <v>230.94010767585033</v>
      </c>
      <c r="R41" s="97"/>
      <c r="AB41" s="91"/>
      <c r="AJ41" s="95"/>
      <c r="AK41" s="95"/>
    </row>
    <row r="42" spans="3:37" s="81" customFormat="1">
      <c r="C42" s="82"/>
      <c r="D42" s="82"/>
      <c r="F42" s="82"/>
      <c r="K42" s="96"/>
      <c r="L42" s="100">
        <v>3</v>
      </c>
      <c r="M42" s="100">
        <v>3</v>
      </c>
      <c r="N42" s="99">
        <f t="shared" si="10"/>
        <v>-0.45102681179626236</v>
      </c>
      <c r="Q42" s="102">
        <f t="shared" si="11"/>
        <v>230.94010767585033</v>
      </c>
      <c r="R42" s="97"/>
      <c r="AB42" s="91"/>
      <c r="AJ42" s="95"/>
      <c r="AK42" s="95"/>
    </row>
    <row r="43" spans="3:37" s="81" customFormat="1">
      <c r="C43" s="82"/>
      <c r="D43" s="82"/>
      <c r="F43" s="82"/>
      <c r="K43" s="96"/>
      <c r="L43" s="100">
        <v>3</v>
      </c>
      <c r="M43" s="100">
        <v>2</v>
      </c>
      <c r="N43" s="99">
        <f t="shared" si="10"/>
        <v>-0.31756042929152151</v>
      </c>
      <c r="Q43" s="102">
        <f t="shared" si="11"/>
        <v>230.94010767585033</v>
      </c>
      <c r="R43" s="97"/>
      <c r="AB43" s="91"/>
      <c r="AJ43" s="95"/>
      <c r="AK43" s="95"/>
    </row>
    <row r="44" spans="3:37" s="81" customFormat="1">
      <c r="C44" s="82"/>
      <c r="D44" s="82"/>
      <c r="F44" s="82"/>
      <c r="K44" s="96"/>
      <c r="L44" s="100">
        <v>3</v>
      </c>
      <c r="M44" s="100">
        <v>1</v>
      </c>
      <c r="N44" s="99">
        <f t="shared" si="10"/>
        <v>-0.62664421164074047</v>
      </c>
      <c r="Q44" s="102">
        <f t="shared" si="11"/>
        <v>692.8203230275509</v>
      </c>
      <c r="R44" s="97"/>
      <c r="AB44" s="91"/>
      <c r="AJ44" s="95"/>
      <c r="AK44" s="95"/>
    </row>
    <row r="45" spans="3:37" s="81" customFormat="1">
      <c r="C45" s="82"/>
      <c r="D45" s="82"/>
      <c r="F45" s="82"/>
      <c r="K45" s="96"/>
      <c r="L45" s="100">
        <v>3</v>
      </c>
      <c r="M45" s="100">
        <v>1</v>
      </c>
      <c r="N45" s="99">
        <f t="shared" si="10"/>
        <v>-0.45102681179626236</v>
      </c>
      <c r="Q45" s="102">
        <f t="shared" si="11"/>
        <v>692.8203230275509</v>
      </c>
      <c r="R45" s="97"/>
      <c r="AB45" s="91"/>
      <c r="AJ45" s="95"/>
      <c r="AK45" s="95"/>
    </row>
    <row r="46" spans="3:37" s="81" customFormat="1">
      <c r="C46" s="82"/>
      <c r="D46" s="82"/>
      <c r="F46" s="82"/>
      <c r="K46" s="96"/>
      <c r="L46" s="100">
        <v>3</v>
      </c>
      <c r="M46" s="100">
        <v>1</v>
      </c>
      <c r="N46" s="99">
        <f t="shared" si="10"/>
        <v>-0.45102681179626236</v>
      </c>
      <c r="Q46" s="102">
        <f t="shared" si="11"/>
        <v>692.8203230275509</v>
      </c>
      <c r="R46" s="97"/>
      <c r="AB46" s="91"/>
      <c r="AJ46" s="95"/>
      <c r="AK46" s="95"/>
    </row>
    <row r="47" spans="3:37" s="81" customFormat="1">
      <c r="C47" s="82"/>
      <c r="D47" s="82"/>
      <c r="F47" s="82"/>
      <c r="K47" s="96"/>
      <c r="L47" s="100">
        <v>3</v>
      </c>
      <c r="M47" s="100">
        <v>1</v>
      </c>
      <c r="N47" s="99">
        <f t="shared" si="10"/>
        <v>-0.31756042929152151</v>
      </c>
      <c r="Q47" s="102">
        <f t="shared" si="11"/>
        <v>692.8203230275509</v>
      </c>
      <c r="R47" s="97"/>
      <c r="AB47" s="91"/>
      <c r="AJ47" s="95"/>
      <c r="AK47" s="95"/>
    </row>
    <row r="48" spans="3:37" s="81" customFormat="1">
      <c r="C48" s="82"/>
      <c r="D48" s="82"/>
      <c r="F48" s="82"/>
      <c r="K48" s="96"/>
      <c r="L48" s="100">
        <v>3</v>
      </c>
      <c r="M48" s="100">
        <v>6</v>
      </c>
      <c r="N48" s="99">
        <f t="shared" si="10"/>
        <v>-0.64350110879328426</v>
      </c>
      <c r="Q48" s="102">
        <f t="shared" si="11"/>
        <v>400</v>
      </c>
      <c r="R48" s="97"/>
      <c r="AB48" s="91"/>
      <c r="AJ48" s="95"/>
      <c r="AK48" s="95"/>
    </row>
    <row r="49" spans="3:37" s="81" customFormat="1">
      <c r="C49" s="82"/>
      <c r="D49" s="82"/>
      <c r="F49" s="82"/>
      <c r="K49" s="96"/>
      <c r="L49" s="100">
        <v>3</v>
      </c>
      <c r="M49" s="100">
        <v>2</v>
      </c>
      <c r="N49" s="99">
        <f t="shared" si="10"/>
        <v>-0.31756042929152151</v>
      </c>
      <c r="Q49" s="102">
        <f t="shared" si="11"/>
        <v>230.94010767585033</v>
      </c>
      <c r="R49" s="97"/>
      <c r="AB49" s="91"/>
      <c r="AJ49" s="95"/>
      <c r="AK49" s="95"/>
    </row>
    <row r="50" spans="3:37" s="81" customFormat="1">
      <c r="C50" s="82"/>
      <c r="D50" s="82"/>
      <c r="F50" s="82"/>
      <c r="K50" s="96"/>
      <c r="L50" s="100">
        <v>3</v>
      </c>
      <c r="M50" s="100">
        <v>3</v>
      </c>
      <c r="N50" s="99">
        <f t="shared" si="10"/>
        <v>-0.31756042929152151</v>
      </c>
      <c r="Q50" s="102">
        <f t="shared" si="11"/>
        <v>230.94010767585033</v>
      </c>
      <c r="R50" s="97"/>
      <c r="AB50" s="91"/>
      <c r="AJ50" s="95"/>
      <c r="AK50" s="95"/>
    </row>
    <row r="51" spans="3:37" s="81" customFormat="1">
      <c r="C51" s="82"/>
      <c r="D51" s="82"/>
      <c r="F51" s="82"/>
      <c r="K51" s="96"/>
      <c r="L51" s="100">
        <v>3</v>
      </c>
      <c r="M51" s="100">
        <v>4</v>
      </c>
      <c r="N51" s="99">
        <f t="shared" si="10"/>
        <v>-0.31756042929152151</v>
      </c>
      <c r="Q51" s="102">
        <f t="shared" si="11"/>
        <v>230.94010767585033</v>
      </c>
      <c r="R51" s="97"/>
      <c r="AB51" s="91"/>
      <c r="AJ51" s="95"/>
      <c r="AK51" s="95"/>
    </row>
    <row r="52" spans="3:37" s="81" customFormat="1">
      <c r="C52" s="82"/>
      <c r="D52" s="82"/>
      <c r="F52" s="82"/>
      <c r="K52" s="96"/>
      <c r="L52" s="100">
        <v>3</v>
      </c>
      <c r="M52" s="100">
        <v>1</v>
      </c>
      <c r="N52" s="99">
        <f t="shared" si="10"/>
        <v>-0.55481103298007151</v>
      </c>
      <c r="Q52" s="102">
        <f t="shared" si="11"/>
        <v>692.8203230275509</v>
      </c>
      <c r="R52" s="97"/>
      <c r="AB52" s="91"/>
      <c r="AJ52" s="95"/>
      <c r="AK52" s="95"/>
    </row>
    <row r="53" spans="3:37" s="81" customFormat="1">
      <c r="C53" s="82"/>
      <c r="D53" s="82"/>
      <c r="F53" s="82"/>
      <c r="K53" s="96"/>
      <c r="L53" s="100">
        <v>3</v>
      </c>
      <c r="M53" s="100">
        <v>1</v>
      </c>
      <c r="N53" s="99">
        <f t="shared" si="10"/>
        <v>0</v>
      </c>
      <c r="Q53" s="102">
        <f t="shared" si="11"/>
        <v>692.8203230275509</v>
      </c>
      <c r="R53" s="97"/>
      <c r="AB53" s="91"/>
      <c r="AJ53" s="95"/>
      <c r="AK53" s="95"/>
    </row>
    <row r="54" spans="3:37" s="81" customFormat="1">
      <c r="C54" s="82"/>
      <c r="D54" s="82"/>
      <c r="F54" s="82"/>
      <c r="K54" s="96"/>
      <c r="L54" s="100">
        <v>3</v>
      </c>
      <c r="M54" s="100">
        <v>1</v>
      </c>
      <c r="N54" s="99">
        <f t="shared" si="10"/>
        <v>0</v>
      </c>
      <c r="Q54" s="102">
        <f t="shared" si="11"/>
        <v>692.8203230275509</v>
      </c>
      <c r="R54" s="97"/>
      <c r="AB54" s="91"/>
      <c r="AJ54" s="95"/>
      <c r="AK54" s="95"/>
    </row>
    <row r="56" spans="3:37" s="81" customFormat="1" ht="16">
      <c r="C56" s="82"/>
      <c r="D56" s="82"/>
      <c r="F56" s="82"/>
      <c r="K56" s="96"/>
      <c r="L56" s="82"/>
      <c r="M56" s="99" t="s">
        <v>207</v>
      </c>
      <c r="N56" s="98" t="s">
        <v>208</v>
      </c>
      <c r="O56" s="98" t="s">
        <v>209</v>
      </c>
      <c r="P56" s="98" t="s">
        <v>210</v>
      </c>
      <c r="Q56" s="98" t="s">
        <v>211</v>
      </c>
      <c r="R56" s="98" t="s">
        <v>212</v>
      </c>
      <c r="AB56" s="91"/>
      <c r="AJ56" s="95"/>
      <c r="AK56" s="95"/>
    </row>
    <row r="57" spans="3:37" s="81" customFormat="1">
      <c r="C57" s="82"/>
      <c r="D57" s="82"/>
      <c r="F57" s="82"/>
      <c r="K57" s="96"/>
      <c r="L57" s="103" t="s">
        <v>188</v>
      </c>
      <c r="M57" s="102">
        <f t="shared" ref="M57:M75" si="12">IF(M36=1,D6*COS(N36),IF(M36=2,D6*COS(N36),IF(M36=5,D6*COS(N36+$O$36),IF(M36=7,D6*COS(N36+$P$36),0))))</f>
        <v>6.27</v>
      </c>
      <c r="N57" s="102">
        <f t="shared" ref="N57:N75" si="13">IF(M36=1,D6*SIN(N36),IF(M36=2,D6*SIN(N36),IF(M36=5,D6*SIN(N36+$O$36),IF(M36=7,D6*SIN(N36+$P$36),0))))</f>
        <v>-2.060849339471472</v>
      </c>
      <c r="O57" s="102">
        <f t="shared" ref="O57:O75" si="14">IF(M36=1,D6*COS(N36),IF(M36=3,D6*COS(N36),IF(M36=6,D6*COS(N36+$O$36),IF(M36=5,D6*COS(N36+$P$36),0))))</f>
        <v>0</v>
      </c>
      <c r="P57" s="102">
        <f t="shared" ref="P57:P75" si="15">IF(M36=1,D6*SIN(N36),IF(M36=3,D6*SIN(N36),IF(M36=6,D6*SIN(N36+$O$36),IF(M36=5,D6*SIN(N36+$P$36),0))))</f>
        <v>0</v>
      </c>
      <c r="Q57" s="102">
        <f t="shared" ref="Q57:Q75" si="16">IF(M36=1,D6*COS(N36),IF(M36=4,D6*COS(N36),IF(M36=7,D6*COS(N36+$O$36),IF(M36=6,D6*COS(N36+$P$36),0))))</f>
        <v>0</v>
      </c>
      <c r="R57" s="102">
        <f t="shared" ref="R57:R75" si="17">IF(M36=1,D6*SIN(N36),IF(M36=4,D6*SIN(N36),IF(M36=7,D6*SIN(N36+$O$36),IF(M36=6,D6*SIN(N36+$P$36),0))))</f>
        <v>0</v>
      </c>
      <c r="AB57" s="91"/>
      <c r="AJ57" s="95"/>
      <c r="AK57" s="95"/>
    </row>
    <row r="58" spans="3:37" s="81" customFormat="1">
      <c r="C58" s="82"/>
      <c r="D58" s="82"/>
      <c r="F58" s="82"/>
      <c r="K58" s="96"/>
      <c r="L58" s="103" t="s">
        <v>189</v>
      </c>
      <c r="M58" s="102">
        <f t="shared" si="12"/>
        <v>0</v>
      </c>
      <c r="N58" s="102">
        <f t="shared" si="13"/>
        <v>0</v>
      </c>
      <c r="O58" s="102">
        <f t="shared" si="14"/>
        <v>8.17</v>
      </c>
      <c r="P58" s="102">
        <f t="shared" si="15"/>
        <v>-2.6853491393113122</v>
      </c>
      <c r="Q58" s="102">
        <f t="shared" si="16"/>
        <v>0</v>
      </c>
      <c r="R58" s="102">
        <f t="shared" si="17"/>
        <v>0</v>
      </c>
      <c r="AB58" s="91"/>
      <c r="AJ58" s="95"/>
      <c r="AK58" s="95"/>
    </row>
    <row r="59" spans="3:37" s="81" customFormat="1">
      <c r="C59" s="82"/>
      <c r="D59" s="82"/>
      <c r="F59" s="82"/>
      <c r="K59" s="96"/>
      <c r="L59" s="103" t="s">
        <v>190</v>
      </c>
      <c r="M59" s="102">
        <f t="shared" si="12"/>
        <v>0</v>
      </c>
      <c r="N59" s="102">
        <f t="shared" si="13"/>
        <v>0</v>
      </c>
      <c r="O59" s="102">
        <f t="shared" si="14"/>
        <v>0</v>
      </c>
      <c r="P59" s="102">
        <f t="shared" si="15"/>
        <v>0</v>
      </c>
      <c r="Q59" s="102">
        <f t="shared" si="16"/>
        <v>6.27</v>
      </c>
      <c r="R59" s="102">
        <f t="shared" si="17"/>
        <v>-2.060849339471472</v>
      </c>
      <c r="AB59" s="91"/>
      <c r="AJ59" s="95"/>
      <c r="AK59" s="95"/>
    </row>
    <row r="60" spans="3:37" s="81" customFormat="1">
      <c r="C60" s="82"/>
      <c r="D60" s="82"/>
      <c r="F60" s="82"/>
      <c r="K60" s="96"/>
      <c r="L60" s="103" t="s">
        <v>191</v>
      </c>
      <c r="M60" s="102">
        <f t="shared" si="12"/>
        <v>19.8</v>
      </c>
      <c r="N60" s="102">
        <f t="shared" si="13"/>
        <v>-9.5895776757894797</v>
      </c>
      <c r="O60" s="102">
        <f t="shared" si="14"/>
        <v>19.8</v>
      </c>
      <c r="P60" s="102">
        <f t="shared" si="15"/>
        <v>-9.5895776757894797</v>
      </c>
      <c r="Q60" s="102">
        <f t="shared" si="16"/>
        <v>19.8</v>
      </c>
      <c r="R60" s="102">
        <f t="shared" si="17"/>
        <v>-9.5895776757894797</v>
      </c>
      <c r="AB60" s="91"/>
      <c r="AJ60" s="95"/>
      <c r="AK60" s="95"/>
    </row>
    <row r="61" spans="3:37" s="81" customFormat="1">
      <c r="C61" s="82"/>
      <c r="D61" s="82"/>
      <c r="F61" s="82"/>
      <c r="K61" s="96"/>
      <c r="L61" s="103" t="s">
        <v>192</v>
      </c>
      <c r="M61" s="102">
        <f t="shared" si="12"/>
        <v>0</v>
      </c>
      <c r="N61" s="102">
        <f t="shared" si="13"/>
        <v>0</v>
      </c>
      <c r="O61" s="102">
        <f t="shared" si="14"/>
        <v>0</v>
      </c>
      <c r="P61" s="102">
        <f t="shared" si="15"/>
        <v>0</v>
      </c>
      <c r="Q61" s="102">
        <f t="shared" si="16"/>
        <v>7.74</v>
      </c>
      <c r="R61" s="102">
        <f t="shared" si="17"/>
        <v>-3.7486530914449783</v>
      </c>
      <c r="AB61" s="91"/>
      <c r="AJ61" s="95"/>
      <c r="AK61" s="95"/>
    </row>
    <row r="62" spans="3:37" s="81" customFormat="1">
      <c r="C62" s="82"/>
      <c r="D62" s="82"/>
      <c r="F62" s="82"/>
      <c r="K62" s="96"/>
      <c r="L62" s="103" t="s">
        <v>193</v>
      </c>
      <c r="M62" s="102">
        <f t="shared" si="12"/>
        <v>10.924999999999999</v>
      </c>
      <c r="N62" s="102">
        <f t="shared" si="13"/>
        <v>-3.5908738490790801</v>
      </c>
      <c r="O62" s="102">
        <f t="shared" si="14"/>
        <v>0</v>
      </c>
      <c r="P62" s="102">
        <f t="shared" si="15"/>
        <v>0</v>
      </c>
      <c r="Q62" s="102">
        <f t="shared" si="16"/>
        <v>0</v>
      </c>
      <c r="R62" s="102">
        <f t="shared" si="17"/>
        <v>0</v>
      </c>
      <c r="AB62" s="91"/>
      <c r="AJ62" s="95"/>
      <c r="AK62" s="95"/>
    </row>
    <row r="63" spans="3:37" s="81" customFormat="1">
      <c r="C63" s="82"/>
      <c r="D63" s="82"/>
      <c r="F63" s="82"/>
      <c r="K63" s="96"/>
      <c r="L63" s="103" t="s">
        <v>194</v>
      </c>
      <c r="M63" s="102">
        <f t="shared" si="12"/>
        <v>0</v>
      </c>
      <c r="N63" s="102">
        <f t="shared" si="13"/>
        <v>0</v>
      </c>
      <c r="O63" s="102">
        <f t="shared" si="14"/>
        <v>8.1</v>
      </c>
      <c r="P63" s="102">
        <f t="shared" si="15"/>
        <v>-3.9230090491866054</v>
      </c>
      <c r="Q63" s="102">
        <f t="shared" si="16"/>
        <v>0</v>
      </c>
      <c r="R63" s="102">
        <f t="shared" si="17"/>
        <v>0</v>
      </c>
      <c r="AB63" s="91"/>
      <c r="AJ63" s="95"/>
      <c r="AK63" s="95"/>
    </row>
    <row r="64" spans="3:37" s="81" customFormat="1">
      <c r="C64" s="82"/>
      <c r="D64" s="82"/>
      <c r="F64" s="82"/>
      <c r="K64" s="96"/>
      <c r="L64" s="103" t="s">
        <v>195</v>
      </c>
      <c r="M64" s="102">
        <f t="shared" si="12"/>
        <v>4.75</v>
      </c>
      <c r="N64" s="102">
        <f t="shared" si="13"/>
        <v>-1.5612494995996</v>
      </c>
      <c r="O64" s="102">
        <f t="shared" si="14"/>
        <v>0</v>
      </c>
      <c r="P64" s="102">
        <f t="shared" si="15"/>
        <v>0</v>
      </c>
      <c r="Q64" s="102">
        <f t="shared" si="16"/>
        <v>0</v>
      </c>
      <c r="R64" s="102">
        <f t="shared" si="17"/>
        <v>0</v>
      </c>
      <c r="AB64" s="91"/>
      <c r="AJ64" s="95"/>
      <c r="AK64" s="95"/>
    </row>
    <row r="65" spans="3:37">
      <c r="L65" s="103" t="s">
        <v>196</v>
      </c>
      <c r="M65" s="102">
        <f t="shared" si="12"/>
        <v>14.985000000000003</v>
      </c>
      <c r="N65" s="102">
        <f t="shared" si="13"/>
        <v>-10.848952714432851</v>
      </c>
      <c r="O65" s="102">
        <f t="shared" si="14"/>
        <v>14.985000000000003</v>
      </c>
      <c r="P65" s="102">
        <f t="shared" si="15"/>
        <v>-10.848952714432851</v>
      </c>
      <c r="Q65" s="102">
        <f t="shared" si="16"/>
        <v>14.985000000000003</v>
      </c>
      <c r="R65" s="102">
        <f t="shared" si="17"/>
        <v>-10.848952714432851</v>
      </c>
    </row>
    <row r="66" spans="3:37">
      <c r="L66" s="103" t="s">
        <v>197</v>
      </c>
      <c r="M66" s="102">
        <f t="shared" si="12"/>
        <v>17.100000000000001</v>
      </c>
      <c r="N66" s="102">
        <f t="shared" si="13"/>
        <v>-8.2819079927272785</v>
      </c>
      <c r="O66" s="102">
        <f t="shared" si="14"/>
        <v>17.100000000000001</v>
      </c>
      <c r="P66" s="102">
        <f t="shared" si="15"/>
        <v>-8.2819079927272785</v>
      </c>
      <c r="Q66" s="102">
        <f t="shared" si="16"/>
        <v>17.100000000000001</v>
      </c>
      <c r="R66" s="102">
        <f t="shared" si="17"/>
        <v>-8.2819079927272785</v>
      </c>
    </row>
    <row r="67" spans="3:37">
      <c r="L67" s="103" t="s">
        <v>198</v>
      </c>
      <c r="M67" s="102">
        <f t="shared" si="12"/>
        <v>13.68</v>
      </c>
      <c r="N67" s="102">
        <f t="shared" si="13"/>
        <v>-6.6255263941818221</v>
      </c>
      <c r="O67" s="102">
        <f t="shared" si="14"/>
        <v>13.68</v>
      </c>
      <c r="P67" s="102">
        <f t="shared" si="15"/>
        <v>-6.6255263941818221</v>
      </c>
      <c r="Q67" s="102">
        <f t="shared" si="16"/>
        <v>13.68</v>
      </c>
      <c r="R67" s="102">
        <f t="shared" si="17"/>
        <v>-6.6255263941818221</v>
      </c>
    </row>
    <row r="68" spans="3:37">
      <c r="L68" s="103" t="s">
        <v>199</v>
      </c>
      <c r="M68" s="102">
        <f t="shared" si="12"/>
        <v>22.799999999999997</v>
      </c>
      <c r="N68" s="102">
        <f t="shared" si="13"/>
        <v>-7.4939975980780806</v>
      </c>
      <c r="O68" s="102">
        <f t="shared" si="14"/>
        <v>22.799999999999997</v>
      </c>
      <c r="P68" s="102">
        <f t="shared" si="15"/>
        <v>-7.4939975980780806</v>
      </c>
      <c r="Q68" s="102">
        <f t="shared" si="16"/>
        <v>22.799999999999997</v>
      </c>
      <c r="R68" s="102">
        <f t="shared" si="17"/>
        <v>-7.4939975980780806</v>
      </c>
    </row>
    <row r="69" spans="3:37" s="81" customFormat="1">
      <c r="C69" s="82"/>
      <c r="D69" s="82"/>
      <c r="F69" s="82"/>
      <c r="K69" s="96"/>
      <c r="L69" s="103" t="s">
        <v>200</v>
      </c>
      <c r="M69" s="102">
        <f t="shared" si="12"/>
        <v>0</v>
      </c>
      <c r="N69" s="102">
        <f t="shared" si="13"/>
        <v>0</v>
      </c>
      <c r="O69" s="102">
        <f t="shared" si="14"/>
        <v>17.870765814495918</v>
      </c>
      <c r="P69" s="102">
        <f t="shared" si="15"/>
        <v>-2.153074360871936</v>
      </c>
      <c r="Q69" s="102">
        <f t="shared" si="16"/>
        <v>7.070765814495922</v>
      </c>
      <c r="R69" s="102">
        <f t="shared" si="17"/>
        <v>-16.553074360871936</v>
      </c>
      <c r="AB69" s="91"/>
      <c r="AJ69" s="95"/>
      <c r="AK69" s="95"/>
    </row>
    <row r="70" spans="3:37" s="81" customFormat="1">
      <c r="C70" s="82"/>
      <c r="D70" s="82"/>
      <c r="F70" s="82"/>
      <c r="K70" s="96"/>
      <c r="L70" s="103" t="s">
        <v>201</v>
      </c>
      <c r="M70" s="102">
        <f t="shared" si="12"/>
        <v>19</v>
      </c>
      <c r="N70" s="102">
        <f t="shared" si="13"/>
        <v>-6.2449979983984001</v>
      </c>
      <c r="O70" s="102">
        <f t="shared" si="14"/>
        <v>0</v>
      </c>
      <c r="P70" s="102">
        <f t="shared" si="15"/>
        <v>0</v>
      </c>
      <c r="Q70" s="102">
        <f t="shared" si="16"/>
        <v>0</v>
      </c>
      <c r="R70" s="102">
        <f t="shared" si="17"/>
        <v>0</v>
      </c>
      <c r="AB70" s="91"/>
      <c r="AJ70" s="95"/>
      <c r="AK70" s="95"/>
    </row>
    <row r="71" spans="3:37" s="81" customFormat="1">
      <c r="C71" s="82"/>
      <c r="D71" s="82"/>
      <c r="F71" s="82"/>
      <c r="K71" s="96"/>
      <c r="L71" s="103" t="s">
        <v>202</v>
      </c>
      <c r="M71" s="102">
        <f t="shared" si="12"/>
        <v>0</v>
      </c>
      <c r="N71" s="102">
        <f t="shared" si="13"/>
        <v>0</v>
      </c>
      <c r="O71" s="102">
        <f t="shared" si="14"/>
        <v>14.25</v>
      </c>
      <c r="P71" s="102">
        <f t="shared" si="15"/>
        <v>-4.6837484987988001</v>
      </c>
      <c r="Q71" s="102">
        <f t="shared" si="16"/>
        <v>0</v>
      </c>
      <c r="R71" s="102">
        <f t="shared" si="17"/>
        <v>0</v>
      </c>
      <c r="AB71" s="91"/>
      <c r="AJ71" s="95"/>
      <c r="AK71" s="95"/>
    </row>
    <row r="72" spans="3:37">
      <c r="L72" s="103" t="s">
        <v>203</v>
      </c>
      <c r="M72" s="102">
        <f t="shared" si="12"/>
        <v>0</v>
      </c>
      <c r="N72" s="102">
        <f t="shared" si="13"/>
        <v>0</v>
      </c>
      <c r="O72" s="102">
        <f t="shared" si="14"/>
        <v>0</v>
      </c>
      <c r="P72" s="102">
        <f t="shared" si="15"/>
        <v>0</v>
      </c>
      <c r="Q72" s="102">
        <f t="shared" si="16"/>
        <v>14.25</v>
      </c>
      <c r="R72" s="102">
        <f t="shared" si="17"/>
        <v>-4.6837484987988001</v>
      </c>
    </row>
    <row r="73" spans="3:37">
      <c r="L73" s="103" t="s">
        <v>204</v>
      </c>
      <c r="M73" s="102">
        <f t="shared" si="12"/>
        <v>27.2</v>
      </c>
      <c r="N73" s="102">
        <f t="shared" si="13"/>
        <v>-16.857046004564381</v>
      </c>
      <c r="O73" s="102">
        <f t="shared" si="14"/>
        <v>27.2</v>
      </c>
      <c r="P73" s="102">
        <f t="shared" si="15"/>
        <v>-16.857046004564381</v>
      </c>
      <c r="Q73" s="102">
        <f t="shared" si="16"/>
        <v>27.2</v>
      </c>
      <c r="R73" s="102">
        <f t="shared" si="17"/>
        <v>-16.857046004564381</v>
      </c>
    </row>
    <row r="74" spans="3:37">
      <c r="L74" s="103" t="s">
        <v>205</v>
      </c>
      <c r="M74" s="102">
        <f t="shared" si="12"/>
        <v>10</v>
      </c>
      <c r="N74" s="102">
        <f t="shared" si="13"/>
        <v>0</v>
      </c>
      <c r="O74" s="102">
        <f t="shared" si="14"/>
        <v>10</v>
      </c>
      <c r="P74" s="102">
        <f t="shared" si="15"/>
        <v>0</v>
      </c>
      <c r="Q74" s="102">
        <f t="shared" si="16"/>
        <v>10</v>
      </c>
      <c r="R74" s="102">
        <f t="shared" si="17"/>
        <v>0</v>
      </c>
    </row>
    <row r="75" spans="3:37">
      <c r="L75" s="103" t="s">
        <v>206</v>
      </c>
      <c r="M75" s="102">
        <f t="shared" si="12"/>
        <v>0</v>
      </c>
      <c r="N75" s="102">
        <f t="shared" si="13"/>
        <v>0</v>
      </c>
      <c r="O75" s="102">
        <f t="shared" si="14"/>
        <v>0</v>
      </c>
      <c r="P75" s="102">
        <f t="shared" si="15"/>
        <v>0</v>
      </c>
      <c r="Q75" s="102">
        <f t="shared" si="16"/>
        <v>0</v>
      </c>
      <c r="R75" s="102">
        <f t="shared" si="17"/>
        <v>0</v>
      </c>
    </row>
    <row r="76" spans="3:37">
      <c r="L76" s="82"/>
      <c r="M76" s="102">
        <f t="shared" ref="M76:R76" si="18">SUM(M57:M75)</f>
        <v>166.51</v>
      </c>
      <c r="N76" s="102">
        <f t="shared" si="18"/>
        <v>-73.154979066322454</v>
      </c>
      <c r="O76" s="102">
        <f t="shared" si="18"/>
        <v>173.95576581449592</v>
      </c>
      <c r="P76" s="102">
        <f t="shared" si="18"/>
        <v>-73.14218942794254</v>
      </c>
      <c r="Q76" s="102">
        <f t="shared" si="18"/>
        <v>160.89576581449595</v>
      </c>
      <c r="R76" s="102">
        <f t="shared" si="18"/>
        <v>-86.743333670361082</v>
      </c>
    </row>
    <row r="77" spans="3:37">
      <c r="L77" s="82"/>
      <c r="M77" s="99"/>
      <c r="N77" s="104" t="s">
        <v>21</v>
      </c>
      <c r="O77" s="104"/>
      <c r="P77" s="104" t="s">
        <v>22</v>
      </c>
      <c r="Q77" s="104"/>
      <c r="R77" s="104" t="s">
        <v>23</v>
      </c>
    </row>
    <row r="78" spans="3:37">
      <c r="L78" s="82"/>
      <c r="M78" s="99" t="s">
        <v>17</v>
      </c>
      <c r="N78" s="99">
        <f>IMABS(COMPLEX(M76,N76))</f>
        <v>181.87146852157454</v>
      </c>
      <c r="O78" s="99"/>
      <c r="P78" s="99">
        <f>IMABS(COMPLEX(O76,P76))</f>
        <v>188.70714966429014</v>
      </c>
      <c r="Q78" s="99"/>
      <c r="R78" s="99">
        <f>IMABS(COMPLEX(Q76,R76))</f>
        <v>182.78909538941525</v>
      </c>
    </row>
    <row r="79" spans="3:37">
      <c r="L79" s="82"/>
      <c r="M79" s="99" t="s">
        <v>218</v>
      </c>
      <c r="N79" s="99">
        <f>IFERROR(DEGREES(IMARGUMENT(COMPLEX(M76,N76))),0)</f>
        <v>-23.717942333124107</v>
      </c>
      <c r="O79" s="99"/>
      <c r="P79" s="99">
        <f>IFERROR(DEGREES(IMARGUMENT(COMPLEX(O76,P76))),0)</f>
        <v>-22.805015438729811</v>
      </c>
      <c r="Q79" s="99"/>
      <c r="R79" s="99">
        <f>IFERROR(DEGREES(IMARGUMENT(COMPLEX(Q76,R76))),0)</f>
        <v>-28.330328268094398</v>
      </c>
    </row>
    <row r="81" spans="11:19">
      <c r="L81" s="82"/>
      <c r="M81" s="82">
        <f>IFERROR(IMARGUMENT(COMPLEX(M76,N76)),0)</f>
        <v>-0.41395618551116142</v>
      </c>
      <c r="N81" s="82"/>
      <c r="O81" s="82">
        <f>IFERROR(IMARGUMENT(COMPLEX(O76,P76))+M34,0)</f>
        <v>-2.4924177077671699</v>
      </c>
      <c r="P81" s="82"/>
      <c r="Q81" s="82">
        <f>IFERROR(IMARGUMENT(COMPLEX(Q76,R76))+N34,0)</f>
        <v>1.5999375959441253</v>
      </c>
      <c r="R81" s="81"/>
      <c r="S81" s="96"/>
    </row>
    <row r="82" spans="11:19">
      <c r="L82" s="82"/>
      <c r="M82" s="82"/>
      <c r="N82" s="82"/>
      <c r="O82" s="82"/>
      <c r="P82" s="82"/>
      <c r="Q82" s="82"/>
      <c r="R82" s="81"/>
      <c r="S82" s="96"/>
    </row>
    <row r="83" spans="11:19">
      <c r="L83" s="82"/>
      <c r="M83" s="82">
        <f>N78*COS(M81)</f>
        <v>166.51</v>
      </c>
      <c r="N83" s="82"/>
      <c r="O83" s="82">
        <f>P78*COS(O81)</f>
        <v>-150.3208770402598</v>
      </c>
      <c r="P83" s="82"/>
      <c r="Q83" s="82">
        <f>R78*COS(Q81)</f>
        <v>-5.3259523397652133</v>
      </c>
      <c r="R83" s="81"/>
      <c r="S83" s="96"/>
    </row>
    <row r="84" spans="11:19">
      <c r="L84" s="82"/>
      <c r="M84" s="82">
        <f>N78*SIN(M81)</f>
        <v>-73.154979066322497</v>
      </c>
      <c r="N84" s="82"/>
      <c r="O84" s="82">
        <f>P78*SIN(O81)</f>
        <v>-114.07901761615891</v>
      </c>
      <c r="P84" s="82"/>
      <c r="Q84" s="82">
        <f>R78*SIN(Q81)</f>
        <v>182.71148739188595</v>
      </c>
      <c r="R84" s="81"/>
      <c r="S84" s="96"/>
    </row>
    <row r="85" spans="11:19">
      <c r="L85" s="82"/>
      <c r="M85" s="82" t="str">
        <f>COMPLEX(M83,M84)</f>
        <v>166,51-73,1549790663225i</v>
      </c>
      <c r="N85" s="82"/>
      <c r="O85" s="82" t="str">
        <f>COMPLEX(O83,O84)</f>
        <v>-150,32087704026-114,079017616159i</v>
      </c>
      <c r="P85" s="82"/>
      <c r="Q85" s="82" t="str">
        <f>COMPLEX(Q83,Q84)</f>
        <v>-5,32595233976521+182,711487391886i</v>
      </c>
      <c r="R85" s="81"/>
      <c r="S85" s="96"/>
    </row>
    <row r="86" spans="11:19">
      <c r="K86" s="82"/>
      <c r="L86" s="81" t="str">
        <f>COMPLEX($L$2,0)</f>
        <v>0</v>
      </c>
      <c r="M86" s="82"/>
      <c r="N86" s="81" t="str">
        <f>COMPLEX($L$2,0)</f>
        <v>0</v>
      </c>
      <c r="O86" s="81"/>
      <c r="P86" s="81" t="str">
        <f>COMPLEX($L$2,0)</f>
        <v>0</v>
      </c>
    </row>
    <row r="87" spans="11:19">
      <c r="K87" s="82"/>
      <c r="L87" s="81" t="str">
        <f>COMPLEX($L$3,0)</f>
        <v>0</v>
      </c>
      <c r="M87" s="82"/>
      <c r="N87" s="81" t="str">
        <f>COMPLEX($L$3,0)</f>
        <v>0</v>
      </c>
      <c r="O87" s="81"/>
      <c r="P87" s="81" t="str">
        <f>COMPLEX($L$3,0)</f>
        <v>0</v>
      </c>
    </row>
    <row r="88" spans="11:19">
      <c r="K88" s="82"/>
      <c r="L88" s="81" t="str">
        <f>IMPRODUCT(M85,L86,L87)</f>
        <v>0</v>
      </c>
      <c r="M88" s="82"/>
      <c r="N88" s="81" t="str">
        <f>IMPRODUCT(O85,N86,N87)</f>
        <v>0</v>
      </c>
      <c r="O88" s="81"/>
      <c r="P88" s="81" t="str">
        <f>IMPRODUCT(Q85,P86,P87)</f>
        <v>0</v>
      </c>
    </row>
    <row r="89" spans="11:19">
      <c r="L89" s="104" t="s">
        <v>219</v>
      </c>
      <c r="M89" s="104" t="s">
        <v>219</v>
      </c>
      <c r="N89" s="83"/>
    </row>
    <row r="90" spans="11:19">
      <c r="L90" s="98" t="s">
        <v>220</v>
      </c>
      <c r="M90" s="98" t="s">
        <v>221</v>
      </c>
      <c r="N90" s="82"/>
    </row>
    <row r="91" spans="11:19">
      <c r="L91" s="98" t="s">
        <v>222</v>
      </c>
      <c r="M91" s="98" t="s">
        <v>223</v>
      </c>
      <c r="N91" s="82"/>
    </row>
    <row r="92" spans="11:19">
      <c r="L92" s="98" t="s">
        <v>224</v>
      </c>
      <c r="M92" s="98" t="s">
        <v>225</v>
      </c>
      <c r="N92" s="82"/>
    </row>
    <row r="93" spans="11:19">
      <c r="L93" s="98" t="s">
        <v>226</v>
      </c>
      <c r="M93" s="98"/>
      <c r="N93" s="82"/>
    </row>
    <row r="94" spans="11:19">
      <c r="L94" s="98" t="s">
        <v>227</v>
      </c>
      <c r="M94" s="98"/>
      <c r="N94" s="82"/>
    </row>
    <row r="95" spans="11:19">
      <c r="L95" s="98" t="s">
        <v>228</v>
      </c>
      <c r="M95" s="98"/>
      <c r="N95" s="82"/>
    </row>
    <row r="96" spans="11:19">
      <c r="L96" s="98" t="s">
        <v>229</v>
      </c>
      <c r="M96" s="98"/>
      <c r="N96" s="82"/>
    </row>
  </sheetData>
  <mergeCells count="4">
    <mergeCell ref="AG22:AH22"/>
    <mergeCell ref="AM22:AN22"/>
    <mergeCell ref="AW22:AX22"/>
    <mergeCell ref="B30:D31"/>
  </mergeCells>
  <phoneticPr fontId="34" type="noConversion"/>
  <hyperlinks>
    <hyperlink ref="B30" location="Forside!G8" display="Tilbage til forsiden" xr:uid="{00000000-0004-0000-0200-000000000000}"/>
    <hyperlink ref="D30" location="Forside!G8" display="Forside!G8" xr:uid="{00000000-0004-0000-0200-000001000000}"/>
    <hyperlink ref="B31" location="Forside!G8" display="Forside!G8" xr:uid="{00000000-0004-0000-0200-000002000000}"/>
    <hyperlink ref="D31" location="Forside!G8" display="Forside!G8" xr:uid="{00000000-0004-0000-0200-000003000000}"/>
  </hyperlinks>
  <pageMargins left="0.75" right="0.75" top="1" bottom="1" header="0" footer="0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Drop Down 1">
              <controlPr defaultSize="0" autoLine="0" autoPict="0">
                <anchor moveWithCells="1">
                  <from>
                    <xdr:col>1</xdr:col>
                    <xdr:colOff>69850</xdr:colOff>
                    <xdr:row>5</xdr:row>
                    <xdr:rowOff>19050</xdr:rowOff>
                  </from>
                  <to>
                    <xdr:col>1</xdr:col>
                    <xdr:colOff>1022350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Drop Down 2">
              <controlPr defaultSize="0" autoLine="0" autoPict="0">
                <anchor moveWithCells="1">
                  <from>
                    <xdr:col>5</xdr:col>
                    <xdr:colOff>31750</xdr:colOff>
                    <xdr:row>6</xdr:row>
                    <xdr:rowOff>0</xdr:rowOff>
                  </from>
                  <to>
                    <xdr:col>6</xdr:col>
                    <xdr:colOff>266700</xdr:colOff>
                    <xdr:row>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Drop Down 3">
              <controlPr defaultSize="0" autoLine="0" autoPict="0">
                <anchor moveWithCells="1">
                  <from>
                    <xdr:col>5</xdr:col>
                    <xdr:colOff>31750</xdr:colOff>
                    <xdr:row>7</xdr:row>
                    <xdr:rowOff>0</xdr:rowOff>
                  </from>
                  <to>
                    <xdr:col>6</xdr:col>
                    <xdr:colOff>266700</xdr:colOff>
                    <xdr:row>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Drop Down 4">
              <controlPr defaultSize="0" autoLine="0" autoPict="0">
                <anchor moveWithCells="1">
                  <from>
                    <xdr:col>5</xdr:col>
                    <xdr:colOff>31750</xdr:colOff>
                    <xdr:row>8</xdr:row>
                    <xdr:rowOff>31750</xdr:rowOff>
                  </from>
                  <to>
                    <xdr:col>6</xdr:col>
                    <xdr:colOff>266700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Drop Down 5">
              <controlPr defaultSize="0" autoLine="0" autoPict="0">
                <anchor moveWithCells="1">
                  <from>
                    <xdr:col>5</xdr:col>
                    <xdr:colOff>31750</xdr:colOff>
                    <xdr:row>9</xdr:row>
                    <xdr:rowOff>19050</xdr:rowOff>
                  </from>
                  <to>
                    <xdr:col>6</xdr:col>
                    <xdr:colOff>266700</xdr:colOff>
                    <xdr:row>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Drop Down 6">
              <controlPr defaultSize="0" autoLine="0" autoPict="0">
                <anchor moveWithCells="1">
                  <from>
                    <xdr:col>5</xdr:col>
                    <xdr:colOff>31750</xdr:colOff>
                    <xdr:row>10</xdr:row>
                    <xdr:rowOff>19050</xdr:rowOff>
                  </from>
                  <to>
                    <xdr:col>6</xdr:col>
                    <xdr:colOff>266700</xdr:colOff>
                    <xdr:row>10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Drop Down 7">
              <controlPr defaultSize="0" autoLine="0" autoPict="0">
                <anchor moveWithCells="1">
                  <from>
                    <xdr:col>5</xdr:col>
                    <xdr:colOff>31750</xdr:colOff>
                    <xdr:row>11</xdr:row>
                    <xdr:rowOff>31750</xdr:rowOff>
                  </from>
                  <to>
                    <xdr:col>6</xdr:col>
                    <xdr:colOff>266700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Drop Down 8">
              <controlPr defaultSize="0" autoLine="0" autoPict="0">
                <anchor moveWithCells="1">
                  <from>
                    <xdr:col>5</xdr:col>
                    <xdr:colOff>31750</xdr:colOff>
                    <xdr:row>12</xdr:row>
                    <xdr:rowOff>31750</xdr:rowOff>
                  </from>
                  <to>
                    <xdr:col>6</xdr:col>
                    <xdr:colOff>266700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2" name="Drop Down 9">
              <controlPr defaultSize="0" autoLine="0" autoPict="0">
                <anchor moveWithCells="1">
                  <from>
                    <xdr:col>5</xdr:col>
                    <xdr:colOff>31750</xdr:colOff>
                    <xdr:row>13</xdr:row>
                    <xdr:rowOff>19050</xdr:rowOff>
                  </from>
                  <to>
                    <xdr:col>6</xdr:col>
                    <xdr:colOff>266700</xdr:colOff>
                    <xdr:row>13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3" name="Drop Down 10">
              <controlPr defaultSize="0" autoLine="0" autoPict="0">
                <anchor moveWithCells="1">
                  <from>
                    <xdr:col>5</xdr:col>
                    <xdr:colOff>31750</xdr:colOff>
                    <xdr:row>14</xdr:row>
                    <xdr:rowOff>19050</xdr:rowOff>
                  </from>
                  <to>
                    <xdr:col>6</xdr:col>
                    <xdr:colOff>266700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4" name="Drop Down 11">
              <controlPr defaultSize="0" autoLine="0" autoPict="0">
                <anchor moveWithCells="1">
                  <from>
                    <xdr:col>5</xdr:col>
                    <xdr:colOff>31750</xdr:colOff>
                    <xdr:row>15</xdr:row>
                    <xdr:rowOff>31750</xdr:rowOff>
                  </from>
                  <to>
                    <xdr:col>6</xdr:col>
                    <xdr:colOff>266700</xdr:colOff>
                    <xdr:row>15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5" name="Drop Down 12">
              <controlPr defaultSize="0" autoLine="0" autoPict="0">
                <anchor moveWithCells="1">
                  <from>
                    <xdr:col>5</xdr:col>
                    <xdr:colOff>31750</xdr:colOff>
                    <xdr:row>16</xdr:row>
                    <xdr:rowOff>31750</xdr:rowOff>
                  </from>
                  <to>
                    <xdr:col>6</xdr:col>
                    <xdr:colOff>266700</xdr:colOff>
                    <xdr:row>16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6" name="Drop Down 13">
              <controlPr defaultSize="0" autoLine="0" autoPict="0">
                <anchor moveWithCells="1">
                  <from>
                    <xdr:col>5</xdr:col>
                    <xdr:colOff>31750</xdr:colOff>
                    <xdr:row>17</xdr:row>
                    <xdr:rowOff>19050</xdr:rowOff>
                  </from>
                  <to>
                    <xdr:col>6</xdr:col>
                    <xdr:colOff>266700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7" name="Drop Down 14">
              <controlPr defaultSize="0" autoLine="0" autoPict="0">
                <anchor moveWithCells="1">
                  <from>
                    <xdr:col>5</xdr:col>
                    <xdr:colOff>31750</xdr:colOff>
                    <xdr:row>18</xdr:row>
                    <xdr:rowOff>19050</xdr:rowOff>
                  </from>
                  <to>
                    <xdr:col>6</xdr:col>
                    <xdr:colOff>266700</xdr:colOff>
                    <xdr:row>18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8" name="Drop Down 15">
              <controlPr defaultSize="0" autoLine="0" autoPict="0">
                <anchor moveWithCells="1">
                  <from>
                    <xdr:col>5</xdr:col>
                    <xdr:colOff>31750</xdr:colOff>
                    <xdr:row>19</xdr:row>
                    <xdr:rowOff>19050</xdr:rowOff>
                  </from>
                  <to>
                    <xdr:col>6</xdr:col>
                    <xdr:colOff>266700</xdr:colOff>
                    <xdr:row>19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9" name="Drop Down 16">
              <controlPr defaultSize="0" autoLine="0" autoPict="0">
                <anchor moveWithCells="1">
                  <from>
                    <xdr:col>5</xdr:col>
                    <xdr:colOff>31750</xdr:colOff>
                    <xdr:row>20</xdr:row>
                    <xdr:rowOff>19050</xdr:rowOff>
                  </from>
                  <to>
                    <xdr:col>6</xdr:col>
                    <xdr:colOff>266700</xdr:colOff>
                    <xdr:row>20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20" name="Drop Down 17">
              <controlPr defaultSize="0" autoLine="0" autoPict="0">
                <anchor moveWithCells="1">
                  <from>
                    <xdr:col>5</xdr:col>
                    <xdr:colOff>31750</xdr:colOff>
                    <xdr:row>21</xdr:row>
                    <xdr:rowOff>0</xdr:rowOff>
                  </from>
                  <to>
                    <xdr:col>6</xdr:col>
                    <xdr:colOff>266700</xdr:colOff>
                    <xdr:row>21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1" name="Drop Down 18">
              <controlPr defaultSize="0" autoLine="0" autoPict="0">
                <anchor moveWithCells="1">
                  <from>
                    <xdr:col>5</xdr:col>
                    <xdr:colOff>31750</xdr:colOff>
                    <xdr:row>22</xdr:row>
                    <xdr:rowOff>31750</xdr:rowOff>
                  </from>
                  <to>
                    <xdr:col>6</xdr:col>
                    <xdr:colOff>266700</xdr:colOff>
                    <xdr:row>22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2" name="Drop Down 19">
              <controlPr defaultSize="0" autoLine="0" autoPict="0">
                <anchor moveWithCells="1">
                  <from>
                    <xdr:col>5</xdr:col>
                    <xdr:colOff>31750</xdr:colOff>
                    <xdr:row>23</xdr:row>
                    <xdr:rowOff>31750</xdr:rowOff>
                  </from>
                  <to>
                    <xdr:col>6</xdr:col>
                    <xdr:colOff>266700</xdr:colOff>
                    <xdr:row>23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3" name="Drop Down 20">
              <controlPr defaultSize="0" autoLine="0" autoPict="0">
                <anchor moveWithCells="1">
                  <from>
                    <xdr:col>1</xdr:col>
                    <xdr:colOff>69850</xdr:colOff>
                    <xdr:row>6</xdr:row>
                    <xdr:rowOff>19050</xdr:rowOff>
                  </from>
                  <to>
                    <xdr:col>1</xdr:col>
                    <xdr:colOff>1022350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4" name="Drop Down 21">
              <controlPr defaultSize="0" autoLine="0" autoPict="0">
                <anchor moveWithCells="1">
                  <from>
                    <xdr:col>1</xdr:col>
                    <xdr:colOff>69850</xdr:colOff>
                    <xdr:row>7</xdr:row>
                    <xdr:rowOff>19050</xdr:rowOff>
                  </from>
                  <to>
                    <xdr:col>1</xdr:col>
                    <xdr:colOff>1022350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5" name="Drop Down 22">
              <controlPr defaultSize="0" autoLine="0" autoPict="0">
                <anchor moveWithCells="1">
                  <from>
                    <xdr:col>1</xdr:col>
                    <xdr:colOff>69850</xdr:colOff>
                    <xdr:row>8</xdr:row>
                    <xdr:rowOff>19050</xdr:rowOff>
                  </from>
                  <to>
                    <xdr:col>1</xdr:col>
                    <xdr:colOff>1022350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6" name="Drop Down 23">
              <controlPr defaultSize="0" autoLine="0" autoPict="0">
                <anchor moveWithCells="1">
                  <from>
                    <xdr:col>1</xdr:col>
                    <xdr:colOff>69850</xdr:colOff>
                    <xdr:row>9</xdr:row>
                    <xdr:rowOff>19050</xdr:rowOff>
                  </from>
                  <to>
                    <xdr:col>1</xdr:col>
                    <xdr:colOff>1022350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7" name="Drop Down 24">
              <controlPr defaultSize="0" autoLine="0" autoPict="0">
                <anchor moveWithCells="1">
                  <from>
                    <xdr:col>1</xdr:col>
                    <xdr:colOff>69850</xdr:colOff>
                    <xdr:row>10</xdr:row>
                    <xdr:rowOff>19050</xdr:rowOff>
                  </from>
                  <to>
                    <xdr:col>1</xdr:col>
                    <xdr:colOff>1022350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8" name="Drop Down 25">
              <controlPr defaultSize="0" autoLine="0" autoPict="0">
                <anchor moveWithCells="1">
                  <from>
                    <xdr:col>1</xdr:col>
                    <xdr:colOff>69850</xdr:colOff>
                    <xdr:row>11</xdr:row>
                    <xdr:rowOff>19050</xdr:rowOff>
                  </from>
                  <to>
                    <xdr:col>1</xdr:col>
                    <xdr:colOff>1022350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29" name="Drop Down 26">
              <controlPr defaultSize="0" autoLine="0" autoPict="0">
                <anchor moveWithCells="1">
                  <from>
                    <xdr:col>1</xdr:col>
                    <xdr:colOff>69850</xdr:colOff>
                    <xdr:row>12</xdr:row>
                    <xdr:rowOff>19050</xdr:rowOff>
                  </from>
                  <to>
                    <xdr:col>1</xdr:col>
                    <xdr:colOff>1022350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30" name="Drop Down 27">
              <controlPr defaultSize="0" autoLine="0" autoPict="0">
                <anchor moveWithCells="1">
                  <from>
                    <xdr:col>1</xdr:col>
                    <xdr:colOff>69850</xdr:colOff>
                    <xdr:row>13</xdr:row>
                    <xdr:rowOff>19050</xdr:rowOff>
                  </from>
                  <to>
                    <xdr:col>1</xdr:col>
                    <xdr:colOff>1022350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31" name="Drop Down 28">
              <controlPr defaultSize="0" autoLine="0" autoPict="0">
                <anchor moveWithCells="1">
                  <from>
                    <xdr:col>1</xdr:col>
                    <xdr:colOff>69850</xdr:colOff>
                    <xdr:row>14</xdr:row>
                    <xdr:rowOff>19050</xdr:rowOff>
                  </from>
                  <to>
                    <xdr:col>1</xdr:col>
                    <xdr:colOff>1022350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32" name="Drop Down 29">
              <controlPr defaultSize="0" autoLine="0" autoPict="0">
                <anchor moveWithCells="1">
                  <from>
                    <xdr:col>1</xdr:col>
                    <xdr:colOff>69850</xdr:colOff>
                    <xdr:row>15</xdr:row>
                    <xdr:rowOff>19050</xdr:rowOff>
                  </from>
                  <to>
                    <xdr:col>1</xdr:col>
                    <xdr:colOff>1022350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33" name="Drop Down 30">
              <controlPr defaultSize="0" autoLine="0" autoPict="0">
                <anchor moveWithCells="1">
                  <from>
                    <xdr:col>1</xdr:col>
                    <xdr:colOff>69850</xdr:colOff>
                    <xdr:row>16</xdr:row>
                    <xdr:rowOff>19050</xdr:rowOff>
                  </from>
                  <to>
                    <xdr:col>1</xdr:col>
                    <xdr:colOff>1022350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7" r:id="rId34" name="Drop Down 31">
              <controlPr defaultSize="0" autoLine="0" autoPict="0">
                <anchor moveWithCells="1">
                  <from>
                    <xdr:col>1</xdr:col>
                    <xdr:colOff>69850</xdr:colOff>
                    <xdr:row>17</xdr:row>
                    <xdr:rowOff>19050</xdr:rowOff>
                  </from>
                  <to>
                    <xdr:col>1</xdr:col>
                    <xdr:colOff>1022350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8" r:id="rId35" name="Drop Down 32">
              <controlPr defaultSize="0" autoLine="0" autoPict="0">
                <anchor moveWithCells="1">
                  <from>
                    <xdr:col>1</xdr:col>
                    <xdr:colOff>69850</xdr:colOff>
                    <xdr:row>18</xdr:row>
                    <xdr:rowOff>19050</xdr:rowOff>
                  </from>
                  <to>
                    <xdr:col>1</xdr:col>
                    <xdr:colOff>1022350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9" r:id="rId36" name="Drop Down 33">
              <controlPr defaultSize="0" autoLine="0" autoPict="0">
                <anchor moveWithCells="1">
                  <from>
                    <xdr:col>1</xdr:col>
                    <xdr:colOff>69850</xdr:colOff>
                    <xdr:row>19</xdr:row>
                    <xdr:rowOff>19050</xdr:rowOff>
                  </from>
                  <to>
                    <xdr:col>1</xdr:col>
                    <xdr:colOff>1022350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0" r:id="rId37" name="Drop Down 34">
              <controlPr defaultSize="0" autoLine="0" autoPict="0">
                <anchor moveWithCells="1">
                  <from>
                    <xdr:col>1</xdr:col>
                    <xdr:colOff>69850</xdr:colOff>
                    <xdr:row>20</xdr:row>
                    <xdr:rowOff>19050</xdr:rowOff>
                  </from>
                  <to>
                    <xdr:col>1</xdr:col>
                    <xdr:colOff>1022350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1" r:id="rId38" name="Drop Down 35">
              <controlPr defaultSize="0" autoLine="0" autoPict="0">
                <anchor moveWithCells="1">
                  <from>
                    <xdr:col>1</xdr:col>
                    <xdr:colOff>69850</xdr:colOff>
                    <xdr:row>21</xdr:row>
                    <xdr:rowOff>19050</xdr:rowOff>
                  </from>
                  <to>
                    <xdr:col>1</xdr:col>
                    <xdr:colOff>1022350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2" r:id="rId39" name="Drop Down 36">
              <controlPr defaultSize="0" autoLine="0" autoPict="0">
                <anchor moveWithCells="1">
                  <from>
                    <xdr:col>1</xdr:col>
                    <xdr:colOff>69850</xdr:colOff>
                    <xdr:row>22</xdr:row>
                    <xdr:rowOff>19050</xdr:rowOff>
                  </from>
                  <to>
                    <xdr:col>1</xdr:col>
                    <xdr:colOff>1022350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3" r:id="rId40" name="Drop Down 37">
              <controlPr defaultSize="0" autoLine="0" autoPict="0">
                <anchor moveWithCells="1">
                  <from>
                    <xdr:col>1</xdr:col>
                    <xdr:colOff>69850</xdr:colOff>
                    <xdr:row>23</xdr:row>
                    <xdr:rowOff>19050</xdr:rowOff>
                  </from>
                  <to>
                    <xdr:col>1</xdr:col>
                    <xdr:colOff>1022350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4" r:id="rId41" name="Drop Down 38">
              <controlPr defaultSize="0" autoLine="0" autoPict="0">
                <anchor moveWithCells="1">
                  <from>
                    <xdr:col>5</xdr:col>
                    <xdr:colOff>31750</xdr:colOff>
                    <xdr:row>5</xdr:row>
                    <xdr:rowOff>19050</xdr:rowOff>
                  </from>
                  <to>
                    <xdr:col>6</xdr:col>
                    <xdr:colOff>285750</xdr:colOff>
                    <xdr:row>5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6"/>
  <sheetViews>
    <sheetView workbookViewId="0">
      <selection activeCell="A15" sqref="A15"/>
    </sheetView>
  </sheetViews>
  <sheetFormatPr defaultColWidth="11" defaultRowHeight="15.5"/>
  <cols>
    <col min="1" max="1" width="19.33203125" bestFit="1" customWidth="1"/>
    <col min="2" max="2" width="19.5" bestFit="1" customWidth="1"/>
    <col min="3" max="3" width="2" customWidth="1"/>
    <col min="4" max="4" width="49.75" customWidth="1"/>
    <col min="5" max="6" width="15.83203125" customWidth="1"/>
    <col min="7" max="7" width="19.83203125" customWidth="1"/>
    <col min="8" max="8" width="17.5" customWidth="1"/>
    <col min="9" max="9" width="20.75" customWidth="1"/>
    <col min="10" max="10" width="8" customWidth="1"/>
    <col min="11" max="11" width="14.25" bestFit="1" customWidth="1"/>
    <col min="12" max="12" width="12.5" customWidth="1"/>
    <col min="13" max="13" width="14.75" customWidth="1"/>
    <col min="16" max="16" width="14.25" customWidth="1"/>
    <col min="17" max="17" width="8" customWidth="1"/>
    <col min="18" max="18" width="9.33203125" customWidth="1"/>
    <col min="19" max="19" width="20.75" customWidth="1"/>
    <col min="20" max="20" width="8" customWidth="1"/>
    <col min="21" max="21" width="10.25" customWidth="1"/>
    <col min="22" max="22" width="17.5" customWidth="1"/>
    <col min="23" max="23" width="8" customWidth="1"/>
  </cols>
  <sheetData>
    <row r="1" spans="1:34">
      <c r="B1" s="27"/>
      <c r="C1" s="27"/>
      <c r="D1" s="29"/>
      <c r="F1" s="26"/>
      <c r="G1" s="27"/>
      <c r="H1" s="27"/>
      <c r="I1" s="27"/>
      <c r="J1" s="27"/>
      <c r="K1" s="27"/>
      <c r="L1" s="27"/>
      <c r="M1" s="27"/>
      <c r="N1" s="27"/>
      <c r="O1" s="27"/>
      <c r="P1" s="29"/>
    </row>
    <row r="2" spans="1:34">
      <c r="D2" s="31"/>
      <c r="F2" s="30"/>
      <c r="G2" s="163"/>
      <c r="H2" s="163"/>
      <c r="I2" s="163"/>
      <c r="J2" s="25"/>
      <c r="P2" s="31"/>
    </row>
    <row r="3" spans="1:34">
      <c r="D3" s="31"/>
      <c r="F3" s="30"/>
      <c r="G3" s="25"/>
      <c r="H3" s="25"/>
      <c r="I3" s="25"/>
      <c r="J3" s="25"/>
      <c r="P3" s="31"/>
    </row>
    <row r="4" spans="1:34">
      <c r="D4" s="31"/>
      <c r="F4" s="30"/>
      <c r="P4" s="31"/>
    </row>
    <row r="5" spans="1:34">
      <c r="D5" s="31"/>
      <c r="F5" s="30"/>
      <c r="P5" s="31"/>
      <c r="AH5" s="38"/>
    </row>
    <row r="6" spans="1:34">
      <c r="D6" s="31"/>
      <c r="F6" s="30"/>
      <c r="P6" s="31"/>
      <c r="AC6" s="25"/>
    </row>
    <row r="7" spans="1:34">
      <c r="D7" s="31"/>
      <c r="F7" s="30"/>
      <c r="P7" s="31"/>
    </row>
    <row r="8" spans="1:34">
      <c r="D8" s="31"/>
      <c r="F8" s="30"/>
      <c r="P8" s="31"/>
    </row>
    <row r="9" spans="1:34">
      <c r="D9" s="31"/>
      <c r="F9" s="30"/>
      <c r="P9" s="31"/>
    </row>
    <row r="10" spans="1:34">
      <c r="D10" s="31"/>
      <c r="F10" s="30"/>
      <c r="P10" s="31"/>
    </row>
    <row r="11" spans="1:34">
      <c r="D11" s="31"/>
      <c r="F11" s="30"/>
      <c r="P11" s="31"/>
    </row>
    <row r="12" spans="1:34">
      <c r="D12" s="31"/>
      <c r="F12" s="30"/>
      <c r="P12" s="31"/>
    </row>
    <row r="13" spans="1:34">
      <c r="A13" s="115" t="str">
        <f>"Sikring valgt: "&amp;'Lister og genveje'!AW2&amp;" [A] "&amp;'Lister og genveje'!AW1&amp;IF('Lister og genveje'!AW2&lt;=20,"+ ( HPFI 4 pol/40 [A] ifølge SB 6B, §4.4 siger at klasse II materiale IKKE behøver HPFI)","")</f>
        <v>Sikring valgt: 200 [A] NH 1</v>
      </c>
      <c r="D13" s="31"/>
      <c r="F13" s="30"/>
      <c r="P13" s="31"/>
      <c r="AE13" s="75"/>
    </row>
    <row r="14" spans="1:34">
      <c r="A14" s="115" t="str">
        <f>"Afbryder: "&amp;'Lister og genveje'!AV6</f>
        <v>Afbryder: INFD 250</v>
      </c>
      <c r="D14" s="31"/>
      <c r="F14" s="30"/>
      <c r="G14" s="162" t="str">
        <f>"Valgt automatsikring: "&amp;'Lister og genveje'!AZ1</f>
        <v>Valgt automatsikring: C60N</v>
      </c>
      <c r="H14" s="162"/>
      <c r="I14" s="162" t="str">
        <f>'Lister og genveje'!AZ3&amp;'Lister og genveje'!AZ2&amp;" A"</f>
        <v>B63 A</v>
      </c>
      <c r="J14" s="162"/>
      <c r="P14" s="31"/>
    </row>
    <row r="15" spans="1:34">
      <c r="A15" s="115" t="str">
        <f>"Kortslutningsniveau: "&amp;'Lister og genveje'!AV5</f>
        <v>Kortslutningsniveau: 40 kA</v>
      </c>
      <c r="D15" s="31"/>
      <c r="F15" s="30"/>
      <c r="G15" s="162" t="str">
        <f>"In = "&amp;'Lister og genveje'!AZ2&amp;" [ A ]"</f>
        <v>In = 63 [ A ]</v>
      </c>
      <c r="H15" s="162"/>
      <c r="I15" s="162" t="str">
        <f>"In = "&amp;'Lister og genveje'!AZ2&amp;" [A]"</f>
        <v>In = 63 [A]</v>
      </c>
      <c r="J15" s="162"/>
      <c r="P15" s="31"/>
    </row>
    <row r="16" spans="1:34">
      <c r="A16" s="115"/>
      <c r="D16" s="31"/>
      <c r="F16" s="30"/>
      <c r="G16" s="162" t="str">
        <f>"Icu = "&amp;'Lister og genveje'!AY10&amp;" [ kA ]"</f>
        <v>Icu = 10 [ kA ]</v>
      </c>
      <c r="H16" s="162"/>
      <c r="I16" s="162" t="str">
        <f>"Isd ="&amp;'Lister og genveje'!AY8&amp;" til "&amp;'Lister og genveje'!AY7&amp;" x "&amp;'Lister og genveje'!AZ2&amp;" In -&gt;  Isd ="&amp;'Lister og genveje'!AZ2*'Lister og genveje'!AY8&amp;" - "&amp;'Lister og genveje'!AY7*'Lister og genveje'!AZ2&amp;" [ A ]"</f>
        <v>Isd =3 til 5 x 63 In -&gt;  Isd =189 - 315 [ A ]</v>
      </c>
      <c r="J16" s="162"/>
      <c r="P16" s="31"/>
    </row>
    <row r="17" spans="1:16">
      <c r="A17" s="115" t="str">
        <f>"Maks strøm i 5 sec. = "&amp;'Lister og genveje'!AV7&amp;" [ A ]"</f>
        <v>Maks strøm i 5 sec. = 1400 [ A ]</v>
      </c>
      <c r="D17" s="31"/>
      <c r="F17" s="30"/>
      <c r="G17" s="162" t="str">
        <f>"Ics = "&amp;'Lister og genveje'!AY9&amp;" x Icu"</f>
        <v>Ics = 0,75 x Icu</v>
      </c>
      <c r="H17" s="162"/>
      <c r="I17" s="115"/>
      <c r="J17" s="112"/>
      <c r="P17" s="31"/>
    </row>
    <row r="18" spans="1:16">
      <c r="D18" s="31"/>
      <c r="F18" s="30"/>
      <c r="G18" s="162" t="str">
        <f>"Ics = "&amp;'Lister og genveje'!AY9&amp;" x "&amp;'Lister og genveje'!AY10&amp;" [ kA ]"&amp;"  -&gt;  Ics = "&amp;'Lister og genveje'!AY9*'Lister og genveje'!AY10&amp;" [ kA ]"</f>
        <v>Ics = 0,75 x 10 [ kA ]  -&gt;  Ics = 7,5 [ kA ]</v>
      </c>
      <c r="H18" s="162"/>
      <c r="I18" s="115"/>
      <c r="J18" s="112"/>
      <c r="P18" s="31"/>
    </row>
    <row r="19" spans="1:16">
      <c r="D19" s="31"/>
      <c r="F19" s="30"/>
      <c r="G19" s="164"/>
      <c r="H19" s="164"/>
      <c r="I19" s="115"/>
      <c r="J19" s="112"/>
      <c r="P19" s="31"/>
    </row>
    <row r="20" spans="1:16" ht="16" thickBot="1">
      <c r="A20" s="33"/>
      <c r="B20" s="34"/>
      <c r="C20" s="34"/>
      <c r="D20" s="35"/>
      <c r="F20" s="30"/>
      <c r="G20" s="162" t="str">
        <f>"Valgt ud fra "&amp;'Lister og genveje'!AY11</f>
        <v>Valgt ud fra EN60898</v>
      </c>
      <c r="H20" s="162"/>
      <c r="I20" s="112"/>
      <c r="J20" s="112"/>
      <c r="P20" s="31"/>
    </row>
    <row r="21" spans="1:16" ht="16" thickBot="1">
      <c r="F21" s="30"/>
      <c r="G21" s="112"/>
      <c r="H21" s="112"/>
      <c r="I21" s="112"/>
      <c r="J21" s="112"/>
      <c r="P21" s="31"/>
    </row>
    <row r="22" spans="1:16">
      <c r="C22" s="124" t="s">
        <v>28</v>
      </c>
      <c r="D22" s="125"/>
      <c r="F22" s="30"/>
      <c r="P22" s="31"/>
    </row>
    <row r="23" spans="1:16" ht="16" thickBot="1">
      <c r="C23" s="126"/>
      <c r="D23" s="127"/>
      <c r="F23" s="30"/>
      <c r="P23" s="31"/>
    </row>
    <row r="24" spans="1:16">
      <c r="F24" s="30"/>
      <c r="P24" s="31"/>
    </row>
    <row r="25" spans="1:16">
      <c r="F25" s="30"/>
      <c r="P25" s="31"/>
    </row>
    <row r="26" spans="1:16" ht="16" thickBot="1">
      <c r="F26" s="33"/>
      <c r="G26" s="34"/>
      <c r="H26" s="34"/>
      <c r="I26" s="34"/>
      <c r="J26" s="34"/>
      <c r="K26" s="34"/>
      <c r="L26" s="34"/>
      <c r="M26" s="34"/>
      <c r="N26" s="34"/>
      <c r="O26" s="34"/>
      <c r="P26" s="35"/>
    </row>
  </sheetData>
  <mergeCells count="12">
    <mergeCell ref="C22:D23"/>
    <mergeCell ref="G18:H18"/>
    <mergeCell ref="G2:I2"/>
    <mergeCell ref="G20:H20"/>
    <mergeCell ref="G14:H14"/>
    <mergeCell ref="G15:H15"/>
    <mergeCell ref="G16:H16"/>
    <mergeCell ref="G17:H17"/>
    <mergeCell ref="I15:J15"/>
    <mergeCell ref="I16:J16"/>
    <mergeCell ref="I14:J14"/>
    <mergeCell ref="G19:H19"/>
  </mergeCells>
  <hyperlinks>
    <hyperlink ref="C22" location="Forside!G8" display="Tilbage til forsiden" xr:uid="{00000000-0004-0000-0300-000000000000}"/>
    <hyperlink ref="D22" location="Forside!G8" display="Forside!G8" xr:uid="{00000000-0004-0000-0300-000001000000}"/>
    <hyperlink ref="C23" location="Forside!G8" display="Forside!G8" xr:uid="{00000000-0004-0000-0300-000002000000}"/>
    <hyperlink ref="D23" location="Forside!G8" display="Forside!G8" xr:uid="{00000000-0004-0000-0300-000003000000}"/>
  </hyperlink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5:I29"/>
  <sheetViews>
    <sheetView workbookViewId="0">
      <selection activeCell="I5" sqref="I5"/>
    </sheetView>
  </sheetViews>
  <sheetFormatPr defaultColWidth="11" defaultRowHeight="15.5"/>
  <cols>
    <col min="1" max="1" width="9.33203125" customWidth="1"/>
    <col min="2" max="2" width="14.25" bestFit="1" customWidth="1"/>
    <col min="3" max="3" width="32.33203125" customWidth="1"/>
    <col min="4" max="5" width="10.25" customWidth="1"/>
    <col min="6" max="6" width="14.25" customWidth="1"/>
    <col min="7" max="7" width="15.33203125" customWidth="1"/>
    <col min="8" max="8" width="11.83203125" customWidth="1"/>
    <col min="9" max="9" width="14.75" bestFit="1" customWidth="1"/>
    <col min="10" max="10" width="10.25" customWidth="1"/>
    <col min="11" max="14" width="9.75" customWidth="1"/>
    <col min="15" max="15" width="8.75" customWidth="1"/>
    <col min="16" max="33" width="9.75" customWidth="1"/>
    <col min="34" max="34" width="10.25" customWidth="1"/>
    <col min="35" max="35" width="9.75" customWidth="1"/>
    <col min="36" max="36" width="7.83203125" customWidth="1"/>
    <col min="37" max="37" width="9.75" customWidth="1"/>
    <col min="38" max="38" width="7.83203125" customWidth="1"/>
    <col min="39" max="39" width="6.25" customWidth="1"/>
    <col min="40" max="40" width="5.25" customWidth="1"/>
    <col min="41" max="41" width="9.75" customWidth="1"/>
    <col min="42" max="42" width="7.83203125" customWidth="1"/>
    <col min="43" max="43" width="6.25" customWidth="1"/>
    <col min="44" max="44" width="9.75" customWidth="1"/>
    <col min="45" max="45" width="7.83203125" customWidth="1"/>
    <col min="46" max="46" width="6.25" customWidth="1"/>
    <col min="47" max="47" width="9.75" customWidth="1"/>
    <col min="48" max="48" width="7.83203125" customWidth="1"/>
    <col min="49" max="49" width="6.25" customWidth="1"/>
    <col min="50" max="50" width="9.75" customWidth="1"/>
    <col min="51" max="51" width="7.83203125" customWidth="1"/>
    <col min="52" max="52" width="9.75" customWidth="1"/>
    <col min="53" max="53" width="6.83203125" customWidth="1"/>
    <col min="54" max="54" width="6.25" customWidth="1"/>
    <col min="55" max="55" width="8.75" customWidth="1"/>
    <col min="56" max="57" width="6.25" customWidth="1"/>
    <col min="58" max="58" width="7.75" customWidth="1"/>
    <col min="59" max="59" width="6.83203125" customWidth="1"/>
    <col min="60" max="60" width="6.25" customWidth="1"/>
    <col min="61" max="61" width="8.75" customWidth="1"/>
    <col min="62" max="62" width="6.83203125" customWidth="1"/>
    <col min="63" max="63" width="6.25" customWidth="1"/>
    <col min="64" max="64" width="8.75" customWidth="1"/>
    <col min="65" max="65" width="6.83203125" customWidth="1"/>
    <col min="66" max="66" width="6.25" customWidth="1"/>
    <col min="67" max="67" width="8.75" customWidth="1"/>
    <col min="68" max="68" width="6.83203125" customWidth="1"/>
    <col min="69" max="69" width="6.25" customWidth="1"/>
    <col min="70" max="70" width="8.75" customWidth="1"/>
    <col min="71" max="71" width="6.83203125" customWidth="1"/>
    <col min="72" max="72" width="8.75" customWidth="1"/>
    <col min="73" max="73" width="6.83203125" customWidth="1"/>
    <col min="74" max="74" width="8.75" customWidth="1"/>
    <col min="75" max="75" width="7.33203125" customWidth="1"/>
    <col min="76" max="76" width="5.75" customWidth="1"/>
    <col min="77" max="77" width="9.75" customWidth="1"/>
    <col min="78" max="78" width="10.25" customWidth="1"/>
  </cols>
  <sheetData>
    <row r="5" spans="9:9">
      <c r="I5" t="s">
        <v>117</v>
      </c>
    </row>
    <row r="27" spans="2:7">
      <c r="B27" s="162" t="str">
        <f>"S = "&amp;'Lister og genveje'!BC4&amp;" "&amp;'Lister og genveje'!BC1&amp;Kabler!MM2&amp;" mm2 "&amp;'Lister og genveje'!BC2</f>
        <v>S = (Alle) (Alle) mm2 (Alle)</v>
      </c>
      <c r="C27" s="162"/>
    </row>
    <row r="28" spans="2:7">
      <c r="B28" s="162" t="str">
        <f>"r = "&amp;'Lister og genveje'!BB7&amp;" Ω/km"</f>
        <v>r = 0,1017 Ω/km</v>
      </c>
      <c r="C28" s="162"/>
      <c r="G28" t="s">
        <v>244</v>
      </c>
    </row>
    <row r="29" spans="2:7">
      <c r="B29" s="162" t="str">
        <f>"x = "&amp;'Lister og genveje'!BB8&amp;" Ω/km"</f>
        <v>x = 0,077 Ω/km</v>
      </c>
      <c r="C29" s="162"/>
    </row>
  </sheetData>
  <mergeCells count="3">
    <mergeCell ref="B27:C27"/>
    <mergeCell ref="B28:C28"/>
    <mergeCell ref="B29:C29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776"/>
  <sheetViews>
    <sheetView topLeftCell="Z1" workbookViewId="0">
      <selection activeCell="BB7" sqref="BB7"/>
    </sheetView>
  </sheetViews>
  <sheetFormatPr defaultColWidth="11" defaultRowHeight="15.5"/>
  <cols>
    <col min="3" max="3" width="13.75" bestFit="1" customWidth="1"/>
    <col min="13" max="13" width="16.25" customWidth="1"/>
    <col min="14" max="14" width="14.25" customWidth="1"/>
    <col min="24" max="24" width="16.58203125" customWidth="1"/>
    <col min="25" max="25" width="18.25" customWidth="1"/>
    <col min="26" max="26" width="19.83203125" customWidth="1"/>
    <col min="27" max="27" width="22.75" customWidth="1"/>
    <col min="29" max="29" width="12.25" customWidth="1"/>
    <col min="36" max="36" width="10.83203125" customWidth="1"/>
    <col min="38" max="38" width="10.83203125" customWidth="1"/>
    <col min="48" max="48" width="20.83203125" customWidth="1"/>
    <col min="49" max="49" width="6.83203125" customWidth="1"/>
    <col min="51" max="51" width="18.58203125" customWidth="1"/>
    <col min="52" max="52" width="11.5" customWidth="1"/>
    <col min="53" max="53" width="14.25" customWidth="1"/>
    <col min="54" max="54" width="16.08203125" bestFit="1" customWidth="1"/>
    <col min="55" max="55" width="17.83203125" customWidth="1"/>
    <col min="56" max="59" width="8.25" customWidth="1"/>
    <col min="60" max="61" width="10.25" customWidth="1"/>
  </cols>
  <sheetData>
    <row r="1" spans="1:55">
      <c r="A1" s="3">
        <v>230</v>
      </c>
      <c r="C1" s="13"/>
      <c r="D1" s="14" t="s">
        <v>38</v>
      </c>
      <c r="E1" s="14" t="s">
        <v>39</v>
      </c>
      <c r="F1" s="14" t="s">
        <v>40</v>
      </c>
      <c r="G1" s="14" t="s">
        <v>41</v>
      </c>
      <c r="H1" s="14" t="s">
        <v>19</v>
      </c>
      <c r="I1" s="14" t="s">
        <v>42</v>
      </c>
      <c r="J1" s="15"/>
      <c r="S1" s="28"/>
      <c r="T1" s="28"/>
      <c r="U1" s="28"/>
      <c r="V1" s="27"/>
      <c r="W1" s="29"/>
      <c r="AC1" s="44"/>
      <c r="AD1" s="45"/>
      <c r="AE1" s="45"/>
      <c r="AV1" s="1" t="s">
        <v>80</v>
      </c>
      <c r="AW1" t="s">
        <v>4</v>
      </c>
      <c r="AY1" s="1" t="s">
        <v>146</v>
      </c>
      <c r="AZ1" t="s">
        <v>147</v>
      </c>
      <c r="BB1" s="1" t="s">
        <v>85</v>
      </c>
      <c r="BC1" t="s">
        <v>248</v>
      </c>
    </row>
    <row r="2" spans="1:55">
      <c r="A2" s="4" t="s">
        <v>20</v>
      </c>
      <c r="C2" s="16" t="s">
        <v>37</v>
      </c>
      <c r="D2" s="7">
        <v>25</v>
      </c>
      <c r="E2" s="7">
        <v>36</v>
      </c>
      <c r="F2" s="7">
        <v>50</v>
      </c>
      <c r="G2" s="7">
        <v>70</v>
      </c>
      <c r="H2" s="7">
        <v>100</v>
      </c>
      <c r="I2" s="7">
        <v>150</v>
      </c>
      <c r="J2" s="17"/>
      <c r="W2" s="31"/>
      <c r="AC2" s="44"/>
      <c r="AD2" s="45"/>
      <c r="AE2" s="45"/>
      <c r="AV2" s="1" t="s">
        <v>79</v>
      </c>
      <c r="AW2" s="25">
        <v>200</v>
      </c>
      <c r="AY2" s="1" t="s">
        <v>159</v>
      </c>
      <c r="AZ2" s="25">
        <v>63</v>
      </c>
      <c r="BB2" s="1" t="s">
        <v>86</v>
      </c>
      <c r="BC2" t="s">
        <v>248</v>
      </c>
    </row>
    <row r="3" spans="1:55" ht="16" thickBot="1">
      <c r="A3" s="5" t="s">
        <v>15</v>
      </c>
      <c r="C3" s="16" t="s">
        <v>43</v>
      </c>
      <c r="D3" s="7">
        <v>25</v>
      </c>
      <c r="E3" s="7">
        <v>36</v>
      </c>
      <c r="F3" s="7">
        <v>50</v>
      </c>
      <c r="G3" s="7">
        <v>70</v>
      </c>
      <c r="H3" s="7">
        <v>100</v>
      </c>
      <c r="I3" s="7">
        <v>150</v>
      </c>
      <c r="J3" s="17"/>
      <c r="W3" s="31"/>
      <c r="AC3" s="44"/>
      <c r="AD3" s="45"/>
      <c r="AE3" s="45"/>
      <c r="AY3" s="1" t="s">
        <v>160</v>
      </c>
      <c r="AZ3" t="s">
        <v>38</v>
      </c>
      <c r="BB3" s="1" t="s">
        <v>84</v>
      </c>
      <c r="BC3" t="s">
        <v>108</v>
      </c>
    </row>
    <row r="4" spans="1:55">
      <c r="C4" s="16" t="s">
        <v>44</v>
      </c>
      <c r="D4" s="7">
        <v>25</v>
      </c>
      <c r="E4" s="7">
        <v>36</v>
      </c>
      <c r="F4" s="7">
        <v>50</v>
      </c>
      <c r="G4" s="7">
        <v>70</v>
      </c>
      <c r="H4" s="7">
        <v>100</v>
      </c>
      <c r="I4" s="7">
        <v>150</v>
      </c>
      <c r="J4" s="17"/>
      <c r="W4" s="31"/>
      <c r="AV4" s="1" t="s">
        <v>247</v>
      </c>
      <c r="AY4" s="1" t="s">
        <v>154</v>
      </c>
      <c r="AZ4" t="s">
        <v>162</v>
      </c>
      <c r="BB4" s="1" t="s">
        <v>122</v>
      </c>
      <c r="BC4" t="s">
        <v>248</v>
      </c>
    </row>
    <row r="5" spans="1:55">
      <c r="C5" s="16" t="s">
        <v>45</v>
      </c>
      <c r="E5" s="7">
        <v>36</v>
      </c>
      <c r="F5" s="7">
        <v>50</v>
      </c>
      <c r="G5" s="7">
        <v>70</v>
      </c>
      <c r="H5" s="7">
        <v>100</v>
      </c>
      <c r="I5" s="7">
        <v>150</v>
      </c>
      <c r="J5" s="17"/>
      <c r="W5" s="31"/>
      <c r="AV5" s="25" t="s">
        <v>5</v>
      </c>
    </row>
    <row r="6" spans="1:55">
      <c r="C6" s="16" t="s">
        <v>46</v>
      </c>
      <c r="E6" s="7">
        <v>36</v>
      </c>
      <c r="F6" s="7">
        <v>50</v>
      </c>
      <c r="G6" s="7">
        <v>70</v>
      </c>
      <c r="H6" s="7">
        <v>100</v>
      </c>
      <c r="I6" s="7">
        <v>150</v>
      </c>
      <c r="J6" s="17"/>
      <c r="W6" s="31"/>
      <c r="Z6" t="s">
        <v>122</v>
      </c>
      <c r="AA6" t="s">
        <v>84</v>
      </c>
      <c r="AB6" t="s">
        <v>85</v>
      </c>
      <c r="AC6" t="s">
        <v>86</v>
      </c>
      <c r="AD6" t="s">
        <v>87</v>
      </c>
      <c r="AE6" t="s">
        <v>88</v>
      </c>
      <c r="AV6" s="36" t="s">
        <v>69</v>
      </c>
      <c r="AY6" s="1" t="s">
        <v>77</v>
      </c>
      <c r="BB6" s="1" t="s">
        <v>247</v>
      </c>
      <c r="BC6" t="s">
        <v>238</v>
      </c>
    </row>
    <row r="7" spans="1:55" ht="16" thickBot="1">
      <c r="C7" s="18"/>
      <c r="D7" s="7"/>
      <c r="E7" s="7"/>
      <c r="F7" s="7"/>
      <c r="G7" s="7"/>
      <c r="H7" s="7"/>
      <c r="I7" s="7"/>
      <c r="J7" s="17"/>
      <c r="W7" s="31"/>
      <c r="Z7" t="s">
        <v>93</v>
      </c>
      <c r="AA7" t="s">
        <v>108</v>
      </c>
      <c r="AB7">
        <v>1.5</v>
      </c>
      <c r="AC7" t="s">
        <v>81</v>
      </c>
      <c r="AD7">
        <f>VLOOKUP(Tabel3[[#This Row],[Tværsnit]],'Lister og genveje'!$AQ$10:$AS$25,2,0)</f>
        <v>12.1</v>
      </c>
      <c r="AE7">
        <v>0.113</v>
      </c>
      <c r="AV7" s="37">
        <v>1400</v>
      </c>
      <c r="AX7" t="s">
        <v>237</v>
      </c>
      <c r="AY7" s="25">
        <v>5</v>
      </c>
      <c r="BB7" s="25">
        <v>0.1017</v>
      </c>
      <c r="BC7">
        <v>2</v>
      </c>
    </row>
    <row r="8" spans="1:55" ht="16" thickBot="1">
      <c r="C8" s="18" t="s">
        <v>49</v>
      </c>
      <c r="D8" s="8">
        <v>40</v>
      </c>
      <c r="E8" s="8">
        <v>100</v>
      </c>
      <c r="F8" s="8">
        <v>160</v>
      </c>
      <c r="G8" s="8">
        <v>250</v>
      </c>
      <c r="H8" s="8" t="s">
        <v>127</v>
      </c>
      <c r="I8" s="8" t="s">
        <v>47</v>
      </c>
      <c r="J8" s="17">
        <v>630</v>
      </c>
      <c r="W8" s="31"/>
      <c r="Z8" t="s">
        <v>93</v>
      </c>
      <c r="AA8" t="s">
        <v>108</v>
      </c>
      <c r="AB8">
        <v>2.5</v>
      </c>
      <c r="AC8" t="s">
        <v>81</v>
      </c>
      <c r="AD8">
        <f>VLOOKUP(Tabel3[[#This Row],[Tværsnit]],'Lister og genveje'!$AQ$10:$AS$25,2,0)</f>
        <v>7.41</v>
      </c>
      <c r="AE8">
        <v>0.105</v>
      </c>
      <c r="AG8" s="53"/>
      <c r="AH8" s="46" t="s">
        <v>81</v>
      </c>
      <c r="AI8" s="47" t="s">
        <v>81</v>
      </c>
      <c r="AJ8" s="46" t="s">
        <v>81</v>
      </c>
      <c r="AK8" s="51" t="s">
        <v>123</v>
      </c>
      <c r="AL8" s="47" t="s">
        <v>89</v>
      </c>
      <c r="AM8" s="46" t="s">
        <v>123</v>
      </c>
      <c r="AN8" s="47" t="s">
        <v>89</v>
      </c>
      <c r="AO8" s="53"/>
      <c r="AP8" s="27"/>
      <c r="AQ8" s="165" t="s">
        <v>87</v>
      </c>
      <c r="AR8" s="166"/>
      <c r="AS8" s="167"/>
      <c r="AV8" s="25" t="s">
        <v>78</v>
      </c>
      <c r="AX8" t="s">
        <v>236</v>
      </c>
      <c r="AY8" s="36">
        <v>3</v>
      </c>
      <c r="BB8" s="36">
        <v>7.6999999999999999E-2</v>
      </c>
      <c r="BC8">
        <v>1</v>
      </c>
    </row>
    <row r="9" spans="1:55" ht="31.5" thickBot="1">
      <c r="A9">
        <v>1.5</v>
      </c>
      <c r="C9" s="18">
        <v>0.9</v>
      </c>
      <c r="D9" s="8">
        <v>18</v>
      </c>
      <c r="E9" s="8">
        <v>40</v>
      </c>
      <c r="F9" s="8">
        <v>63</v>
      </c>
      <c r="G9" s="8">
        <v>100</v>
      </c>
      <c r="H9" s="8">
        <v>70</v>
      </c>
      <c r="I9" s="8">
        <v>160</v>
      </c>
      <c r="J9" s="17">
        <v>250</v>
      </c>
      <c r="W9" s="31"/>
      <c r="Z9" t="s">
        <v>93</v>
      </c>
      <c r="AA9" t="s">
        <v>108</v>
      </c>
      <c r="AB9">
        <v>4</v>
      </c>
      <c r="AC9" t="s">
        <v>81</v>
      </c>
      <c r="AD9">
        <f>VLOOKUP(Tabel3[[#This Row],[Tværsnit]],'Lister og genveje'!$AQ$10:$AS$25,2,0)</f>
        <v>4.6100000000000003</v>
      </c>
      <c r="AE9">
        <v>9.9000000000000005E-2</v>
      </c>
      <c r="AG9" s="49"/>
      <c r="AH9" s="44" t="s">
        <v>82</v>
      </c>
      <c r="AI9" s="48" t="s">
        <v>82</v>
      </c>
      <c r="AJ9" s="44" t="s">
        <v>82</v>
      </c>
      <c r="AK9" s="52" t="s">
        <v>124</v>
      </c>
      <c r="AL9" s="49"/>
      <c r="AN9" s="49"/>
      <c r="AO9" s="49"/>
      <c r="AQ9" s="40" t="s">
        <v>106</v>
      </c>
      <c r="AR9" s="40" t="s">
        <v>105</v>
      </c>
      <c r="AS9" s="40" t="s">
        <v>104</v>
      </c>
      <c r="AX9" t="s">
        <v>169</v>
      </c>
      <c r="AY9" s="37">
        <v>0.75</v>
      </c>
      <c r="BB9" s="36">
        <v>8.2000000000000003E-2</v>
      </c>
      <c r="BC9">
        <v>1</v>
      </c>
    </row>
    <row r="10" spans="1:55">
      <c r="A10">
        <v>2</v>
      </c>
      <c r="C10" s="18">
        <v>0.92</v>
      </c>
      <c r="D10" s="8">
        <v>18</v>
      </c>
      <c r="E10" s="8">
        <v>45</v>
      </c>
      <c r="F10" s="8">
        <v>70</v>
      </c>
      <c r="G10" s="8">
        <v>110</v>
      </c>
      <c r="H10" s="8">
        <v>100</v>
      </c>
      <c r="I10" s="8">
        <v>180</v>
      </c>
      <c r="J10" s="17">
        <v>280</v>
      </c>
      <c r="W10" s="31"/>
      <c r="Z10" t="s">
        <v>93</v>
      </c>
      <c r="AA10" t="s">
        <v>108</v>
      </c>
      <c r="AB10">
        <v>6</v>
      </c>
      <c r="AC10" t="s">
        <v>81</v>
      </c>
      <c r="AD10">
        <f>VLOOKUP(Tabel3[[#This Row],[Tværsnit]],'Lister og genveje'!$AQ$10:$AS$25,2,0)</f>
        <v>3.08</v>
      </c>
      <c r="AE10">
        <v>9.7000000000000003E-2</v>
      </c>
      <c r="AG10" s="49"/>
      <c r="AH10" s="44">
        <v>3</v>
      </c>
      <c r="AI10" s="49">
        <v>4</v>
      </c>
      <c r="AJ10">
        <v>5</v>
      </c>
      <c r="AK10" s="30">
        <v>4</v>
      </c>
      <c r="AL10" s="49">
        <v>4</v>
      </c>
      <c r="AM10">
        <v>5</v>
      </c>
      <c r="AN10" s="49">
        <v>3</v>
      </c>
      <c r="AO10" s="49"/>
      <c r="AQ10" s="41">
        <v>1.5</v>
      </c>
      <c r="AR10" s="38">
        <v>12.1</v>
      </c>
      <c r="AS10" s="41"/>
      <c r="AX10" t="s">
        <v>132</v>
      </c>
      <c r="AY10" s="74">
        <v>10</v>
      </c>
      <c r="BB10" s="25">
        <v>0.126</v>
      </c>
      <c r="BC10">
        <v>1</v>
      </c>
    </row>
    <row r="11" spans="1:55" ht="16" thickBot="1">
      <c r="A11">
        <v>3</v>
      </c>
      <c r="C11" s="18">
        <v>0.93</v>
      </c>
      <c r="D11" s="8">
        <v>20</v>
      </c>
      <c r="E11" s="8">
        <v>50</v>
      </c>
      <c r="F11" s="8">
        <v>80</v>
      </c>
      <c r="G11" s="8">
        <v>125</v>
      </c>
      <c r="H11" s="8">
        <v>125</v>
      </c>
      <c r="I11" s="8">
        <v>200</v>
      </c>
      <c r="J11" s="17">
        <v>320</v>
      </c>
      <c r="W11" s="31"/>
      <c r="Z11" t="s">
        <v>93</v>
      </c>
      <c r="AA11" t="s">
        <v>108</v>
      </c>
      <c r="AB11">
        <v>10</v>
      </c>
      <c r="AC11" t="s">
        <v>81</v>
      </c>
      <c r="AD11">
        <f>VLOOKUP(Tabel3[[#This Row],[Tværsnit]],'Lister og genveje'!$AQ$10:$AS$25,2,0)</f>
        <v>1.83</v>
      </c>
      <c r="AE11">
        <v>9.1999999999999998E-2</v>
      </c>
      <c r="AG11" s="42">
        <v>1.5</v>
      </c>
      <c r="AH11">
        <v>0.10299999999999999</v>
      </c>
      <c r="AI11" s="49">
        <v>0.11</v>
      </c>
      <c r="AJ11">
        <v>0.113</v>
      </c>
      <c r="AK11" s="30"/>
      <c r="AL11" s="49"/>
      <c r="AN11" s="49">
        <v>9.5000000000000001E-2</v>
      </c>
      <c r="AO11" s="42">
        <v>1.5</v>
      </c>
      <c r="AQ11" s="42">
        <v>2.5</v>
      </c>
      <c r="AR11" s="38">
        <v>7.41</v>
      </c>
      <c r="AS11" s="42"/>
      <c r="AX11" t="s">
        <v>171</v>
      </c>
      <c r="AY11" s="79" t="s">
        <v>170</v>
      </c>
      <c r="BB11" s="36">
        <v>8.4000000000000005E-2</v>
      </c>
      <c r="BC11">
        <v>1</v>
      </c>
    </row>
    <row r="12" spans="1:55">
      <c r="A12">
        <v>4</v>
      </c>
      <c r="C12" s="18">
        <v>0.94</v>
      </c>
      <c r="D12" s="8">
        <v>23</v>
      </c>
      <c r="E12" s="8">
        <v>55</v>
      </c>
      <c r="F12" s="8">
        <v>90</v>
      </c>
      <c r="G12" s="8">
        <v>140</v>
      </c>
      <c r="H12" s="8">
        <v>140</v>
      </c>
      <c r="I12" s="8">
        <v>230</v>
      </c>
      <c r="J12" s="17">
        <v>350</v>
      </c>
      <c r="U12" s="124" t="s">
        <v>28</v>
      </c>
      <c r="V12" s="125"/>
      <c r="W12" s="31"/>
      <c r="Z12" t="s">
        <v>93</v>
      </c>
      <c r="AA12" t="s">
        <v>108</v>
      </c>
      <c r="AB12">
        <v>16</v>
      </c>
      <c r="AC12" t="s">
        <v>81</v>
      </c>
      <c r="AD12">
        <f>VLOOKUP(Tabel3[[#This Row],[Tværsnit]],'Lister og genveje'!$AQ$10:$AS$25,2,0)</f>
        <v>1.1499999999999999</v>
      </c>
      <c r="AE12">
        <v>8.7999999999999995E-2</v>
      </c>
      <c r="AG12" s="42">
        <v>2.5</v>
      </c>
      <c r="AH12">
        <v>9.5000000000000001E-2</v>
      </c>
      <c r="AI12" s="49">
        <v>0.10199999999999999</v>
      </c>
      <c r="AJ12">
        <v>0.105</v>
      </c>
      <c r="AK12" s="30"/>
      <c r="AL12" s="49"/>
      <c r="AN12" s="49">
        <v>8.8999999999999996E-2</v>
      </c>
      <c r="AO12" s="42">
        <v>2.5</v>
      </c>
      <c r="AQ12" s="42">
        <v>4</v>
      </c>
      <c r="AR12" s="38">
        <v>4.6100000000000003</v>
      </c>
      <c r="AS12" s="42"/>
      <c r="AY12" s="25" t="s">
        <v>78</v>
      </c>
      <c r="BB12" s="25">
        <v>0.155</v>
      </c>
      <c r="BC12">
        <v>2</v>
      </c>
    </row>
    <row r="13" spans="1:55" ht="16" thickBot="1">
      <c r="A13">
        <v>5</v>
      </c>
      <c r="C13" s="18">
        <v>0.95</v>
      </c>
      <c r="D13" s="8">
        <v>25</v>
      </c>
      <c r="E13" s="8">
        <v>63</v>
      </c>
      <c r="F13" s="8">
        <v>100</v>
      </c>
      <c r="G13" s="8">
        <v>160</v>
      </c>
      <c r="H13" s="8">
        <v>160</v>
      </c>
      <c r="I13" s="8">
        <v>250</v>
      </c>
      <c r="J13" s="17">
        <v>400</v>
      </c>
      <c r="U13" s="126"/>
      <c r="V13" s="127"/>
      <c r="W13" s="31"/>
      <c r="Z13" t="s">
        <v>92</v>
      </c>
      <c r="AA13" t="s">
        <v>108</v>
      </c>
      <c r="AB13">
        <v>4</v>
      </c>
      <c r="AC13" t="s">
        <v>81</v>
      </c>
      <c r="AD13">
        <f>VLOOKUP(Tabel3[[#This Row],[Tværsnit]],'Lister og genveje'!$AQ$10:$AS$25,2,0)</f>
        <v>4.6100000000000003</v>
      </c>
      <c r="AE13">
        <v>9.6000000000000002E-2</v>
      </c>
      <c r="AG13" s="42">
        <v>4</v>
      </c>
      <c r="AH13">
        <v>8.8999999999999996E-2</v>
      </c>
      <c r="AI13" s="49">
        <v>9.6000000000000002E-2</v>
      </c>
      <c r="AJ13">
        <v>9.9000000000000005E-2</v>
      </c>
      <c r="AK13" s="30"/>
      <c r="AL13" s="49"/>
      <c r="AN13" s="49">
        <v>8.6999999999999994E-2</v>
      </c>
      <c r="AO13" s="42">
        <v>4</v>
      </c>
      <c r="AQ13" s="42">
        <v>6</v>
      </c>
      <c r="AR13" s="38">
        <v>3.08</v>
      </c>
      <c r="AS13" s="42"/>
      <c r="BB13" s="36">
        <v>7.6999999999999999E-2</v>
      </c>
      <c r="BC13">
        <v>1</v>
      </c>
    </row>
    <row r="14" spans="1:55">
      <c r="A14">
        <v>6</v>
      </c>
      <c r="C14" s="18">
        <v>0.96</v>
      </c>
      <c r="D14" s="8">
        <v>28</v>
      </c>
      <c r="E14" s="8">
        <v>70</v>
      </c>
      <c r="F14" s="8">
        <v>110</v>
      </c>
      <c r="G14" s="8">
        <v>175</v>
      </c>
      <c r="H14" s="8">
        <v>175</v>
      </c>
      <c r="I14" s="8">
        <v>280</v>
      </c>
      <c r="J14" s="17">
        <v>450</v>
      </c>
      <c r="W14" s="31"/>
      <c r="Z14" t="s">
        <v>92</v>
      </c>
      <c r="AA14" t="s">
        <v>108</v>
      </c>
      <c r="AB14">
        <v>6</v>
      </c>
      <c r="AC14" t="s">
        <v>81</v>
      </c>
      <c r="AD14">
        <f>VLOOKUP(Tabel3[[#This Row],[Tværsnit]],'Lister og genveje'!$AQ$10:$AS$25,2,0)</f>
        <v>3.08</v>
      </c>
      <c r="AE14">
        <v>9.4E-2</v>
      </c>
      <c r="AG14" s="42">
        <v>6</v>
      </c>
      <c r="AH14">
        <v>8.6999999999999994E-2</v>
      </c>
      <c r="AI14" s="49">
        <v>9.4E-2</v>
      </c>
      <c r="AJ14">
        <v>9.7000000000000003E-2</v>
      </c>
      <c r="AK14" s="30"/>
      <c r="AL14" s="49"/>
      <c r="AN14" s="48">
        <v>8.2000000000000003E-2</v>
      </c>
      <c r="AO14" s="42">
        <v>6</v>
      </c>
      <c r="AQ14" s="42">
        <v>10</v>
      </c>
      <c r="AR14" s="38">
        <v>1.83</v>
      </c>
      <c r="AS14" s="42"/>
      <c r="BB14" s="36">
        <v>8.2000000000000003E-2</v>
      </c>
      <c r="BC14">
        <v>1</v>
      </c>
    </row>
    <row r="15" spans="1:55">
      <c r="A15">
        <v>7</v>
      </c>
      <c r="C15" s="18">
        <v>0.97</v>
      </c>
      <c r="D15" s="8">
        <v>32</v>
      </c>
      <c r="E15" s="8">
        <v>80</v>
      </c>
      <c r="F15" s="8">
        <v>125</v>
      </c>
      <c r="G15" s="8">
        <v>200</v>
      </c>
      <c r="H15" s="8">
        <v>200</v>
      </c>
      <c r="I15" s="8">
        <v>320</v>
      </c>
      <c r="J15" s="17">
        <v>500</v>
      </c>
      <c r="W15" s="31"/>
      <c r="Z15" t="s">
        <v>92</v>
      </c>
      <c r="AA15" t="s">
        <v>108</v>
      </c>
      <c r="AB15">
        <v>10</v>
      </c>
      <c r="AC15" t="s">
        <v>81</v>
      </c>
      <c r="AD15">
        <f>VLOOKUP(Tabel3[[#This Row],[Tværsnit]],'Lister og genveje'!$AQ$10:$AS$25,2,0)</f>
        <v>1.83</v>
      </c>
      <c r="AE15">
        <v>8.8999999999999996E-2</v>
      </c>
      <c r="AG15" s="42">
        <v>10</v>
      </c>
      <c r="AH15">
        <v>8.2000000000000003E-2</v>
      </c>
      <c r="AI15" s="49">
        <v>8.8999999999999996E-2</v>
      </c>
      <c r="AJ15">
        <v>9.1999999999999998E-2</v>
      </c>
      <c r="AK15" s="30"/>
      <c r="AL15" s="49"/>
      <c r="AN15" s="48">
        <v>7.1999999999999995E-2</v>
      </c>
      <c r="AO15" s="42">
        <v>10</v>
      </c>
      <c r="AQ15" s="42">
        <v>16</v>
      </c>
      <c r="AR15" s="38">
        <v>1.1499999999999999</v>
      </c>
      <c r="AS15" s="42">
        <v>1.91</v>
      </c>
      <c r="BB15" s="25">
        <v>0.19400000000000001</v>
      </c>
      <c r="BC15">
        <v>2</v>
      </c>
    </row>
    <row r="16" spans="1:55">
      <c r="A16">
        <v>8</v>
      </c>
      <c r="C16" s="18">
        <v>0.98</v>
      </c>
      <c r="D16" s="8">
        <v>36</v>
      </c>
      <c r="E16" s="8">
        <v>90</v>
      </c>
      <c r="F16" s="8">
        <v>150</v>
      </c>
      <c r="G16" s="8">
        <v>225</v>
      </c>
      <c r="H16" s="8">
        <v>225</v>
      </c>
      <c r="I16" s="8">
        <v>360</v>
      </c>
      <c r="J16" s="17">
        <v>570</v>
      </c>
      <c r="U16" s="32" t="s">
        <v>63</v>
      </c>
      <c r="V16" t="s">
        <v>2</v>
      </c>
      <c r="W16" s="31" t="s">
        <v>74</v>
      </c>
      <c r="Z16" t="s">
        <v>92</v>
      </c>
      <c r="AA16" t="s">
        <v>108</v>
      </c>
      <c r="AB16">
        <v>16</v>
      </c>
      <c r="AC16" t="s">
        <v>81</v>
      </c>
      <c r="AD16">
        <f>VLOOKUP(Tabel3[[#This Row],[Tværsnit]],'Lister og genveje'!$AQ$10:$AS$25,2,0)</f>
        <v>1.1499999999999999</v>
      </c>
      <c r="AE16">
        <v>8.5000000000000006E-2</v>
      </c>
      <c r="AG16" s="42">
        <v>16</v>
      </c>
      <c r="AH16">
        <v>7.8E-2</v>
      </c>
      <c r="AI16" s="49">
        <v>8.5000000000000006E-2</v>
      </c>
      <c r="AJ16">
        <v>8.7999999999999995E-2</v>
      </c>
      <c r="AK16" s="30">
        <v>8.7999999999999995E-2</v>
      </c>
      <c r="AL16" s="49"/>
      <c r="AM16">
        <v>7.1999999999999995E-2</v>
      </c>
      <c r="AN16" s="48">
        <v>7.6999999999999999E-2</v>
      </c>
      <c r="AO16" s="42">
        <v>16</v>
      </c>
      <c r="AQ16" s="42">
        <v>25</v>
      </c>
      <c r="AR16" s="38">
        <v>0.72699999999999998</v>
      </c>
      <c r="AS16" s="42">
        <v>1.2</v>
      </c>
      <c r="BB16" s="36">
        <v>7.6999999999999999E-2</v>
      </c>
      <c r="BC16">
        <v>1</v>
      </c>
    </row>
    <row r="17" spans="1:55" ht="16" thickBot="1">
      <c r="A17">
        <v>10</v>
      </c>
      <c r="C17" s="19">
        <v>1</v>
      </c>
      <c r="D17" s="8">
        <v>40</v>
      </c>
      <c r="E17" s="20">
        <v>100</v>
      </c>
      <c r="F17" s="20">
        <v>160</v>
      </c>
      <c r="G17" s="20">
        <v>250</v>
      </c>
      <c r="H17" s="20">
        <v>250</v>
      </c>
      <c r="I17" s="20">
        <v>400</v>
      </c>
      <c r="J17" s="21">
        <v>630</v>
      </c>
      <c r="U17" t="s">
        <v>64</v>
      </c>
      <c r="V17" t="s">
        <v>6</v>
      </c>
      <c r="W17" s="31" t="s">
        <v>75</v>
      </c>
      <c r="Z17" t="s">
        <v>92</v>
      </c>
      <c r="AA17" t="s">
        <v>108</v>
      </c>
      <c r="AB17">
        <v>6</v>
      </c>
      <c r="AC17" t="s">
        <v>109</v>
      </c>
      <c r="AD17">
        <f>VLOOKUP(Tabel3[[#This Row],[Tværsnit]],'Lister og genveje'!$AQ$10:$AS$25,2,0)</f>
        <v>3.08</v>
      </c>
      <c r="AE17">
        <v>9.4E-2</v>
      </c>
      <c r="AG17" s="42">
        <v>25</v>
      </c>
      <c r="AH17">
        <v>7.9000000000000001E-2</v>
      </c>
      <c r="AI17" s="49">
        <v>8.5999999999999993E-2</v>
      </c>
      <c r="AJ17">
        <v>8.8999999999999996E-2</v>
      </c>
      <c r="AK17" s="30">
        <v>8.8999999999999996E-2</v>
      </c>
      <c r="AL17" s="49"/>
      <c r="AM17">
        <v>8.6999999999999994E-2</v>
      </c>
      <c r="AN17" s="48">
        <v>7.0000000000000007E-2</v>
      </c>
      <c r="AO17" s="42">
        <v>25</v>
      </c>
      <c r="AQ17" s="42">
        <v>35</v>
      </c>
      <c r="AR17" s="38">
        <v>0.52500000000000002</v>
      </c>
      <c r="AS17" s="42">
        <v>0.86799999999999999</v>
      </c>
      <c r="BB17" s="36">
        <v>8.2000000000000003E-2</v>
      </c>
      <c r="BC17">
        <v>1</v>
      </c>
    </row>
    <row r="18" spans="1:55" ht="16" thickBot="1">
      <c r="C18" t="str">
        <f>IF('Maksimal afbryder'!A2=250,'Lister og genveje'!C22,C21)</f>
        <v>maksimal400b</v>
      </c>
      <c r="U18" t="s">
        <v>65</v>
      </c>
      <c r="V18" t="s">
        <v>66</v>
      </c>
      <c r="W18" s="31" t="s">
        <v>67</v>
      </c>
      <c r="Z18" t="s">
        <v>92</v>
      </c>
      <c r="AA18" t="s">
        <v>108</v>
      </c>
      <c r="AB18">
        <v>10</v>
      </c>
      <c r="AC18" t="s">
        <v>109</v>
      </c>
      <c r="AD18">
        <f>VLOOKUP(Tabel3[[#This Row],[Tværsnit]],'Lister og genveje'!$AQ$10:$AS$25,2,0)</f>
        <v>1.83</v>
      </c>
      <c r="AE18">
        <v>8.8999999999999996E-2</v>
      </c>
      <c r="AG18" s="42">
        <v>35</v>
      </c>
      <c r="AH18">
        <v>7.3999999999999996E-2</v>
      </c>
      <c r="AI18" s="49">
        <v>8.2000000000000003E-2</v>
      </c>
      <c r="AJ18">
        <v>8.5000000000000006E-2</v>
      </c>
      <c r="AK18" s="30">
        <v>8.5000000000000006E-2</v>
      </c>
      <c r="AL18" s="49"/>
      <c r="AN18" s="48">
        <v>7.3999999999999996E-2</v>
      </c>
      <c r="AO18" s="42">
        <v>35</v>
      </c>
      <c r="AQ18" s="42">
        <v>50</v>
      </c>
      <c r="AR18" s="38">
        <v>0.38800000000000001</v>
      </c>
      <c r="AS18" s="42">
        <v>0.64100000000000001</v>
      </c>
      <c r="BB18" s="25">
        <v>0.26900000000000002</v>
      </c>
      <c r="BC18">
        <v>2</v>
      </c>
    </row>
    <row r="19" spans="1:55">
      <c r="C19" s="23" t="str">
        <f>"NSX"&amp;LEFT('Maksimal afbryder'!A2,3)&amp;"MA"</f>
        <v>NSX400MA</v>
      </c>
      <c r="E19" s="13">
        <v>40</v>
      </c>
      <c r="F19" s="14" t="str">
        <f>IF('Maksimal afbryder'!$N$9&lt;40.000001,'Lister og genveje'!$D$9*0.9,"")</f>
        <v/>
      </c>
      <c r="G19" s="14">
        <f>'Maksimal afbryder'!$C$17</f>
        <v>320</v>
      </c>
      <c r="H19" s="57" t="str">
        <f>IF('Maksimal afbryder'!$N$9&lt;40.000001,E19,"")</f>
        <v/>
      </c>
      <c r="U19" t="s">
        <v>68</v>
      </c>
      <c r="V19" t="s">
        <v>4</v>
      </c>
      <c r="W19" s="31" t="s">
        <v>69</v>
      </c>
      <c r="Z19" t="s">
        <v>92</v>
      </c>
      <c r="AA19" t="s">
        <v>108</v>
      </c>
      <c r="AB19">
        <v>16</v>
      </c>
      <c r="AC19" t="s">
        <v>109</v>
      </c>
      <c r="AD19">
        <f>VLOOKUP(Tabel3[[#This Row],[Tværsnit]],'Lister og genveje'!$AQ$10:$AS$25,2,0)</f>
        <v>1.1499999999999999</v>
      </c>
      <c r="AE19">
        <v>8.5000000000000006E-2</v>
      </c>
      <c r="AG19" s="42">
        <v>50</v>
      </c>
      <c r="AI19" s="49">
        <v>8.4000000000000005E-2</v>
      </c>
      <c r="AK19" s="30">
        <v>8.1000000000000003E-2</v>
      </c>
      <c r="AL19" s="49">
        <v>0.08</v>
      </c>
      <c r="AN19" s="48">
        <v>7.2999999999999995E-2</v>
      </c>
      <c r="AO19" s="42">
        <v>50</v>
      </c>
      <c r="AQ19" s="42">
        <v>70</v>
      </c>
      <c r="AR19" s="38">
        <v>0.26900000000000002</v>
      </c>
      <c r="AS19" s="42">
        <v>0.44400000000000001</v>
      </c>
      <c r="BB19" s="36">
        <v>7.9000000000000001E-2</v>
      </c>
      <c r="BC19">
        <v>1</v>
      </c>
    </row>
    <row r="20" spans="1:55" ht="16" thickBot="1">
      <c r="C20" s="24" t="str">
        <f>IF(LEFT('Maksimal afbryder'!A2,3)&lt;=250,"Mafuld","malille")</f>
        <v>malille</v>
      </c>
      <c r="E20" s="18">
        <v>100</v>
      </c>
      <c r="F20" s="54" t="str">
        <f>IF(AND('Maksimal afbryder'!$N$9&gt;=40.000001,'Maksimal afbryder'!$N$9&lt;100),'Lister og genveje'!$E$9*0.9,"")</f>
        <v/>
      </c>
      <c r="G20" s="7">
        <f>'Maksimal afbryder'!$C$17</f>
        <v>320</v>
      </c>
      <c r="H20" s="58" t="str">
        <f>IF(AND('Maksimal afbryder'!$N$9&gt;=40.000001,'Maksimal afbryder'!$N$9&lt;100),E20,"")</f>
        <v/>
      </c>
      <c r="U20" t="s">
        <v>70</v>
      </c>
      <c r="V20" t="s">
        <v>9</v>
      </c>
      <c r="W20" s="31" t="s">
        <v>71</v>
      </c>
      <c r="Z20" t="s">
        <v>92</v>
      </c>
      <c r="AA20" t="s">
        <v>108</v>
      </c>
      <c r="AB20">
        <v>25</v>
      </c>
      <c r="AC20" t="s">
        <v>109</v>
      </c>
      <c r="AD20">
        <f>VLOOKUP(Tabel3[[#This Row],[Tværsnit]],'Lister og genveje'!$AQ$10:$AS$25,2,0)</f>
        <v>0.72699999999999998</v>
      </c>
      <c r="AE20">
        <v>8.5999999999999993E-2</v>
      </c>
      <c r="AG20" s="42">
        <v>70</v>
      </c>
      <c r="AI20" s="49">
        <v>8.1000000000000003E-2</v>
      </c>
      <c r="AK20" s="30">
        <v>0.08</v>
      </c>
      <c r="AL20" s="49">
        <v>7.9000000000000001E-2</v>
      </c>
      <c r="AN20" s="48">
        <v>7.0999999999999994E-2</v>
      </c>
      <c r="AO20" s="42">
        <v>70</v>
      </c>
      <c r="AQ20" s="42">
        <v>95</v>
      </c>
      <c r="AR20" s="38">
        <v>0.19400000000000001</v>
      </c>
      <c r="AS20" s="42">
        <v>0.32100000000000001</v>
      </c>
      <c r="BB20" s="36">
        <v>8.1000000000000003E-2</v>
      </c>
      <c r="BC20">
        <v>1</v>
      </c>
    </row>
    <row r="21" spans="1:55" ht="16" thickBot="1">
      <c r="C21" s="22" t="str">
        <f>"maksimal"&amp;LEFT('Maksimal afbryder'!A2,3)&amp;IF('Maksimal afbryder'!A3=2,"b","a")</f>
        <v>maksimal400b</v>
      </c>
      <c r="E21" s="18">
        <v>160</v>
      </c>
      <c r="F21" s="8" t="str">
        <f>IF(AND('Maksimal afbryder'!$N$9&gt;=100.001,'Maksimal afbryder'!$N$9&lt;=160),0.9*'Lister og genveje'!$F$9,"")</f>
        <v/>
      </c>
      <c r="G21" s="7">
        <f>'Maksimal afbryder'!$C$17</f>
        <v>320</v>
      </c>
      <c r="H21" s="58" t="str">
        <f>IF(AND('Maksimal afbryder'!$N$9&gt;=100.001,'Maksimal afbryder'!$N$9&lt;=160),E21,"")</f>
        <v/>
      </c>
      <c r="U21" t="s">
        <v>72</v>
      </c>
      <c r="V21" t="s">
        <v>13</v>
      </c>
      <c r="W21" s="31" t="s">
        <v>73</v>
      </c>
      <c r="Z21" t="s">
        <v>92</v>
      </c>
      <c r="AA21" t="s">
        <v>108</v>
      </c>
      <c r="AB21">
        <v>35</v>
      </c>
      <c r="AC21" t="s">
        <v>109</v>
      </c>
      <c r="AD21">
        <f>VLOOKUP(Tabel3[[#This Row],[Tværsnit]],'Lister og genveje'!$AQ$10:$AS$25,2,0)</f>
        <v>0.52500000000000002</v>
      </c>
      <c r="AE21">
        <v>8.2000000000000003E-2</v>
      </c>
      <c r="AG21" s="42">
        <v>95</v>
      </c>
      <c r="AI21" s="49">
        <v>8.2000000000000003E-2</v>
      </c>
      <c r="AK21" s="30">
        <v>7.8E-2</v>
      </c>
      <c r="AL21" s="49">
        <v>7.6999999999999999E-2</v>
      </c>
      <c r="AN21" s="48">
        <v>7.0000000000000007E-2</v>
      </c>
      <c r="AO21" s="42">
        <v>95</v>
      </c>
      <c r="AQ21" s="42">
        <v>120</v>
      </c>
      <c r="AR21" s="38">
        <v>0.155</v>
      </c>
      <c r="AS21" s="42">
        <v>0.253</v>
      </c>
      <c r="BB21" s="25">
        <v>0.38800000000000001</v>
      </c>
      <c r="BC21">
        <v>1</v>
      </c>
    </row>
    <row r="22" spans="1:55">
      <c r="C22" s="22" t="str">
        <f>"maksimal"&amp;LEFT('Maksimal afbryder'!A2,3)</f>
        <v>maksimal400</v>
      </c>
      <c r="E22" s="18" t="str">
        <f>IF('Maksimal afbryder'!A3=1,250,"")</f>
        <v/>
      </c>
      <c r="F22" s="8" t="str">
        <f>IF(AND('Maksimal afbryder'!$N$9&gt;=160.001,'Maksimal afbryder'!$N$9&lt;250),0.9*'Lister og genveje'!$H$10,"")</f>
        <v/>
      </c>
      <c r="G22" s="7">
        <f>'Maksimal afbryder'!$C$17</f>
        <v>320</v>
      </c>
      <c r="H22" s="17">
        <v>250</v>
      </c>
      <c r="W22" s="31"/>
      <c r="Z22" t="s">
        <v>92</v>
      </c>
      <c r="AA22" t="s">
        <v>108</v>
      </c>
      <c r="AB22">
        <v>50</v>
      </c>
      <c r="AC22" t="s">
        <v>109</v>
      </c>
      <c r="AD22">
        <f>VLOOKUP(Tabel3[[#This Row],[Tværsnit]],'Lister og genveje'!$AQ$10:$AS$25,2,0)</f>
        <v>0.38800000000000001</v>
      </c>
      <c r="AE22">
        <v>8.4000000000000005E-2</v>
      </c>
      <c r="AG22" s="42">
        <v>120</v>
      </c>
      <c r="AI22" s="49">
        <v>8.2000000000000003E-2</v>
      </c>
      <c r="AK22" s="30">
        <v>7.6999999999999999E-2</v>
      </c>
      <c r="AL22" s="49">
        <v>7.6999999999999999E-2</v>
      </c>
      <c r="AN22" s="48">
        <v>7.0999999999999994E-2</v>
      </c>
      <c r="AO22" s="42">
        <v>120</v>
      </c>
      <c r="AQ22" s="42">
        <v>150</v>
      </c>
      <c r="AR22" s="38">
        <v>0.126</v>
      </c>
      <c r="AS22" s="42">
        <v>0.20699999999999999</v>
      </c>
      <c r="BB22" s="36">
        <v>8.4000000000000005E-2</v>
      </c>
      <c r="BC22">
        <v>1</v>
      </c>
    </row>
    <row r="23" spans="1:55">
      <c r="E23" s="18">
        <f>IF('Maksimal afbryder'!A3=2,250,"")</f>
        <v>250</v>
      </c>
      <c r="F23" s="8" t="str">
        <f>IF(AND('Maksimal afbryder'!$N$9&gt;=160.001,'Maksimal afbryder'!$N$9&lt;250),0.9*'Lister og genveje'!$F$10,"")</f>
        <v/>
      </c>
      <c r="G23" s="7">
        <f>'Maksimal afbryder'!$C$17</f>
        <v>320</v>
      </c>
      <c r="H23" s="17">
        <v>250</v>
      </c>
      <c r="W23" s="31"/>
      <c r="Z23" t="s">
        <v>92</v>
      </c>
      <c r="AA23" t="s">
        <v>108</v>
      </c>
      <c r="AB23">
        <v>70</v>
      </c>
      <c r="AC23" t="s">
        <v>109</v>
      </c>
      <c r="AD23">
        <f>VLOOKUP(Tabel3[[#This Row],[Tværsnit]],'Lister og genveje'!$AQ$10:$AS$25,2,0)</f>
        <v>0.26900000000000002</v>
      </c>
      <c r="AE23">
        <v>8.1000000000000003E-2</v>
      </c>
      <c r="AG23" s="42">
        <v>150</v>
      </c>
      <c r="AI23" s="49">
        <v>8.4000000000000005E-2</v>
      </c>
      <c r="AK23" s="30">
        <v>7.8E-2</v>
      </c>
      <c r="AL23" s="49">
        <v>7.6999999999999999E-2</v>
      </c>
      <c r="AN23" s="48">
        <v>7.0999999999999994E-2</v>
      </c>
      <c r="AO23" s="42">
        <v>150</v>
      </c>
      <c r="AQ23" s="42">
        <v>185</v>
      </c>
      <c r="AR23" s="38">
        <v>0.1017</v>
      </c>
      <c r="AS23" s="42">
        <v>0.16600000000000001</v>
      </c>
      <c r="BB23" s="25">
        <v>0.52500000000000002</v>
      </c>
      <c r="BC23">
        <v>2</v>
      </c>
    </row>
    <row r="24" spans="1:55" ht="16" thickBot="1">
      <c r="E24" s="18">
        <v>400</v>
      </c>
      <c r="F24" s="8">
        <f>IF(AND('Maksimal afbryder'!$N$9&gt;=250.001,'Maksimal afbryder'!$N$9&lt;=400),0.9*'Lister og genveje'!$I$9,"")</f>
        <v>144</v>
      </c>
      <c r="G24" s="7">
        <f>'Maksimal afbryder'!$C$17</f>
        <v>320</v>
      </c>
      <c r="H24" s="58">
        <f>IF(AND('Maksimal afbryder'!$N$9&gt;=250.001,'Maksimal afbryder'!$N$9&lt;=400),E24,"")</f>
        <v>400</v>
      </c>
      <c r="W24" s="31"/>
      <c r="Z24" t="s">
        <v>92</v>
      </c>
      <c r="AA24" t="s">
        <v>108</v>
      </c>
      <c r="AB24">
        <v>95</v>
      </c>
      <c r="AC24" t="s">
        <v>109</v>
      </c>
      <c r="AD24">
        <f>VLOOKUP(Tabel3[[#This Row],[Tværsnit]],'Lister og genveje'!$AQ$10:$AS$25,2,0)</f>
        <v>0.19400000000000001</v>
      </c>
      <c r="AE24">
        <v>8.2000000000000003E-2</v>
      </c>
      <c r="AG24" s="42">
        <v>185</v>
      </c>
      <c r="AI24" s="49">
        <v>8.2000000000000003E-2</v>
      </c>
      <c r="AK24" s="30">
        <v>7.8E-2</v>
      </c>
      <c r="AL24" s="49">
        <v>7.6999999999999999E-2</v>
      </c>
      <c r="AN24" s="48">
        <v>7.0000000000000007E-2</v>
      </c>
      <c r="AO24" s="42">
        <v>185</v>
      </c>
      <c r="AQ24" s="43">
        <v>240</v>
      </c>
      <c r="AR24" s="39">
        <v>7.8700000000000006E-2</v>
      </c>
      <c r="AS24" s="42">
        <v>0.127</v>
      </c>
      <c r="BB24" s="36">
        <v>8.2000000000000003E-2</v>
      </c>
      <c r="BC24">
        <v>1</v>
      </c>
    </row>
    <row r="25" spans="1:55" ht="16" thickBot="1">
      <c r="E25" s="19">
        <v>630</v>
      </c>
      <c r="F25" s="20" t="str">
        <f>IF(AND('Maksimal afbryder'!$N$9&gt;=400.001,'Maksimal afbryder'!$N$9&lt;=6300),0.9*'Lister og genveje'!$J$9,"")</f>
        <v/>
      </c>
      <c r="G25" s="60">
        <f>'Maksimal afbryder'!$C$17</f>
        <v>320</v>
      </c>
      <c r="H25" s="59" t="str">
        <f>IF(AND('Maksimal afbryder'!$N$9&gt;=400.001,'Maksimal afbryder'!$N$9&lt;=6300),E25,"")</f>
        <v/>
      </c>
      <c r="S25" s="34"/>
      <c r="T25" s="34"/>
      <c r="U25" s="34"/>
      <c r="V25" s="34"/>
      <c r="W25" s="35"/>
      <c r="Z25" t="s">
        <v>92</v>
      </c>
      <c r="AA25" t="s">
        <v>108</v>
      </c>
      <c r="AB25">
        <v>120</v>
      </c>
      <c r="AC25" t="s">
        <v>109</v>
      </c>
      <c r="AD25">
        <f>VLOOKUP(Tabel3[[#This Row],[Tværsnit]],'Lister og genveje'!$AQ$10:$AS$25,2,0)</f>
        <v>0.155</v>
      </c>
      <c r="AE25">
        <v>8.2000000000000003E-2</v>
      </c>
      <c r="AG25" s="43">
        <v>240</v>
      </c>
      <c r="AH25" s="34"/>
      <c r="AI25" s="50">
        <v>8.3000000000000004E-2</v>
      </c>
      <c r="AJ25" s="34"/>
      <c r="AK25" s="33">
        <v>7.6999999999999999E-2</v>
      </c>
      <c r="AL25" s="50">
        <v>7.6999999999999999E-2</v>
      </c>
      <c r="AM25" s="34"/>
      <c r="AN25" s="50"/>
      <c r="AO25" s="43">
        <v>240</v>
      </c>
      <c r="AP25" s="34"/>
      <c r="AQ25" s="43">
        <v>300</v>
      </c>
      <c r="AR25" s="34"/>
      <c r="AS25" s="43">
        <v>0.10299999999999999</v>
      </c>
      <c r="BB25" s="36">
        <v>8.5000000000000006E-2</v>
      </c>
      <c r="BC25">
        <v>1</v>
      </c>
    </row>
    <row r="26" spans="1:55">
      <c r="L26" t="s">
        <v>171</v>
      </c>
      <c r="M26" t="s">
        <v>146</v>
      </c>
      <c r="N26" t="s">
        <v>159</v>
      </c>
      <c r="O26" t="s">
        <v>160</v>
      </c>
      <c r="P26" t="s">
        <v>154</v>
      </c>
      <c r="Q26" t="s">
        <v>163</v>
      </c>
      <c r="R26" t="s">
        <v>167</v>
      </c>
      <c r="S26" t="s">
        <v>168</v>
      </c>
      <c r="T26" t="s">
        <v>169</v>
      </c>
      <c r="Z26" t="s">
        <v>92</v>
      </c>
      <c r="AA26" t="s">
        <v>108</v>
      </c>
      <c r="AB26">
        <v>150</v>
      </c>
      <c r="AC26" t="s">
        <v>109</v>
      </c>
      <c r="AD26">
        <f>VLOOKUP(Tabel3[[#This Row],[Tværsnit]],'Lister og genveje'!$AQ$10:$AS$25,2,0)</f>
        <v>0.126</v>
      </c>
      <c r="AE26">
        <v>8.4000000000000005E-2</v>
      </c>
      <c r="BB26" s="25">
        <v>0.72699999999999998</v>
      </c>
      <c r="BC26">
        <v>2</v>
      </c>
    </row>
    <row r="27" spans="1:55">
      <c r="L27" s="78" t="s">
        <v>153</v>
      </c>
      <c r="M27" t="str">
        <f>'Lister og genveje'!$D$39</f>
        <v>C60N</v>
      </c>
      <c r="N27">
        <v>0.5</v>
      </c>
      <c r="O27" t="s">
        <v>38</v>
      </c>
      <c r="P27" t="str">
        <f>'Lister og genveje'!$F$38</f>
        <v>1 Pol</v>
      </c>
      <c r="Q27">
        <f>INDEX('Lister og genveje'!$E$39:$I$46,MATCH(M27,'Lister og genveje'!$D$39:$D$46,0),MATCH(P27,'Lister og genveje'!$E$38:$I$38,0),1)</f>
        <v>3</v>
      </c>
      <c r="R27">
        <f>HLOOKUP(O27,'Lister og genveje'!$E$50:$G$52,2,0)</f>
        <v>3.2</v>
      </c>
      <c r="S27">
        <f>HLOOKUP(O27,'Lister og genveje'!$E$50:$G$52,3,0)</f>
        <v>4.8</v>
      </c>
      <c r="T27">
        <f>VLOOKUP(M27,'Lister og genveje'!$D$39:$J$46,7,0)</f>
        <v>0.75</v>
      </c>
      <c r="Z27" t="s">
        <v>92</v>
      </c>
      <c r="AA27" t="s">
        <v>108</v>
      </c>
      <c r="AB27">
        <v>185</v>
      </c>
      <c r="AC27" t="s">
        <v>109</v>
      </c>
      <c r="AD27">
        <f>VLOOKUP(Tabel3[[#This Row],[Tværsnit]],'Lister og genveje'!$AQ$10:$AS$25,2,0)</f>
        <v>0.1017</v>
      </c>
      <c r="AE27">
        <v>8.2000000000000003E-2</v>
      </c>
      <c r="BB27" s="36">
        <v>8.5999999999999993E-2</v>
      </c>
      <c r="BC27">
        <v>1</v>
      </c>
    </row>
    <row r="28" spans="1:55">
      <c r="L28" t="str">
        <f t="shared" ref="L28:L91" si="0">$L$27</f>
        <v>IEC 947-2</v>
      </c>
      <c r="M28" t="str">
        <f>'Lister og genveje'!$D$39</f>
        <v>C60N</v>
      </c>
      <c r="N28">
        <v>1</v>
      </c>
      <c r="O28" t="s">
        <v>38</v>
      </c>
      <c r="P28" t="str">
        <f>'Lister og genveje'!$F$38</f>
        <v>1 Pol</v>
      </c>
      <c r="Q28">
        <f>INDEX('Lister og genveje'!$E$39:$I$46,MATCH(M28,'Lister og genveje'!$D$39:$D$46,0),MATCH(P28,'Lister og genveje'!$E$38:$I$38,0),1)</f>
        <v>3</v>
      </c>
      <c r="R28">
        <f>HLOOKUP(O28,'Lister og genveje'!$E$50:$G$52,2,0)</f>
        <v>3.2</v>
      </c>
      <c r="S28">
        <f>HLOOKUP(O28,'Lister og genveje'!$E$50:$G$52,3,0)</f>
        <v>4.8</v>
      </c>
      <c r="T28">
        <f>VLOOKUP(M28,'Lister og genveje'!$D$39:$J$46,7,0)</f>
        <v>0.75</v>
      </c>
      <c r="Z28" t="s">
        <v>92</v>
      </c>
      <c r="AA28" t="s">
        <v>108</v>
      </c>
      <c r="AB28">
        <v>240</v>
      </c>
      <c r="AC28" t="s">
        <v>109</v>
      </c>
      <c r="AD28">
        <f>VLOOKUP(Tabel3[[#This Row],[Tværsnit]],'Lister og genveje'!$AQ$10:$AS$25,2,0)</f>
        <v>7.8700000000000006E-2</v>
      </c>
      <c r="AE28">
        <v>8.3000000000000004E-2</v>
      </c>
      <c r="BB28" s="36">
        <v>8.8999999999999996E-2</v>
      </c>
      <c r="BC28">
        <v>1</v>
      </c>
    </row>
    <row r="29" spans="1:55">
      <c r="L29" t="str">
        <f t="shared" si="0"/>
        <v>IEC 947-2</v>
      </c>
      <c r="M29" t="str">
        <f>'Lister og genveje'!$D$39</f>
        <v>C60N</v>
      </c>
      <c r="N29">
        <v>2</v>
      </c>
      <c r="O29" t="s">
        <v>38</v>
      </c>
      <c r="P29" t="str">
        <f>'Lister og genveje'!$F$38</f>
        <v>1 Pol</v>
      </c>
      <c r="Q29">
        <f>INDEX('Lister og genveje'!$E$39:$I$46,MATCH(M29,'Lister og genveje'!$D$39:$D$46,0),MATCH(P29,'Lister og genveje'!$E$38:$I$38,0),1)</f>
        <v>3</v>
      </c>
      <c r="R29">
        <f>HLOOKUP(O29,'Lister og genveje'!$E$50:$G$52,2,0)</f>
        <v>3.2</v>
      </c>
      <c r="S29">
        <f>HLOOKUP(O29,'Lister og genveje'!$E$50:$G$52,3,0)</f>
        <v>4.8</v>
      </c>
      <c r="T29">
        <f>VLOOKUP(M29,'Lister og genveje'!$D$39:$J$46,7,0)</f>
        <v>0.75</v>
      </c>
      <c r="Z29" t="s">
        <v>93</v>
      </c>
      <c r="AA29" t="s">
        <v>108</v>
      </c>
      <c r="AB29">
        <v>6</v>
      </c>
      <c r="AC29" t="s">
        <v>109</v>
      </c>
      <c r="AD29">
        <f>VLOOKUP(Tabel3[[#This Row],[Tværsnit]],'Lister og genveje'!$AQ$10:$AS$25,2,0)</f>
        <v>3.08</v>
      </c>
      <c r="AE29">
        <v>9.7000000000000003E-2</v>
      </c>
      <c r="BB29" s="25">
        <v>1.1499999999999999</v>
      </c>
      <c r="BC29">
        <v>4</v>
      </c>
    </row>
    <row r="30" spans="1:55" ht="16" thickBot="1">
      <c r="H30" s="6" t="s">
        <v>137</v>
      </c>
      <c r="L30" t="str">
        <f t="shared" si="0"/>
        <v>IEC 947-2</v>
      </c>
      <c r="M30" t="str">
        <f>'Lister og genveje'!$D$39</f>
        <v>C60N</v>
      </c>
      <c r="N30">
        <v>3</v>
      </c>
      <c r="O30" t="s">
        <v>38</v>
      </c>
      <c r="P30" t="str">
        <f>'Lister og genveje'!$F$38</f>
        <v>1 Pol</v>
      </c>
      <c r="Q30">
        <f>INDEX('Lister og genveje'!$E$39:$I$46,MATCH(M30,'Lister og genveje'!$D$39:$D$46,0),MATCH(P30,'Lister og genveje'!$E$38:$I$38,0),1)</f>
        <v>3</v>
      </c>
      <c r="R30">
        <f>HLOOKUP(O30,'Lister og genveje'!$E$50:$G$52,2,0)</f>
        <v>3.2</v>
      </c>
      <c r="S30">
        <f>HLOOKUP(O30,'Lister og genveje'!$E$50:$G$52,3,0)</f>
        <v>4.8</v>
      </c>
      <c r="T30">
        <f>VLOOKUP(M30,'Lister og genveje'!$D$39:$J$46,7,0)</f>
        <v>0.75</v>
      </c>
      <c r="Z30" t="s">
        <v>93</v>
      </c>
      <c r="AA30" t="s">
        <v>108</v>
      </c>
      <c r="AB30">
        <v>10</v>
      </c>
      <c r="AC30" t="s">
        <v>109</v>
      </c>
      <c r="AD30">
        <f>VLOOKUP(Tabel3[[#This Row],[Tværsnit]],'Lister og genveje'!$AQ$10:$AS$25,2,0)</f>
        <v>1.83</v>
      </c>
      <c r="AE30">
        <v>9.1999999999999998E-2</v>
      </c>
      <c r="BB30" s="36">
        <v>8.5000000000000006E-2</v>
      </c>
      <c r="BC30">
        <v>2</v>
      </c>
    </row>
    <row r="31" spans="1:55">
      <c r="A31" s="124" t="s">
        <v>28</v>
      </c>
      <c r="B31" s="125"/>
      <c r="H31" s="6" t="s">
        <v>24</v>
      </c>
      <c r="L31" t="str">
        <f t="shared" si="0"/>
        <v>IEC 947-2</v>
      </c>
      <c r="M31" t="str">
        <f>'Lister og genveje'!$D$39</f>
        <v>C60N</v>
      </c>
      <c r="N31">
        <v>4</v>
      </c>
      <c r="O31" t="s">
        <v>38</v>
      </c>
      <c r="P31" t="str">
        <f>'Lister og genveje'!$F$38</f>
        <v>1 Pol</v>
      </c>
      <c r="Q31">
        <f>INDEX('Lister og genveje'!$E$39:$I$46,MATCH(M31,'Lister og genveje'!$D$39:$D$46,0),MATCH(P31,'Lister og genveje'!$E$38:$I$38,0),1)</f>
        <v>3</v>
      </c>
      <c r="R31">
        <f>HLOOKUP(O31,'Lister og genveje'!$E$50:$G$52,2,0)</f>
        <v>3.2</v>
      </c>
      <c r="S31">
        <f>HLOOKUP(O31,'Lister og genveje'!$E$50:$G$52,3,0)</f>
        <v>4.8</v>
      </c>
      <c r="T31">
        <f>VLOOKUP(M31,'Lister og genveje'!$D$39:$J$46,7,0)</f>
        <v>0.75</v>
      </c>
      <c r="Z31" t="s">
        <v>93</v>
      </c>
      <c r="AA31" t="s">
        <v>108</v>
      </c>
      <c r="AB31">
        <v>16</v>
      </c>
      <c r="AC31" t="s">
        <v>109</v>
      </c>
      <c r="AD31">
        <f>VLOOKUP(Tabel3[[#This Row],[Tværsnit]],'Lister og genveje'!$AQ$10:$AS$25,2,0)</f>
        <v>1.1499999999999999</v>
      </c>
      <c r="AE31">
        <v>8.7999999999999995E-2</v>
      </c>
      <c r="BB31" s="36">
        <v>8.7999999999999995E-2</v>
      </c>
      <c r="BC31">
        <v>2</v>
      </c>
    </row>
    <row r="32" spans="1:55" ht="16" thickBot="1">
      <c r="A32" s="126"/>
      <c r="B32" s="127"/>
      <c r="H32" s="6" t="s">
        <v>25</v>
      </c>
      <c r="L32" t="str">
        <f t="shared" si="0"/>
        <v>IEC 947-2</v>
      </c>
      <c r="M32" t="str">
        <f>'Lister og genveje'!$D$39</f>
        <v>C60N</v>
      </c>
      <c r="N32">
        <v>6</v>
      </c>
      <c r="O32" t="s">
        <v>38</v>
      </c>
      <c r="P32" t="str">
        <f>'Lister og genveje'!$F$38</f>
        <v>1 Pol</v>
      </c>
      <c r="Q32">
        <f>INDEX('Lister og genveje'!$E$39:$I$46,MATCH(M32,'Lister og genveje'!$D$39:$D$46,0),MATCH(P32,'Lister og genveje'!$E$38:$I$38,0),1)</f>
        <v>3</v>
      </c>
      <c r="R32">
        <f>HLOOKUP(O32,'Lister og genveje'!$E$50:$G$52,2,0)</f>
        <v>3.2</v>
      </c>
      <c r="S32">
        <f>HLOOKUP(O32,'Lister og genveje'!$E$50:$G$52,3,0)</f>
        <v>4.8</v>
      </c>
      <c r="T32">
        <f>VLOOKUP(M32,'Lister og genveje'!$D$39:$J$46,7,0)</f>
        <v>0.75</v>
      </c>
      <c r="Z32" t="s">
        <v>93</v>
      </c>
      <c r="AA32" t="s">
        <v>108</v>
      </c>
      <c r="AB32">
        <v>25</v>
      </c>
      <c r="AC32" t="s">
        <v>109</v>
      </c>
      <c r="AD32">
        <f>VLOOKUP(Tabel3[[#This Row],[Tværsnit]],'Lister og genveje'!$AQ$10:$AS$25,2,0)</f>
        <v>0.72699999999999998</v>
      </c>
      <c r="AE32">
        <v>8.8999999999999996E-2</v>
      </c>
      <c r="BB32" s="25">
        <v>1.83</v>
      </c>
      <c r="BC32">
        <v>4</v>
      </c>
    </row>
    <row r="33" spans="4:55">
      <c r="L33" t="str">
        <f t="shared" si="0"/>
        <v>IEC 947-2</v>
      </c>
      <c r="M33" t="str">
        <f>'Lister og genveje'!$D$39</f>
        <v>C60N</v>
      </c>
      <c r="N33">
        <v>10</v>
      </c>
      <c r="O33" t="s">
        <v>38</v>
      </c>
      <c r="P33" t="str">
        <f>'Lister og genveje'!$F$38</f>
        <v>1 Pol</v>
      </c>
      <c r="Q33">
        <f>INDEX('Lister og genveje'!$E$39:$I$46,MATCH(M33,'Lister og genveje'!$D$39:$D$46,0),MATCH(P33,'Lister og genveje'!$E$38:$I$38,0),1)</f>
        <v>3</v>
      </c>
      <c r="R33">
        <f>HLOOKUP(O33,'Lister og genveje'!$E$50:$G$52,2,0)</f>
        <v>3.2</v>
      </c>
      <c r="S33">
        <f>HLOOKUP(O33,'Lister og genveje'!$E$50:$G$52,3,0)</f>
        <v>4.8</v>
      </c>
      <c r="T33">
        <f>VLOOKUP(M33,'Lister og genveje'!$D$39:$J$46,7,0)</f>
        <v>0.75</v>
      </c>
      <c r="Z33" t="s">
        <v>93</v>
      </c>
      <c r="AA33" t="s">
        <v>108</v>
      </c>
      <c r="AB33">
        <v>35</v>
      </c>
      <c r="AC33" t="s">
        <v>109</v>
      </c>
      <c r="AD33">
        <f>VLOOKUP(Tabel3[[#This Row],[Tværsnit]],'Lister og genveje'!$AQ$10:$AS$25,2,0)</f>
        <v>0.52500000000000002</v>
      </c>
      <c r="AE33">
        <v>8.5000000000000006E-2</v>
      </c>
      <c r="BB33" s="36">
        <v>8.8999999999999996E-2</v>
      </c>
      <c r="BC33">
        <v>2</v>
      </c>
    </row>
    <row r="34" spans="4:55">
      <c r="L34" t="str">
        <f t="shared" si="0"/>
        <v>IEC 947-2</v>
      </c>
      <c r="M34" t="str">
        <f>'Lister og genveje'!$D$39</f>
        <v>C60N</v>
      </c>
      <c r="N34">
        <v>13</v>
      </c>
      <c r="O34" t="s">
        <v>38</v>
      </c>
      <c r="P34" t="str">
        <f>'Lister og genveje'!$F$38</f>
        <v>1 Pol</v>
      </c>
      <c r="Q34">
        <f>INDEX('Lister og genveje'!$E$39:$I$46,MATCH(M34,'Lister og genveje'!$D$39:$D$46,0),MATCH(P34,'Lister og genveje'!$E$38:$I$38,0),1)</f>
        <v>3</v>
      </c>
      <c r="R34">
        <f>HLOOKUP(O34,'Lister og genveje'!$E$50:$G$52,2,0)</f>
        <v>3.2</v>
      </c>
      <c r="S34">
        <f>HLOOKUP(O34,'Lister og genveje'!$E$50:$G$52,3,0)</f>
        <v>4.8</v>
      </c>
      <c r="T34">
        <f>VLOOKUP(M34,'Lister og genveje'!$D$39:$J$46,7,0)</f>
        <v>0.75</v>
      </c>
      <c r="Z34" t="s">
        <v>96</v>
      </c>
      <c r="AA34" t="s">
        <v>108</v>
      </c>
      <c r="AB34" t="s">
        <v>110</v>
      </c>
      <c r="AC34" t="s">
        <v>83</v>
      </c>
      <c r="AD34">
        <f>'Lister og genveje'!AR19</f>
        <v>0.26900000000000002</v>
      </c>
      <c r="AE34">
        <v>7.9000000000000001E-2</v>
      </c>
      <c r="BB34" s="36">
        <v>9.1999999999999998E-2</v>
      </c>
      <c r="BC34">
        <v>2</v>
      </c>
    </row>
    <row r="35" spans="4:55">
      <c r="L35" t="str">
        <f t="shared" si="0"/>
        <v>IEC 947-2</v>
      </c>
      <c r="M35" t="str">
        <f>'Lister og genveje'!$D$39</f>
        <v>C60N</v>
      </c>
      <c r="N35">
        <v>16</v>
      </c>
      <c r="O35" t="s">
        <v>38</v>
      </c>
      <c r="P35" t="str">
        <f>'Lister og genveje'!$F$38</f>
        <v>1 Pol</v>
      </c>
      <c r="Q35">
        <f>INDEX('Lister og genveje'!$E$39:$I$46,MATCH(M35,'Lister og genveje'!$D$39:$D$46,0),MATCH(P35,'Lister og genveje'!$E$38:$I$38,0),1)</f>
        <v>3</v>
      </c>
      <c r="R35">
        <f>HLOOKUP(O35,'Lister og genveje'!$E$50:$G$52,2,0)</f>
        <v>3.2</v>
      </c>
      <c r="S35">
        <f>HLOOKUP(O35,'Lister og genveje'!$E$50:$G$52,3,0)</f>
        <v>4.8</v>
      </c>
      <c r="T35">
        <f>VLOOKUP(M35,'Lister og genveje'!$D$39:$J$46,7,0)</f>
        <v>0.75</v>
      </c>
      <c r="Z35" t="s">
        <v>96</v>
      </c>
      <c r="AA35" t="s">
        <v>108</v>
      </c>
      <c r="AB35" t="s">
        <v>111</v>
      </c>
      <c r="AC35" t="s">
        <v>83</v>
      </c>
      <c r="AD35">
        <f>'Lister og genveje'!AR20</f>
        <v>0.19400000000000001</v>
      </c>
      <c r="AE35">
        <v>7.6999999999999999E-2</v>
      </c>
      <c r="BB35" s="25">
        <v>3.08</v>
      </c>
      <c r="BC35">
        <v>4</v>
      </c>
    </row>
    <row r="36" spans="4:55">
      <c r="L36" t="str">
        <f t="shared" si="0"/>
        <v>IEC 947-2</v>
      </c>
      <c r="M36" t="str">
        <f>'Lister og genveje'!$D$39</f>
        <v>C60N</v>
      </c>
      <c r="N36">
        <v>20</v>
      </c>
      <c r="O36" t="s">
        <v>38</v>
      </c>
      <c r="P36" t="str">
        <f>'Lister og genveje'!$F$38</f>
        <v>1 Pol</v>
      </c>
      <c r="Q36">
        <f>INDEX('Lister og genveje'!$E$39:$I$46,MATCH(M36,'Lister og genveje'!$D$39:$D$46,0),MATCH(P36,'Lister og genveje'!$E$38:$I$38,0),1)</f>
        <v>3</v>
      </c>
      <c r="R36">
        <f>HLOOKUP(O36,'Lister og genveje'!$E$50:$G$52,2,0)</f>
        <v>3.2</v>
      </c>
      <c r="S36">
        <f>HLOOKUP(O36,'Lister og genveje'!$E$50:$G$52,3,0)</f>
        <v>4.8</v>
      </c>
      <c r="T36">
        <f>VLOOKUP(M36,'Lister og genveje'!$D$39:$J$46,7,0)</f>
        <v>0.75</v>
      </c>
      <c r="Z36" t="s">
        <v>96</v>
      </c>
      <c r="AA36" t="s">
        <v>108</v>
      </c>
      <c r="AB36" t="s">
        <v>112</v>
      </c>
      <c r="AC36" t="s">
        <v>83</v>
      </c>
      <c r="AD36">
        <f>'Lister og genveje'!AR21</f>
        <v>0.155</v>
      </c>
      <c r="AE36">
        <v>7.6999999999999999E-2</v>
      </c>
      <c r="BB36" s="36">
        <v>9.4E-2</v>
      </c>
      <c r="BC36">
        <v>2</v>
      </c>
    </row>
    <row r="37" spans="4:55" ht="16" thickBot="1">
      <c r="L37" t="str">
        <f t="shared" si="0"/>
        <v>IEC 947-2</v>
      </c>
      <c r="M37" t="str">
        <f>'Lister og genveje'!$D$39</f>
        <v>C60N</v>
      </c>
      <c r="N37">
        <v>25</v>
      </c>
      <c r="O37" t="s">
        <v>38</v>
      </c>
      <c r="P37" t="str">
        <f>'Lister og genveje'!$F$38</f>
        <v>1 Pol</v>
      </c>
      <c r="Q37">
        <f>INDEX('Lister og genveje'!$E$39:$I$46,MATCH(M37,'Lister og genveje'!$D$39:$D$46,0),MATCH(P37,'Lister og genveje'!$E$38:$I$38,0),1)</f>
        <v>3</v>
      </c>
      <c r="R37">
        <f>HLOOKUP(O37,'Lister og genveje'!$E$50:$G$52,2,0)</f>
        <v>3.2</v>
      </c>
      <c r="S37">
        <f>HLOOKUP(O37,'Lister og genveje'!$E$50:$G$52,3,0)</f>
        <v>4.8</v>
      </c>
      <c r="T37">
        <f>VLOOKUP(M37,'Lister og genveje'!$D$39:$J$46,7,0)</f>
        <v>0.75</v>
      </c>
      <c r="Z37" t="s">
        <v>96</v>
      </c>
      <c r="AA37" t="s">
        <v>108</v>
      </c>
      <c r="AB37" t="s">
        <v>113</v>
      </c>
      <c r="AC37" t="s">
        <v>83</v>
      </c>
      <c r="AD37">
        <f>'Lister og genveje'!AR23</f>
        <v>0.1017</v>
      </c>
      <c r="AE37">
        <v>7.6999999999999999E-2</v>
      </c>
      <c r="BB37" s="36">
        <v>9.7000000000000003E-2</v>
      </c>
      <c r="BC37">
        <v>2</v>
      </c>
    </row>
    <row r="38" spans="4:55">
      <c r="D38" s="26" t="s">
        <v>146</v>
      </c>
      <c r="E38" s="27" t="s">
        <v>156</v>
      </c>
      <c r="F38" s="27" t="s">
        <v>161</v>
      </c>
      <c r="G38" s="27" t="s">
        <v>162</v>
      </c>
      <c r="H38" s="27" t="s">
        <v>157</v>
      </c>
      <c r="I38" s="27" t="s">
        <v>158</v>
      </c>
      <c r="J38" s="29" t="s">
        <v>169</v>
      </c>
      <c r="L38" t="str">
        <f t="shared" si="0"/>
        <v>IEC 947-2</v>
      </c>
      <c r="M38" t="str">
        <f>'Lister og genveje'!$D$39</f>
        <v>C60N</v>
      </c>
      <c r="N38">
        <v>32</v>
      </c>
      <c r="O38" t="s">
        <v>38</v>
      </c>
      <c r="P38" t="str">
        <f>'Lister og genveje'!$F$38</f>
        <v>1 Pol</v>
      </c>
      <c r="Q38">
        <f>INDEX('Lister og genveje'!$E$39:$I$46,MATCH(M38,'Lister og genveje'!$D$39:$D$46,0),MATCH(P38,'Lister og genveje'!$E$38:$I$38,0),1)</f>
        <v>3</v>
      </c>
      <c r="R38">
        <f>HLOOKUP(O38,'Lister og genveje'!$E$50:$G$52,2,0)</f>
        <v>3.2</v>
      </c>
      <c r="S38">
        <f>HLOOKUP(O38,'Lister og genveje'!$E$50:$G$52,3,0)</f>
        <v>4.8</v>
      </c>
      <c r="T38">
        <f>VLOOKUP(M38,'Lister og genveje'!$D$39:$J$46,7,0)</f>
        <v>0.75</v>
      </c>
      <c r="Z38" t="s">
        <v>92</v>
      </c>
      <c r="AA38" t="s">
        <v>90</v>
      </c>
      <c r="AB38">
        <v>16</v>
      </c>
      <c r="AC38" t="s">
        <v>91</v>
      </c>
      <c r="AD38">
        <f>VLOOKUP(Tabel3[[#This Row],[Tværsnit]],'Lister og genveje'!$AQ$10:$AS$25,3,1)</f>
        <v>1.91</v>
      </c>
      <c r="AE38">
        <v>6.9000000000000006E-2</v>
      </c>
      <c r="BB38" s="25">
        <v>4.6100000000000003</v>
      </c>
      <c r="BC38">
        <v>2</v>
      </c>
    </row>
    <row r="39" spans="4:55">
      <c r="D39" s="30" t="s">
        <v>147</v>
      </c>
      <c r="F39">
        <v>3</v>
      </c>
      <c r="G39">
        <v>10</v>
      </c>
      <c r="H39">
        <v>1</v>
      </c>
      <c r="I39">
        <v>63</v>
      </c>
      <c r="J39" s="31">
        <v>0.75</v>
      </c>
      <c r="L39" t="str">
        <f t="shared" si="0"/>
        <v>IEC 947-2</v>
      </c>
      <c r="M39" t="str">
        <f>'Lister og genveje'!$D$39</f>
        <v>C60N</v>
      </c>
      <c r="N39">
        <v>40</v>
      </c>
      <c r="O39" t="s">
        <v>38</v>
      </c>
      <c r="P39" t="str">
        <f>'Lister og genveje'!$F$38</f>
        <v>1 Pol</v>
      </c>
      <c r="Q39">
        <f>INDEX('Lister og genveje'!$E$39:$I$46,MATCH(M39,'Lister og genveje'!$D$39:$D$46,0),MATCH(P39,'Lister og genveje'!$E$38:$I$38,0),1)</f>
        <v>3</v>
      </c>
      <c r="R39">
        <f>HLOOKUP(O39,'Lister og genveje'!$E$50:$G$52,2,0)</f>
        <v>3.2</v>
      </c>
      <c r="S39">
        <f>HLOOKUP(O39,'Lister og genveje'!$E$50:$G$52,3,0)</f>
        <v>4.8</v>
      </c>
      <c r="T39">
        <f>VLOOKUP(M39,'Lister og genveje'!$D$39:$J$46,7,0)</f>
        <v>0.75</v>
      </c>
      <c r="Z39" t="s">
        <v>92</v>
      </c>
      <c r="AA39" t="s">
        <v>90</v>
      </c>
      <c r="AB39">
        <v>25</v>
      </c>
      <c r="AC39" t="s">
        <v>91</v>
      </c>
      <c r="AD39">
        <f>VLOOKUP(Tabel3[[#This Row],[Tværsnit]],'Lister og genveje'!$AQ$10:$AS$25,3,1)</f>
        <v>1.2</v>
      </c>
      <c r="AE39">
        <v>8.4000000000000005E-2</v>
      </c>
      <c r="BB39" s="36">
        <v>9.6000000000000002E-2</v>
      </c>
      <c r="BC39">
        <v>1</v>
      </c>
    </row>
    <row r="40" spans="4:55">
      <c r="D40" s="30" t="s">
        <v>148</v>
      </c>
      <c r="F40">
        <v>3</v>
      </c>
      <c r="G40">
        <v>15</v>
      </c>
      <c r="H40">
        <v>1</v>
      </c>
      <c r="I40">
        <v>63</v>
      </c>
      <c r="J40" s="31">
        <v>0.5</v>
      </c>
      <c r="L40" t="str">
        <f t="shared" si="0"/>
        <v>IEC 947-2</v>
      </c>
      <c r="M40" t="str">
        <f>'Lister og genveje'!$D$39</f>
        <v>C60N</v>
      </c>
      <c r="N40">
        <v>50</v>
      </c>
      <c r="O40" t="s">
        <v>38</v>
      </c>
      <c r="P40" t="str">
        <f>'Lister og genveje'!$F$38</f>
        <v>1 Pol</v>
      </c>
      <c r="Q40">
        <f>INDEX('Lister og genveje'!$E$39:$I$46,MATCH(M40,'Lister og genveje'!$D$39:$D$46,0),MATCH(P40,'Lister og genveje'!$E$38:$I$38,0),1)</f>
        <v>3</v>
      </c>
      <c r="R40">
        <f>HLOOKUP(O40,'Lister og genveje'!$E$50:$G$52,2,0)</f>
        <v>3.2</v>
      </c>
      <c r="S40">
        <f>HLOOKUP(O40,'Lister og genveje'!$E$50:$G$52,3,0)</f>
        <v>4.8</v>
      </c>
      <c r="T40">
        <f>VLOOKUP(M40,'Lister og genveje'!$D$39:$J$46,7,0)</f>
        <v>0.75</v>
      </c>
      <c r="Z40" t="s">
        <v>92</v>
      </c>
      <c r="AA40" t="s">
        <v>90</v>
      </c>
      <c r="AB40">
        <v>50</v>
      </c>
      <c r="AC40" t="s">
        <v>91</v>
      </c>
      <c r="AD40">
        <f>VLOOKUP(Tabel3[[#This Row],[Tværsnit]],'Lister og genveje'!$AQ$10:$AS$25,3,1)</f>
        <v>0.64100000000000001</v>
      </c>
      <c r="AE40">
        <v>8.1000000000000003E-2</v>
      </c>
      <c r="BB40" s="36">
        <v>9.9000000000000005E-2</v>
      </c>
      <c r="BC40">
        <v>1</v>
      </c>
    </row>
    <row r="41" spans="4:55">
      <c r="D41" s="30" t="s">
        <v>149</v>
      </c>
      <c r="F41">
        <v>6</v>
      </c>
      <c r="G41">
        <v>25</v>
      </c>
      <c r="H41">
        <v>0.5</v>
      </c>
      <c r="I41">
        <v>25</v>
      </c>
      <c r="J41" s="31">
        <v>0.5</v>
      </c>
      <c r="L41" t="str">
        <f t="shared" si="0"/>
        <v>IEC 947-2</v>
      </c>
      <c r="M41" t="str">
        <f>'Lister og genveje'!$D$39</f>
        <v>C60N</v>
      </c>
      <c r="N41">
        <v>63</v>
      </c>
      <c r="O41" t="s">
        <v>38</v>
      </c>
      <c r="P41" t="str">
        <f>'Lister og genveje'!$F$38</f>
        <v>1 Pol</v>
      </c>
      <c r="Q41">
        <f>INDEX('Lister og genveje'!$E$39:$I$46,MATCH(M41,'Lister og genveje'!$D$39:$D$46,0),MATCH(P41,'Lister og genveje'!$E$38:$I$38,0),1)</f>
        <v>3</v>
      </c>
      <c r="R41">
        <f>HLOOKUP(O41,'Lister og genveje'!$E$50:$G$52,2,0)</f>
        <v>3.2</v>
      </c>
      <c r="S41">
        <f>HLOOKUP(O41,'Lister og genveje'!$E$50:$G$52,3,0)</f>
        <v>4.8</v>
      </c>
      <c r="T41">
        <f>VLOOKUP(M41,'Lister og genveje'!$D$39:$J$46,7,0)</f>
        <v>0.75</v>
      </c>
      <c r="Z41" t="s">
        <v>92</v>
      </c>
      <c r="AA41" t="s">
        <v>90</v>
      </c>
      <c r="AB41">
        <v>95</v>
      </c>
      <c r="AC41" t="s">
        <v>91</v>
      </c>
      <c r="AD41">
        <f>VLOOKUP(Tabel3[[#This Row],[Tværsnit]],'Lister og genveje'!$AQ$10:$AS$25,3,1)</f>
        <v>0.32100000000000001</v>
      </c>
      <c r="AE41">
        <v>7.8E-2</v>
      </c>
      <c r="BB41" s="25">
        <v>7.41</v>
      </c>
      <c r="BC41">
        <v>1</v>
      </c>
    </row>
    <row r="42" spans="4:55">
      <c r="D42" s="30" t="s">
        <v>149</v>
      </c>
      <c r="F42">
        <v>5</v>
      </c>
      <c r="G42">
        <v>20</v>
      </c>
      <c r="H42">
        <v>32</v>
      </c>
      <c r="I42">
        <v>40</v>
      </c>
      <c r="J42" s="31">
        <v>0.5</v>
      </c>
      <c r="L42" t="str">
        <f t="shared" si="0"/>
        <v>IEC 947-2</v>
      </c>
      <c r="M42" t="str">
        <f>'Lister og genveje'!$D$39</f>
        <v>C60N</v>
      </c>
      <c r="N42">
        <v>1</v>
      </c>
      <c r="O42" t="s">
        <v>38</v>
      </c>
      <c r="P42" t="str">
        <f>'Lister og genveje'!$G$38</f>
        <v>Flere poler</v>
      </c>
      <c r="Q42">
        <f>INDEX('Lister og genveje'!$E$39:$I$46,MATCH(M42,'Lister og genveje'!$D$39:$D$46,0),MATCH(P42,'Lister og genveje'!$E$38:$I$38,0),1)</f>
        <v>10</v>
      </c>
      <c r="R42">
        <f>HLOOKUP(O42,'Lister og genveje'!$E$50:$G$52,2,0)</f>
        <v>3.2</v>
      </c>
      <c r="S42">
        <f>HLOOKUP(O42,'Lister og genveje'!$E$50:$G$52,3,0)</f>
        <v>4.8</v>
      </c>
      <c r="T42">
        <f>VLOOKUP(M42,'Lister og genveje'!$D$39:$J$46,7,0)</f>
        <v>0.75</v>
      </c>
      <c r="Z42" t="s">
        <v>92</v>
      </c>
      <c r="AA42" t="s">
        <v>90</v>
      </c>
      <c r="AB42">
        <v>150</v>
      </c>
      <c r="AC42" t="s">
        <v>91</v>
      </c>
      <c r="AD42">
        <f>VLOOKUP(Tabel3[[#This Row],[Tværsnit]],'Lister og genveje'!$AQ$10:$AS$25,3,1)</f>
        <v>0.20699999999999999</v>
      </c>
      <c r="AE42">
        <v>7.8E-2</v>
      </c>
      <c r="BB42" s="36">
        <v>0.105</v>
      </c>
      <c r="BC42">
        <v>1</v>
      </c>
    </row>
    <row r="43" spans="4:55">
      <c r="D43" s="30" t="s">
        <v>149</v>
      </c>
      <c r="F43">
        <v>4</v>
      </c>
      <c r="G43">
        <v>15</v>
      </c>
      <c r="H43">
        <v>50</v>
      </c>
      <c r="I43">
        <v>63</v>
      </c>
      <c r="J43" s="31">
        <v>0.5</v>
      </c>
      <c r="L43" t="str">
        <f t="shared" si="0"/>
        <v>IEC 947-2</v>
      </c>
      <c r="M43" t="str">
        <f>'Lister og genveje'!$D$39</f>
        <v>C60N</v>
      </c>
      <c r="N43">
        <v>2</v>
      </c>
      <c r="O43" t="s">
        <v>38</v>
      </c>
      <c r="P43" t="str">
        <f>'Lister og genveje'!$G$38</f>
        <v>Flere poler</v>
      </c>
      <c r="Q43">
        <f>INDEX('Lister og genveje'!$E$39:$I$46,MATCH(M43,'Lister og genveje'!$D$39:$D$46,0),MATCH(P43,'Lister og genveje'!$E$38:$I$38,0),1)</f>
        <v>10</v>
      </c>
      <c r="R43">
        <f>HLOOKUP(O43,'Lister og genveje'!$E$50:$G$52,2,0)</f>
        <v>3.2</v>
      </c>
      <c r="S43">
        <f>HLOOKUP(O43,'Lister og genveje'!$E$50:$G$52,3,0)</f>
        <v>4.8</v>
      </c>
      <c r="T43">
        <f>VLOOKUP(M43,'Lister og genveje'!$D$39:$J$46,7,0)</f>
        <v>0.75</v>
      </c>
      <c r="Z43" t="s">
        <v>92</v>
      </c>
      <c r="AA43" t="s">
        <v>90</v>
      </c>
      <c r="AB43">
        <v>240</v>
      </c>
      <c r="AC43" t="s">
        <v>91</v>
      </c>
      <c r="AD43">
        <f>VLOOKUP(Tabel3[[#This Row],[Tværsnit]],'Lister og genveje'!$AQ$10:$AS$25,3,1)</f>
        <v>0.127</v>
      </c>
      <c r="AE43">
        <v>7.6999999999999999E-2</v>
      </c>
      <c r="BB43" s="25">
        <v>12.1</v>
      </c>
      <c r="BC43">
        <v>1</v>
      </c>
    </row>
    <row r="44" spans="4:55">
      <c r="D44" s="30" t="s">
        <v>150</v>
      </c>
      <c r="F44">
        <v>3</v>
      </c>
      <c r="G44">
        <v>10</v>
      </c>
      <c r="H44">
        <v>63</v>
      </c>
      <c r="I44">
        <v>125</v>
      </c>
      <c r="J44" s="31">
        <v>0.75</v>
      </c>
      <c r="L44" t="str">
        <f t="shared" si="0"/>
        <v>IEC 947-2</v>
      </c>
      <c r="M44" t="str">
        <f>'Lister og genveje'!$D$39</f>
        <v>C60N</v>
      </c>
      <c r="N44">
        <v>3</v>
      </c>
      <c r="O44" t="s">
        <v>38</v>
      </c>
      <c r="P44" t="str">
        <f>'Lister og genveje'!$G$38</f>
        <v>Flere poler</v>
      </c>
      <c r="Q44">
        <f>INDEX('Lister og genveje'!$E$39:$I$46,MATCH(M44,'Lister og genveje'!$D$39:$D$46,0),MATCH(P44,'Lister og genveje'!$E$38:$I$38,0),1)</f>
        <v>10</v>
      </c>
      <c r="R44">
        <f>HLOOKUP(O44,'Lister og genveje'!$E$50:$G$52,2,0)</f>
        <v>3.2</v>
      </c>
      <c r="S44">
        <f>HLOOKUP(O44,'Lister og genveje'!$E$50:$G$52,3,0)</f>
        <v>4.8</v>
      </c>
      <c r="T44">
        <f>VLOOKUP(M44,'Lister og genveje'!$D$39:$J$46,7,0)</f>
        <v>0.75</v>
      </c>
      <c r="Z44" t="s">
        <v>93</v>
      </c>
      <c r="AA44" t="s">
        <v>90</v>
      </c>
      <c r="AB44">
        <v>16</v>
      </c>
      <c r="AC44" t="s">
        <v>91</v>
      </c>
      <c r="AD44">
        <f>VLOOKUP(Tabel3[[#This Row],[Tværsnit]],'Lister og genveje'!$AQ$10:$AS$25,3,1)</f>
        <v>1.91</v>
      </c>
      <c r="AE44">
        <v>7.1999999999999995E-2</v>
      </c>
      <c r="BB44" s="36">
        <v>0.113</v>
      </c>
      <c r="BC44">
        <v>1</v>
      </c>
    </row>
    <row r="45" spans="4:55">
      <c r="D45" s="30" t="s">
        <v>151</v>
      </c>
      <c r="F45">
        <v>15</v>
      </c>
      <c r="G45">
        <v>30</v>
      </c>
      <c r="H45">
        <v>1</v>
      </c>
      <c r="I45">
        <v>125</v>
      </c>
      <c r="J45" s="31">
        <v>0.5</v>
      </c>
      <c r="L45" t="str">
        <f t="shared" si="0"/>
        <v>IEC 947-2</v>
      </c>
      <c r="M45" t="str">
        <f>'Lister og genveje'!$D$39</f>
        <v>C60N</v>
      </c>
      <c r="N45">
        <v>4</v>
      </c>
      <c r="O45" t="s">
        <v>38</v>
      </c>
      <c r="P45" t="str">
        <f>'Lister og genveje'!$G$38</f>
        <v>Flere poler</v>
      </c>
      <c r="Q45">
        <f>INDEX('Lister og genveje'!$E$39:$I$46,MATCH(M45,'Lister og genveje'!$D$39:$D$46,0),MATCH(P45,'Lister og genveje'!$E$38:$I$38,0),1)</f>
        <v>10</v>
      </c>
      <c r="R45">
        <f>HLOOKUP(O45,'Lister og genveje'!$E$50:$G$52,2,0)</f>
        <v>3.2</v>
      </c>
      <c r="S45">
        <f>HLOOKUP(O45,'Lister og genveje'!$E$50:$G$52,3,0)</f>
        <v>4.8</v>
      </c>
      <c r="T45">
        <f>VLOOKUP(M45,'Lister og genveje'!$D$39:$J$46,7,0)</f>
        <v>0.75</v>
      </c>
      <c r="Z45" t="s">
        <v>93</v>
      </c>
      <c r="AA45" t="s">
        <v>90</v>
      </c>
      <c r="AB45">
        <v>25</v>
      </c>
      <c r="AC45" t="s">
        <v>91</v>
      </c>
      <c r="AD45">
        <f>VLOOKUP(Tabel3[[#This Row],[Tværsnit]],'Lister og genveje'!$AQ$10:$AS$25,3,1)</f>
        <v>1.2</v>
      </c>
      <c r="AE45">
        <v>8.6999999999999994E-2</v>
      </c>
      <c r="BB45" s="25">
        <v>7.8700000000000006E-2</v>
      </c>
      <c r="BC45">
        <v>1</v>
      </c>
    </row>
    <row r="46" spans="4:55">
      <c r="D46" s="30" t="s">
        <v>152</v>
      </c>
      <c r="F46">
        <v>4.5</v>
      </c>
      <c r="G46">
        <v>25</v>
      </c>
      <c r="H46">
        <v>10</v>
      </c>
      <c r="I46">
        <v>125</v>
      </c>
      <c r="J46" s="31">
        <v>0.75</v>
      </c>
      <c r="L46" t="str">
        <f t="shared" si="0"/>
        <v>IEC 947-2</v>
      </c>
      <c r="M46" t="str">
        <f>'Lister og genveje'!$D$39</f>
        <v>C60N</v>
      </c>
      <c r="N46">
        <v>6</v>
      </c>
      <c r="O46" t="s">
        <v>38</v>
      </c>
      <c r="P46" t="str">
        <f>'Lister og genveje'!$G$38</f>
        <v>Flere poler</v>
      </c>
      <c r="Q46">
        <f>INDEX('Lister og genveje'!$E$39:$I$46,MATCH(M46,'Lister og genveje'!$D$39:$D$46,0),MATCH(P46,'Lister og genveje'!$E$38:$I$38,0),1)</f>
        <v>10</v>
      </c>
      <c r="R46">
        <f>HLOOKUP(O46,'Lister og genveje'!$E$50:$G$52,2,0)</f>
        <v>3.2</v>
      </c>
      <c r="S46">
        <f>HLOOKUP(O46,'Lister og genveje'!$E$50:$G$52,3,0)</f>
        <v>4.8</v>
      </c>
      <c r="T46">
        <f>VLOOKUP(M46,'Lister og genveje'!$D$39:$J$46,7,0)</f>
        <v>0.75</v>
      </c>
      <c r="Z46" t="s">
        <v>92</v>
      </c>
      <c r="AA46" t="s">
        <v>90</v>
      </c>
      <c r="AB46">
        <v>50</v>
      </c>
      <c r="AC46" t="s">
        <v>94</v>
      </c>
      <c r="AD46">
        <f>VLOOKUP(Tabel3[[#This Row],[Tværsnit]],'Lister og genveje'!$AQ$10:$AS$25,3,1)</f>
        <v>0.64100000000000001</v>
      </c>
      <c r="AE46">
        <v>0.08</v>
      </c>
      <c r="BB46" s="36">
        <v>8.3000000000000004E-2</v>
      </c>
      <c r="BC46">
        <v>1</v>
      </c>
    </row>
    <row r="47" spans="4:55">
      <c r="D47" s="30"/>
      <c r="J47" s="31"/>
      <c r="L47" t="str">
        <f t="shared" si="0"/>
        <v>IEC 947-2</v>
      </c>
      <c r="M47" t="str">
        <f>'Lister og genveje'!$D$39</f>
        <v>C60N</v>
      </c>
      <c r="N47">
        <v>10</v>
      </c>
      <c r="O47" t="s">
        <v>38</v>
      </c>
      <c r="P47" t="str">
        <f>'Lister og genveje'!$G$38</f>
        <v>Flere poler</v>
      </c>
      <c r="Q47">
        <f>INDEX('Lister og genveje'!$E$39:$I$46,MATCH(M47,'Lister og genveje'!$D$39:$D$46,0),MATCH(P47,'Lister og genveje'!$E$38:$I$38,0),1)</f>
        <v>10</v>
      </c>
      <c r="R47">
        <f>HLOOKUP(O47,'Lister og genveje'!$E$50:$G$52,2,0)</f>
        <v>3.2</v>
      </c>
      <c r="S47">
        <f>HLOOKUP(O47,'Lister og genveje'!$E$50:$G$52,3,0)</f>
        <v>4.8</v>
      </c>
      <c r="T47">
        <f>VLOOKUP(M47,'Lister og genveje'!$D$39:$J$46,7,0)</f>
        <v>0.75</v>
      </c>
      <c r="Z47" t="s">
        <v>92</v>
      </c>
      <c r="AA47" t="s">
        <v>90</v>
      </c>
      <c r="AB47">
        <v>70</v>
      </c>
      <c r="AC47" t="s">
        <v>94</v>
      </c>
      <c r="AD47">
        <f>VLOOKUP(Tabel3[[#This Row],[Tværsnit]],'Lister og genveje'!$AQ$10:$AS$25,3,1)</f>
        <v>0.44400000000000001</v>
      </c>
      <c r="AE47">
        <v>7.9000000000000001E-2</v>
      </c>
      <c r="BB47" s="25" t="s">
        <v>78</v>
      </c>
      <c r="BC47">
        <v>31</v>
      </c>
    </row>
    <row r="48" spans="4:55">
      <c r="D48" s="30"/>
      <c r="J48" s="31"/>
      <c r="L48" t="str">
        <f t="shared" si="0"/>
        <v>IEC 947-2</v>
      </c>
      <c r="M48" t="str">
        <f>'Lister og genveje'!$D$39</f>
        <v>C60N</v>
      </c>
      <c r="N48">
        <v>13</v>
      </c>
      <c r="O48" t="s">
        <v>38</v>
      </c>
      <c r="P48" t="str">
        <f>'Lister og genveje'!$G$38</f>
        <v>Flere poler</v>
      </c>
      <c r="Q48">
        <f>INDEX('Lister og genveje'!$E$39:$I$46,MATCH(M48,'Lister og genveje'!$D$39:$D$46,0),MATCH(P48,'Lister og genveje'!$E$38:$I$38,0),1)</f>
        <v>10</v>
      </c>
      <c r="R48">
        <f>HLOOKUP(O48,'Lister og genveje'!$E$50:$G$52,2,0)</f>
        <v>3.2</v>
      </c>
      <c r="S48">
        <f>HLOOKUP(O48,'Lister og genveje'!$E$50:$G$52,3,0)</f>
        <v>4.8</v>
      </c>
      <c r="T48">
        <f>VLOOKUP(M48,'Lister og genveje'!$D$39:$J$46,7,0)</f>
        <v>0.75</v>
      </c>
      <c r="Z48" t="s">
        <v>92</v>
      </c>
      <c r="AA48" t="s">
        <v>90</v>
      </c>
      <c r="AB48">
        <v>95</v>
      </c>
      <c r="AC48" t="s">
        <v>94</v>
      </c>
      <c r="AD48">
        <f>VLOOKUP(Tabel3[[#This Row],[Tværsnit]],'Lister og genveje'!$AQ$10:$AS$25,3,1)</f>
        <v>0.32100000000000001</v>
      </c>
      <c r="AE48">
        <v>7.6999999999999999E-2</v>
      </c>
    </row>
    <row r="49" spans="4:40">
      <c r="D49" s="30"/>
      <c r="J49" s="31"/>
      <c r="L49" t="str">
        <f t="shared" si="0"/>
        <v>IEC 947-2</v>
      </c>
      <c r="M49" t="str">
        <f>'Lister og genveje'!$D$39</f>
        <v>C60N</v>
      </c>
      <c r="N49">
        <v>16</v>
      </c>
      <c r="O49" t="s">
        <v>38</v>
      </c>
      <c r="P49" t="str">
        <f>'Lister og genveje'!$G$38</f>
        <v>Flere poler</v>
      </c>
      <c r="Q49">
        <f>INDEX('Lister og genveje'!$E$39:$I$46,MATCH(M49,'Lister og genveje'!$D$39:$D$46,0),MATCH(P49,'Lister og genveje'!$E$38:$I$38,0),1)</f>
        <v>10</v>
      </c>
      <c r="R49">
        <f>HLOOKUP(O49,'Lister og genveje'!$E$50:$G$52,2,0)</f>
        <v>3.2</v>
      </c>
      <c r="S49">
        <f>HLOOKUP(O49,'Lister og genveje'!$E$50:$G$52,3,0)</f>
        <v>4.8</v>
      </c>
      <c r="T49">
        <f>VLOOKUP(M49,'Lister og genveje'!$D$39:$J$46,7,0)</f>
        <v>0.75</v>
      </c>
      <c r="Z49" t="s">
        <v>92</v>
      </c>
      <c r="AA49" t="s">
        <v>90</v>
      </c>
      <c r="AB49">
        <v>120</v>
      </c>
      <c r="AC49" t="s">
        <v>94</v>
      </c>
      <c r="AD49">
        <f>VLOOKUP(Tabel3[[#This Row],[Tværsnit]],'Lister og genveje'!$AQ$10:$AS$25,3,1)</f>
        <v>0.253</v>
      </c>
      <c r="AE49">
        <v>7.6999999999999999E-2</v>
      </c>
    </row>
    <row r="50" spans="4:40">
      <c r="D50" s="30" t="s">
        <v>153</v>
      </c>
      <c r="E50" t="s">
        <v>38</v>
      </c>
      <c r="F50" t="s">
        <v>155</v>
      </c>
      <c r="G50" t="s">
        <v>165</v>
      </c>
      <c r="J50" s="31"/>
      <c r="L50" t="str">
        <f t="shared" si="0"/>
        <v>IEC 947-2</v>
      </c>
      <c r="M50" t="str">
        <f>'Lister og genveje'!$D$39</f>
        <v>C60N</v>
      </c>
      <c r="N50">
        <v>20</v>
      </c>
      <c r="O50" t="s">
        <v>38</v>
      </c>
      <c r="P50" t="str">
        <f>'Lister og genveje'!$G$38</f>
        <v>Flere poler</v>
      </c>
      <c r="Q50">
        <f>INDEX('Lister og genveje'!$E$39:$I$46,MATCH(M50,'Lister og genveje'!$D$39:$D$46,0),MATCH(P50,'Lister og genveje'!$E$38:$I$38,0),1)</f>
        <v>10</v>
      </c>
      <c r="R50">
        <f>HLOOKUP(O50,'Lister og genveje'!$E$50:$G$52,2,0)</f>
        <v>3.2</v>
      </c>
      <c r="S50">
        <f>HLOOKUP(O50,'Lister og genveje'!$E$50:$G$52,3,0)</f>
        <v>4.8</v>
      </c>
      <c r="T50">
        <f>VLOOKUP(M50,'Lister og genveje'!$D$39:$J$46,7,0)</f>
        <v>0.75</v>
      </c>
      <c r="Z50" t="s">
        <v>92</v>
      </c>
      <c r="AA50" t="s">
        <v>90</v>
      </c>
      <c r="AB50">
        <v>150</v>
      </c>
      <c r="AC50" t="s">
        <v>94</v>
      </c>
      <c r="AD50">
        <f>VLOOKUP(Tabel3[[#This Row],[Tværsnit]],'Lister og genveje'!$AQ$10:$AS$25,3,1)</f>
        <v>0.20699999999999999</v>
      </c>
      <c r="AE50">
        <v>7.6999999999999999E-2</v>
      </c>
    </row>
    <row r="51" spans="4:40">
      <c r="D51" s="30"/>
      <c r="E51">
        <v>3.2</v>
      </c>
      <c r="F51">
        <v>7</v>
      </c>
      <c r="G51">
        <v>10</v>
      </c>
      <c r="J51" s="31"/>
      <c r="L51" t="str">
        <f t="shared" si="0"/>
        <v>IEC 947-2</v>
      </c>
      <c r="M51" t="str">
        <f>'Lister og genveje'!$D$39</f>
        <v>C60N</v>
      </c>
      <c r="N51">
        <v>25</v>
      </c>
      <c r="O51" t="s">
        <v>38</v>
      </c>
      <c r="P51" t="str">
        <f>'Lister og genveje'!$G$38</f>
        <v>Flere poler</v>
      </c>
      <c r="Q51">
        <f>INDEX('Lister og genveje'!$E$39:$I$46,MATCH(M51,'Lister og genveje'!$D$39:$D$46,0),MATCH(P51,'Lister og genveje'!$E$38:$I$38,0),1)</f>
        <v>10</v>
      </c>
      <c r="R51">
        <f>HLOOKUP(O51,'Lister og genveje'!$E$50:$G$52,2,0)</f>
        <v>3.2</v>
      </c>
      <c r="S51">
        <f>HLOOKUP(O51,'Lister og genveje'!$E$50:$G$52,3,0)</f>
        <v>4.8</v>
      </c>
      <c r="T51">
        <f>VLOOKUP(M51,'Lister og genveje'!$D$39:$J$46,7,0)</f>
        <v>0.75</v>
      </c>
      <c r="Z51" t="s">
        <v>92</v>
      </c>
      <c r="AA51" t="s">
        <v>90</v>
      </c>
      <c r="AB51">
        <v>185</v>
      </c>
      <c r="AC51" t="s">
        <v>94</v>
      </c>
      <c r="AD51">
        <f>VLOOKUP(Tabel3[[#This Row],[Tværsnit]],'Lister og genveje'!$AQ$10:$AS$25,3,1)</f>
        <v>0.16600000000000001</v>
      </c>
      <c r="AE51">
        <v>7.6999999999999999E-2</v>
      </c>
    </row>
    <row r="52" spans="4:40" ht="16" thickBot="1">
      <c r="D52" s="33"/>
      <c r="E52" s="34">
        <v>4.8</v>
      </c>
      <c r="F52" s="34">
        <v>10</v>
      </c>
      <c r="G52" s="34">
        <v>14</v>
      </c>
      <c r="H52" s="34"/>
      <c r="I52" s="34"/>
      <c r="J52" s="35"/>
      <c r="L52" t="str">
        <f t="shared" si="0"/>
        <v>IEC 947-2</v>
      </c>
      <c r="M52" t="str">
        <f>'Lister og genveje'!$D$39</f>
        <v>C60N</v>
      </c>
      <c r="N52">
        <v>32</v>
      </c>
      <c r="O52" t="s">
        <v>38</v>
      </c>
      <c r="P52" t="str">
        <f>'Lister og genveje'!$G$38</f>
        <v>Flere poler</v>
      </c>
      <c r="Q52">
        <f>INDEX('Lister og genveje'!$E$39:$I$46,MATCH(M52,'Lister og genveje'!$D$39:$D$46,0),MATCH(P52,'Lister og genveje'!$E$38:$I$38,0),1)</f>
        <v>10</v>
      </c>
      <c r="R52">
        <f>HLOOKUP(O52,'Lister og genveje'!$E$50:$G$52,2,0)</f>
        <v>3.2</v>
      </c>
      <c r="S52">
        <f>HLOOKUP(O52,'Lister og genveje'!$E$50:$G$52,3,0)</f>
        <v>4.8</v>
      </c>
      <c r="T52">
        <f>VLOOKUP(M52,'Lister og genveje'!$D$39:$J$46,7,0)</f>
        <v>0.75</v>
      </c>
      <c r="Z52" t="s">
        <v>92</v>
      </c>
      <c r="AA52" t="s">
        <v>90</v>
      </c>
      <c r="AB52">
        <v>240</v>
      </c>
      <c r="AC52" t="s">
        <v>94</v>
      </c>
      <c r="AD52">
        <f>VLOOKUP(Tabel3[[#This Row],[Tværsnit]],'Lister og genveje'!$AQ$10:$AS$25,3,1)</f>
        <v>0.127</v>
      </c>
      <c r="AE52">
        <v>7.6999999999999999E-2</v>
      </c>
    </row>
    <row r="53" spans="4:40">
      <c r="L53" t="str">
        <f t="shared" si="0"/>
        <v>IEC 947-2</v>
      </c>
      <c r="M53" t="str">
        <f>'Lister og genveje'!$D$39</f>
        <v>C60N</v>
      </c>
      <c r="N53">
        <v>40</v>
      </c>
      <c r="O53" t="s">
        <v>38</v>
      </c>
      <c r="P53" t="str">
        <f>'Lister og genveje'!$G$38</f>
        <v>Flere poler</v>
      </c>
      <c r="Q53">
        <f>INDEX('Lister og genveje'!$E$39:$I$46,MATCH(M53,'Lister og genveje'!$D$39:$D$46,0),MATCH(P53,'Lister og genveje'!$E$38:$I$38,0),1)</f>
        <v>10</v>
      </c>
      <c r="R53">
        <f>HLOOKUP(O53,'Lister og genveje'!$E$50:$G$52,2,0)</f>
        <v>3.2</v>
      </c>
      <c r="S53">
        <f>HLOOKUP(O53,'Lister og genveje'!$E$50:$G$52,3,0)</f>
        <v>4.8</v>
      </c>
      <c r="T53">
        <f>VLOOKUP(M53,'Lister og genveje'!$D$39:$J$46,7,0)</f>
        <v>0.75</v>
      </c>
      <c r="Z53" t="s">
        <v>92</v>
      </c>
      <c r="AA53" t="s">
        <v>90</v>
      </c>
      <c r="AB53">
        <v>300</v>
      </c>
      <c r="AC53" t="s">
        <v>94</v>
      </c>
      <c r="AD53">
        <f>VLOOKUP(Tabel3[[#This Row],[Tværsnit]],'Lister og genveje'!$AQ$10:$AS$25,3,1)</f>
        <v>0.10299999999999999</v>
      </c>
      <c r="AE53">
        <v>7.6999999999999999E-2</v>
      </c>
    </row>
    <row r="54" spans="4:40">
      <c r="E54" s="78" t="s">
        <v>170</v>
      </c>
      <c r="F54" s="78" t="s">
        <v>38</v>
      </c>
      <c r="G54" s="78">
        <v>3</v>
      </c>
      <c r="H54" s="78">
        <v>5</v>
      </c>
      <c r="L54" t="str">
        <f t="shared" si="0"/>
        <v>IEC 947-2</v>
      </c>
      <c r="M54" t="str">
        <f>'Lister og genveje'!$D$39</f>
        <v>C60N</v>
      </c>
      <c r="N54">
        <v>50</v>
      </c>
      <c r="O54" t="s">
        <v>38</v>
      </c>
      <c r="P54" t="str">
        <f>'Lister og genveje'!$G$38</f>
        <v>Flere poler</v>
      </c>
      <c r="Q54">
        <f>INDEX('Lister og genveje'!$E$39:$I$46,MATCH(M54,'Lister og genveje'!$D$39:$D$46,0),MATCH(P54,'Lister og genveje'!$E$38:$I$38,0),1)</f>
        <v>10</v>
      </c>
      <c r="R54">
        <f>HLOOKUP(O54,'Lister og genveje'!$E$50:$G$52,2,0)</f>
        <v>3.2</v>
      </c>
      <c r="S54">
        <f>HLOOKUP(O54,'Lister og genveje'!$E$50:$G$52,3,0)</f>
        <v>4.8</v>
      </c>
      <c r="T54">
        <f>VLOOKUP(M54,'Lister og genveje'!$D$39:$J$46,7,0)</f>
        <v>0.75</v>
      </c>
      <c r="Z54" t="s">
        <v>96</v>
      </c>
      <c r="AA54" t="s">
        <v>90</v>
      </c>
      <c r="AB54" t="s">
        <v>95</v>
      </c>
      <c r="AC54" t="s">
        <v>89</v>
      </c>
      <c r="AD54">
        <f>'Lister og genveje'!AS19</f>
        <v>0.44400000000000001</v>
      </c>
      <c r="AE54">
        <v>0.08</v>
      </c>
    </row>
    <row r="55" spans="4:40">
      <c r="E55" s="78" t="s">
        <v>172</v>
      </c>
      <c r="F55" s="78" t="s">
        <v>155</v>
      </c>
      <c r="G55" s="78">
        <v>5</v>
      </c>
      <c r="H55" s="78">
        <v>10</v>
      </c>
      <c r="L55" t="str">
        <f t="shared" si="0"/>
        <v>IEC 947-2</v>
      </c>
      <c r="M55" t="str">
        <f>'Lister og genveje'!$D$39</f>
        <v>C60N</v>
      </c>
      <c r="N55">
        <v>63</v>
      </c>
      <c r="O55" t="s">
        <v>38</v>
      </c>
      <c r="P55" t="str">
        <f>'Lister og genveje'!$G$38</f>
        <v>Flere poler</v>
      </c>
      <c r="Q55">
        <f>INDEX('Lister og genveje'!$E$39:$I$46,MATCH(M55,'Lister og genveje'!$D$39:$D$46,0),MATCH(P55,'Lister og genveje'!$E$38:$I$38,0),1)</f>
        <v>10</v>
      </c>
      <c r="R55">
        <f>HLOOKUP(O55,'Lister og genveje'!$E$50:$G$52,2,0)</f>
        <v>3.2</v>
      </c>
      <c r="S55">
        <f>HLOOKUP(O55,'Lister og genveje'!$E$50:$G$52,3,0)</f>
        <v>4.8</v>
      </c>
      <c r="T55">
        <f>VLOOKUP(M55,'Lister og genveje'!$D$39:$J$46,7,0)</f>
        <v>0.75</v>
      </c>
      <c r="Z55" t="s">
        <v>96</v>
      </c>
      <c r="AA55" t="s">
        <v>90</v>
      </c>
      <c r="AB55" t="s">
        <v>97</v>
      </c>
      <c r="AC55" t="s">
        <v>89</v>
      </c>
      <c r="AD55">
        <f>'Lister og genveje'!AS20</f>
        <v>0.32100000000000001</v>
      </c>
      <c r="AE55">
        <v>7.9000000000000001E-2</v>
      </c>
    </row>
    <row r="56" spans="4:40">
      <c r="E56" s="80" t="s">
        <v>173</v>
      </c>
      <c r="F56" s="80" t="s">
        <v>165</v>
      </c>
      <c r="G56" s="80">
        <v>10</v>
      </c>
      <c r="H56" s="80">
        <v>14</v>
      </c>
      <c r="L56" t="str">
        <f t="shared" si="0"/>
        <v>IEC 947-2</v>
      </c>
      <c r="M56" t="str">
        <f>'Lister og genveje'!$D$44</f>
        <v>C120N</v>
      </c>
      <c r="N56">
        <v>63</v>
      </c>
      <c r="O56" t="s">
        <v>38</v>
      </c>
      <c r="P56" t="s">
        <v>164</v>
      </c>
      <c r="Q56">
        <f>INDEX('Lister og genveje'!$E$39:$I$46,MATCH(M56,'Lister og genveje'!$D$39:$D$46,0),MATCH(P56,'Lister og genveje'!$E$38:$I$38,0),1)</f>
        <v>3</v>
      </c>
      <c r="R56">
        <f>HLOOKUP(O56,'Lister og genveje'!$E$50:$G$52,2,0)</f>
        <v>3.2</v>
      </c>
      <c r="S56">
        <f>HLOOKUP(O56,'Lister og genveje'!$E$50:$G$52,3,0)</f>
        <v>4.8</v>
      </c>
      <c r="T56">
        <f>VLOOKUP(M56,'Lister og genveje'!$D$39:$J$46,7,0)</f>
        <v>0.75</v>
      </c>
      <c r="Z56" t="s">
        <v>96</v>
      </c>
      <c r="AA56" t="s">
        <v>90</v>
      </c>
      <c r="AB56" t="s">
        <v>98</v>
      </c>
      <c r="AC56" t="s">
        <v>89</v>
      </c>
      <c r="AD56">
        <f>'Lister og genveje'!AS21</f>
        <v>0.253</v>
      </c>
      <c r="AE56">
        <v>7.6999999999999999E-2</v>
      </c>
    </row>
    <row r="57" spans="4:40">
      <c r="L57" t="str">
        <f t="shared" si="0"/>
        <v>IEC 947-2</v>
      </c>
      <c r="M57" t="str">
        <f>'Lister og genveje'!$D$44</f>
        <v>C120N</v>
      </c>
      <c r="N57">
        <v>80</v>
      </c>
      <c r="O57" t="s">
        <v>38</v>
      </c>
      <c r="P57" t="s">
        <v>164</v>
      </c>
      <c r="Q57">
        <f>INDEX('Lister og genveje'!$E$39:$I$46,MATCH(M57,'Lister og genveje'!$D$39:$D$46,0),MATCH(P57,'Lister og genveje'!$E$38:$I$38,0),1)</f>
        <v>3</v>
      </c>
      <c r="R57">
        <f>HLOOKUP(O57,'Lister og genveje'!$E$50:$G$52,2,0)</f>
        <v>3.2</v>
      </c>
      <c r="S57">
        <f>HLOOKUP(O57,'Lister og genveje'!$E$50:$G$52,3,0)</f>
        <v>4.8</v>
      </c>
      <c r="T57">
        <f>VLOOKUP(M57,'Lister og genveje'!$D$39:$J$46,7,0)</f>
        <v>0.75</v>
      </c>
      <c r="Z57" t="s">
        <v>96</v>
      </c>
      <c r="AA57" t="s">
        <v>90</v>
      </c>
      <c r="AB57" t="s">
        <v>99</v>
      </c>
      <c r="AC57" t="s">
        <v>89</v>
      </c>
      <c r="AD57">
        <f>'Lister og genveje'!AS22</f>
        <v>0.20699999999999999</v>
      </c>
      <c r="AE57">
        <v>7.6999999999999999E-2</v>
      </c>
    </row>
    <row r="58" spans="4:40">
      <c r="L58" t="str">
        <f t="shared" si="0"/>
        <v>IEC 947-2</v>
      </c>
      <c r="M58" t="str">
        <f>'Lister og genveje'!$D$44</f>
        <v>C120N</v>
      </c>
      <c r="N58">
        <v>100</v>
      </c>
      <c r="O58" t="s">
        <v>38</v>
      </c>
      <c r="P58" t="s">
        <v>164</v>
      </c>
      <c r="Q58">
        <f>INDEX('Lister og genveje'!$E$39:$I$46,MATCH(M58,'Lister og genveje'!$D$39:$D$46,0),MATCH(P58,'Lister og genveje'!$E$38:$I$38,0),1)</f>
        <v>3</v>
      </c>
      <c r="R58">
        <f>HLOOKUP(O58,'Lister og genveje'!$E$50:$G$52,2,0)</f>
        <v>3.2</v>
      </c>
      <c r="S58">
        <f>HLOOKUP(O58,'Lister og genveje'!$E$50:$G$52,3,0)</f>
        <v>4.8</v>
      </c>
      <c r="T58">
        <f>VLOOKUP(M58,'Lister og genveje'!$D$39:$J$46,7,0)</f>
        <v>0.75</v>
      </c>
      <c r="Z58" t="s">
        <v>96</v>
      </c>
      <c r="AA58" t="s">
        <v>90</v>
      </c>
      <c r="AB58" t="s">
        <v>100</v>
      </c>
      <c r="AC58" t="s">
        <v>89</v>
      </c>
      <c r="AD58">
        <f>'Lister og genveje'!AS23</f>
        <v>0.16600000000000001</v>
      </c>
      <c r="AE58">
        <v>7.6999999999999999E-2</v>
      </c>
    </row>
    <row r="59" spans="4:40">
      <c r="L59" t="str">
        <f t="shared" si="0"/>
        <v>IEC 947-2</v>
      </c>
      <c r="M59" t="str">
        <f>'Lister og genveje'!$D$44</f>
        <v>C120N</v>
      </c>
      <c r="N59">
        <v>125</v>
      </c>
      <c r="O59" t="s">
        <v>38</v>
      </c>
      <c r="P59" t="s">
        <v>164</v>
      </c>
      <c r="Q59">
        <f>INDEX('Lister og genveje'!$E$39:$I$46,MATCH(M59,'Lister og genveje'!$D$39:$D$46,0),MATCH(P59,'Lister og genveje'!$E$38:$I$38,0),1)</f>
        <v>3</v>
      </c>
      <c r="R59">
        <f>HLOOKUP(O59,'Lister og genveje'!$E$50:$G$52,2,0)</f>
        <v>3.2</v>
      </c>
      <c r="S59">
        <f>HLOOKUP(O59,'Lister og genveje'!$E$50:$G$52,3,0)</f>
        <v>4.8</v>
      </c>
      <c r="T59">
        <f>VLOOKUP(M59,'Lister og genveje'!$D$39:$J$46,7,0)</f>
        <v>0.75</v>
      </c>
      <c r="Z59" t="s">
        <v>96</v>
      </c>
      <c r="AA59" t="s">
        <v>90</v>
      </c>
      <c r="AB59" t="s">
        <v>101</v>
      </c>
      <c r="AC59" t="s">
        <v>89</v>
      </c>
      <c r="AD59">
        <f>'Lister og genveje'!AS24</f>
        <v>0.127</v>
      </c>
      <c r="AE59">
        <v>7.6999999999999999E-2</v>
      </c>
    </row>
    <row r="60" spans="4:40">
      <c r="L60" t="str">
        <f t="shared" si="0"/>
        <v>IEC 947-2</v>
      </c>
      <c r="M60" t="str">
        <f>'Lister og genveje'!$D$44</f>
        <v>C120N</v>
      </c>
      <c r="N60">
        <v>63</v>
      </c>
      <c r="O60" t="s">
        <v>38</v>
      </c>
      <c r="P60" t="str">
        <f>'Lister og genveje'!$G$38</f>
        <v>Flere poler</v>
      </c>
      <c r="Q60">
        <f>INDEX('Lister og genveje'!$E$39:$I$46,MATCH(M60,'Lister og genveje'!$D$39:$D$46,0),MATCH(P60,'Lister og genveje'!$E$38:$I$38,0),1)</f>
        <v>10</v>
      </c>
      <c r="R60">
        <f>HLOOKUP(O60,'Lister og genveje'!$E$50:$G$52,2,0)</f>
        <v>3.2</v>
      </c>
      <c r="S60">
        <f>HLOOKUP(O60,'Lister og genveje'!$E$50:$G$52,3,0)</f>
        <v>4.8</v>
      </c>
      <c r="T60">
        <f>VLOOKUP(M60,'Lister og genveje'!$D$39:$J$46,7,0)</f>
        <v>0.75</v>
      </c>
      <c r="Z60" t="s">
        <v>96</v>
      </c>
      <c r="AA60" t="s">
        <v>90</v>
      </c>
      <c r="AB60" t="s">
        <v>102</v>
      </c>
      <c r="AC60" t="s">
        <v>89</v>
      </c>
      <c r="AD60">
        <f>'Lister og genveje'!AS25</f>
        <v>0.10299999999999999</v>
      </c>
      <c r="AE60">
        <v>7.6999999999999999E-2</v>
      </c>
    </row>
    <row r="61" spans="4:40" ht="16" thickBot="1">
      <c r="L61" t="str">
        <f t="shared" si="0"/>
        <v>IEC 947-2</v>
      </c>
      <c r="M61" t="str">
        <f>'Lister og genveje'!$D$44</f>
        <v>C120N</v>
      </c>
      <c r="N61">
        <v>80</v>
      </c>
      <c r="O61" t="s">
        <v>38</v>
      </c>
      <c r="P61" t="str">
        <f>'Lister og genveje'!$G$38</f>
        <v>Flere poler</v>
      </c>
      <c r="Q61">
        <f>INDEX('Lister og genveje'!$E$39:$I$46,MATCH(M61,'Lister og genveje'!$D$39:$D$46,0),MATCH(P61,'Lister og genveje'!$E$38:$I$38,0),1)</f>
        <v>10</v>
      </c>
      <c r="R61">
        <f>HLOOKUP(O61,'Lister og genveje'!$E$50:$G$52,2,0)</f>
        <v>3.2</v>
      </c>
      <c r="S61">
        <f>HLOOKUP(O61,'Lister og genveje'!$E$50:$G$52,3,0)</f>
        <v>4.8</v>
      </c>
      <c r="T61">
        <f>VLOOKUP(M61,'Lister og genveje'!$D$39:$J$46,7,0)</f>
        <v>0.75</v>
      </c>
      <c r="Z61" t="s">
        <v>96</v>
      </c>
      <c r="AA61" t="s">
        <v>90</v>
      </c>
      <c r="AB61" t="s">
        <v>103</v>
      </c>
      <c r="AC61" t="s">
        <v>89</v>
      </c>
      <c r="AD61">
        <f>'Lister og genveje'!AS19</f>
        <v>0.44400000000000001</v>
      </c>
      <c r="AE61" s="44">
        <v>7.2999999999999995E-2</v>
      </c>
    </row>
    <row r="62" spans="4:40">
      <c r="L62" t="str">
        <f t="shared" si="0"/>
        <v>IEC 947-2</v>
      </c>
      <c r="M62" t="str">
        <f>'Lister og genveje'!$D$44</f>
        <v>C120N</v>
      </c>
      <c r="N62">
        <v>100</v>
      </c>
      <c r="O62" t="s">
        <v>38</v>
      </c>
      <c r="P62" t="str">
        <f>'Lister og genveje'!$G$38</f>
        <v>Flere poler</v>
      </c>
      <c r="Q62">
        <f>INDEX('Lister og genveje'!$E$39:$I$46,MATCH(M62,'Lister og genveje'!$D$39:$D$46,0),MATCH(P62,'Lister og genveje'!$E$38:$I$38,0),1)</f>
        <v>10</v>
      </c>
      <c r="R62">
        <f>HLOOKUP(O62,'Lister og genveje'!$E$50:$G$52,2,0)</f>
        <v>3.2</v>
      </c>
      <c r="S62">
        <f>HLOOKUP(O62,'Lister og genveje'!$E$50:$G$52,3,0)</f>
        <v>4.8</v>
      </c>
      <c r="T62">
        <f>VLOOKUP(M62,'Lister og genveje'!$D$39:$J$46,7,0)</f>
        <v>0.75</v>
      </c>
      <c r="Z62" t="s">
        <v>96</v>
      </c>
      <c r="AA62" t="s">
        <v>90</v>
      </c>
      <c r="AB62" t="s">
        <v>98</v>
      </c>
      <c r="AC62" t="s">
        <v>89</v>
      </c>
      <c r="AD62">
        <f>'Lister og genveje'!AS21</f>
        <v>0.253</v>
      </c>
      <c r="AE62" s="44">
        <v>7.0000000000000007E-2</v>
      </c>
      <c r="AI62" s="26"/>
      <c r="AJ62" s="27" t="s">
        <v>87</v>
      </c>
      <c r="AK62" s="27">
        <v>2</v>
      </c>
      <c r="AL62" s="27">
        <v>3</v>
      </c>
      <c r="AM62" s="27">
        <v>4</v>
      </c>
      <c r="AN62" s="29">
        <v>5</v>
      </c>
    </row>
    <row r="63" spans="4:40">
      <c r="L63" t="str">
        <f t="shared" si="0"/>
        <v>IEC 947-2</v>
      </c>
      <c r="M63" t="str">
        <f>'Lister og genveje'!$D$44</f>
        <v>C120N</v>
      </c>
      <c r="N63">
        <v>125</v>
      </c>
      <c r="O63" t="s">
        <v>38</v>
      </c>
      <c r="P63" t="str">
        <f>'Lister og genveje'!$G$38</f>
        <v>Flere poler</v>
      </c>
      <c r="Q63">
        <f>INDEX('Lister og genveje'!$E$39:$I$46,MATCH(M63,'Lister og genveje'!$D$39:$D$46,0),MATCH(P63,'Lister og genveje'!$E$38:$I$38,0),1)</f>
        <v>10</v>
      </c>
      <c r="R63">
        <f>HLOOKUP(O63,'Lister og genveje'!$E$50:$G$52,2,0)</f>
        <v>3.2</v>
      </c>
      <c r="S63">
        <f>HLOOKUP(O63,'Lister og genveje'!$E$50:$G$52,3,0)</f>
        <v>4.8</v>
      </c>
      <c r="T63">
        <f>VLOOKUP(M63,'Lister og genveje'!$D$39:$J$46,7,0)</f>
        <v>0.75</v>
      </c>
      <c r="Z63" t="s">
        <v>96</v>
      </c>
      <c r="AA63" t="s">
        <v>90</v>
      </c>
      <c r="AB63" t="s">
        <v>100</v>
      </c>
      <c r="AC63" t="s">
        <v>89</v>
      </c>
      <c r="AD63">
        <f>'Lister og genveje'!AS23</f>
        <v>0.16600000000000001</v>
      </c>
      <c r="AE63" s="44">
        <v>7.0999999999999994E-2</v>
      </c>
      <c r="AI63" s="62">
        <v>0.75</v>
      </c>
      <c r="AJ63">
        <v>26</v>
      </c>
      <c r="AK63">
        <v>0.111</v>
      </c>
      <c r="AL63">
        <v>0.111</v>
      </c>
      <c r="AM63">
        <v>0.11799999999999999</v>
      </c>
      <c r="AN63" s="31">
        <v>0.13100000000000001</v>
      </c>
    </row>
    <row r="64" spans="4:40">
      <c r="L64" t="str">
        <f t="shared" si="0"/>
        <v>IEC 947-2</v>
      </c>
      <c r="M64" t="s">
        <v>151</v>
      </c>
      <c r="N64">
        <v>1</v>
      </c>
      <c r="O64" t="s">
        <v>38</v>
      </c>
      <c r="P64" t="s">
        <v>164</v>
      </c>
      <c r="Q64">
        <f>INDEX('Lister og genveje'!$E$39:$I$46,MATCH(M64,'Lister og genveje'!$D$39:$D$46,0),MATCH(P64,'Lister og genveje'!$E$38:$I$38,0),1)</f>
        <v>15</v>
      </c>
      <c r="R64">
        <f>HLOOKUP(O64,'Lister og genveje'!$E$50:$G$52,2,0)</f>
        <v>3.2</v>
      </c>
      <c r="S64">
        <f>HLOOKUP(O64,'Lister og genveje'!$E$50:$G$52,3,0)</f>
        <v>4.8</v>
      </c>
      <c r="T64">
        <f>VLOOKUP(M64,'Lister og genveje'!$D$39:$J$46,7,0)</f>
        <v>0.5</v>
      </c>
      <c r="Z64" t="s">
        <v>107</v>
      </c>
      <c r="AA64" t="s">
        <v>118</v>
      </c>
      <c r="AB64">
        <v>0.75</v>
      </c>
      <c r="AC64" t="s">
        <v>114</v>
      </c>
      <c r="AD64">
        <f>VLOOKUP(Tabel3[[#This Row],[Tværsnit]],$AI$63:$AJ$67,2,1)</f>
        <v>26</v>
      </c>
      <c r="AE64">
        <f t="shared" ref="AE64:AE103" si="1">INDEX($AJ$63:$AN$67,MATCH(AB64,$AI$63:$AI$67,FALSE),LEFT(Z64,1),TRUE)</f>
        <v>0.111</v>
      </c>
      <c r="AI64" s="62">
        <v>1</v>
      </c>
      <c r="AJ64">
        <v>19.5</v>
      </c>
      <c r="AK64">
        <v>0.105</v>
      </c>
      <c r="AL64">
        <v>0.105</v>
      </c>
      <c r="AM64">
        <v>0.113</v>
      </c>
      <c r="AN64" s="31">
        <v>0.126</v>
      </c>
    </row>
    <row r="65" spans="12:40">
      <c r="L65" t="str">
        <f t="shared" si="0"/>
        <v>IEC 947-2</v>
      </c>
      <c r="M65" t="s">
        <v>151</v>
      </c>
      <c r="N65">
        <v>2</v>
      </c>
      <c r="O65" t="s">
        <v>38</v>
      </c>
      <c r="P65" t="s">
        <v>164</v>
      </c>
      <c r="Q65">
        <f>INDEX('Lister og genveje'!$E$39:$I$46,MATCH(M65,'Lister og genveje'!$D$39:$D$46,0),MATCH(P65,'Lister og genveje'!$E$38:$I$38,0),1)</f>
        <v>15</v>
      </c>
      <c r="R65">
        <f>HLOOKUP(O65,'Lister og genveje'!$E$50:$G$52,2,0)</f>
        <v>3.2</v>
      </c>
      <c r="S65">
        <f>HLOOKUP(O65,'Lister og genveje'!$E$50:$G$52,3,0)</f>
        <v>4.8</v>
      </c>
      <c r="T65">
        <f>VLOOKUP(M65,'Lister og genveje'!$D$39:$J$46,7,0)</f>
        <v>0.5</v>
      </c>
      <c r="Z65" t="s">
        <v>119</v>
      </c>
      <c r="AA65" t="s">
        <v>118</v>
      </c>
      <c r="AB65">
        <v>0.75</v>
      </c>
      <c r="AC65" t="s">
        <v>115</v>
      </c>
      <c r="AD65">
        <f>VLOOKUP(Tabel3[[#This Row],[Tværsnit]],$AI$63:$AJ$67,2,1)</f>
        <v>26</v>
      </c>
      <c r="AE65">
        <f t="shared" si="1"/>
        <v>0.111</v>
      </c>
      <c r="AI65" s="62">
        <v>1.5</v>
      </c>
      <c r="AJ65">
        <v>13.3</v>
      </c>
      <c r="AK65">
        <v>0.107</v>
      </c>
      <c r="AL65">
        <v>0.107</v>
      </c>
      <c r="AM65">
        <v>0.114</v>
      </c>
      <c r="AN65" s="31">
        <v>0.128</v>
      </c>
    </row>
    <row r="66" spans="12:40">
      <c r="L66" t="str">
        <f t="shared" si="0"/>
        <v>IEC 947-2</v>
      </c>
      <c r="M66" t="s">
        <v>151</v>
      </c>
      <c r="N66">
        <v>3</v>
      </c>
      <c r="O66" t="s">
        <v>38</v>
      </c>
      <c r="P66" t="s">
        <v>164</v>
      </c>
      <c r="Q66">
        <f>INDEX('Lister og genveje'!$E$39:$I$46,MATCH(M66,'Lister og genveje'!$D$39:$D$46,0),MATCH(P66,'Lister og genveje'!$E$38:$I$38,0),1)</f>
        <v>15</v>
      </c>
      <c r="R66">
        <f>HLOOKUP(O66,'Lister og genveje'!$E$50:$G$52,2,0)</f>
        <v>3.2</v>
      </c>
      <c r="S66">
        <f>HLOOKUP(O66,'Lister og genveje'!$E$50:$G$52,3,0)</f>
        <v>4.8</v>
      </c>
      <c r="T66">
        <f>VLOOKUP(M66,'Lister og genveje'!$D$39:$J$46,7,0)</f>
        <v>0.5</v>
      </c>
      <c r="Z66" t="s">
        <v>119</v>
      </c>
      <c r="AA66" t="s">
        <v>118</v>
      </c>
      <c r="AB66">
        <v>1</v>
      </c>
      <c r="AC66" t="s">
        <v>115</v>
      </c>
      <c r="AD66">
        <f>VLOOKUP(Tabel3[[#This Row],[Tværsnit]],$AI$63:$AJ$67,2,1)</f>
        <v>19.5</v>
      </c>
      <c r="AE66">
        <f t="shared" si="1"/>
        <v>0.105</v>
      </c>
      <c r="AI66" s="62">
        <v>2.5</v>
      </c>
      <c r="AJ66">
        <v>7.98</v>
      </c>
      <c r="AK66">
        <v>0.10299999999999999</v>
      </c>
      <c r="AL66">
        <v>0.13</v>
      </c>
      <c r="AM66">
        <v>0.111</v>
      </c>
      <c r="AN66" s="31">
        <v>0.124</v>
      </c>
    </row>
    <row r="67" spans="12:40" ht="16" thickBot="1">
      <c r="L67" t="str">
        <f t="shared" si="0"/>
        <v>IEC 947-2</v>
      </c>
      <c r="M67" t="s">
        <v>151</v>
      </c>
      <c r="N67">
        <v>4</v>
      </c>
      <c r="O67" t="s">
        <v>38</v>
      </c>
      <c r="P67" t="s">
        <v>164</v>
      </c>
      <c r="Q67">
        <f>INDEX('Lister og genveje'!$E$39:$I$46,MATCH(M67,'Lister og genveje'!$D$39:$D$46,0),MATCH(P67,'Lister og genveje'!$E$38:$I$38,0),1)</f>
        <v>15</v>
      </c>
      <c r="R67">
        <f>HLOOKUP(O67,'Lister og genveje'!$E$50:$G$52,2,0)</f>
        <v>3.2</v>
      </c>
      <c r="S67">
        <f>HLOOKUP(O67,'Lister og genveje'!$E$50:$G$52,3,0)</f>
        <v>4.8</v>
      </c>
      <c r="T67">
        <f>VLOOKUP(M67,'Lister og genveje'!$D$39:$J$46,7,0)</f>
        <v>0.5</v>
      </c>
      <c r="Z67" t="s">
        <v>119</v>
      </c>
      <c r="AA67" t="s">
        <v>118</v>
      </c>
      <c r="AB67">
        <v>1.5</v>
      </c>
      <c r="AC67" t="s">
        <v>115</v>
      </c>
      <c r="AD67">
        <f>VLOOKUP(Tabel3[[#This Row],[Tværsnit]],$AI$63:$AJ$67,2,1)</f>
        <v>13.3</v>
      </c>
      <c r="AE67">
        <f t="shared" si="1"/>
        <v>0.107</v>
      </c>
      <c r="AI67" s="63">
        <v>4</v>
      </c>
      <c r="AJ67" s="34">
        <v>4.95</v>
      </c>
      <c r="AK67" s="34"/>
      <c r="AL67" s="34">
        <v>0.1</v>
      </c>
      <c r="AM67" s="34">
        <v>0.108</v>
      </c>
      <c r="AN67" s="35">
        <v>0.121</v>
      </c>
    </row>
    <row r="68" spans="12:40">
      <c r="L68" t="str">
        <f t="shared" si="0"/>
        <v>IEC 947-2</v>
      </c>
      <c r="M68" t="s">
        <v>151</v>
      </c>
      <c r="N68">
        <v>6</v>
      </c>
      <c r="O68" t="s">
        <v>38</v>
      </c>
      <c r="P68" t="s">
        <v>164</v>
      </c>
      <c r="Q68">
        <f>INDEX('Lister og genveje'!$E$39:$I$46,MATCH(M68,'Lister og genveje'!$D$39:$D$46,0),MATCH(P68,'Lister og genveje'!$E$38:$I$38,0),1)</f>
        <v>15</v>
      </c>
      <c r="R68">
        <f>HLOOKUP(O68,'Lister og genveje'!$E$50:$G$52,2,0)</f>
        <v>3.2</v>
      </c>
      <c r="S68">
        <f>HLOOKUP(O68,'Lister og genveje'!$E$50:$G$52,3,0)</f>
        <v>4.8</v>
      </c>
      <c r="T68">
        <f>VLOOKUP(M68,'Lister og genveje'!$D$39:$J$46,7,0)</f>
        <v>0.5</v>
      </c>
      <c r="Z68" t="s">
        <v>96</v>
      </c>
      <c r="AA68" t="s">
        <v>118</v>
      </c>
      <c r="AB68">
        <v>0.75</v>
      </c>
      <c r="AC68" t="s">
        <v>115</v>
      </c>
      <c r="AD68">
        <f>VLOOKUP(Tabel3[[#This Row],[Tværsnit]],$AI$63:$AJ$67,2,1)</f>
        <v>26</v>
      </c>
      <c r="AE68">
        <f t="shared" si="1"/>
        <v>0.111</v>
      </c>
    </row>
    <row r="69" spans="12:40">
      <c r="L69" t="str">
        <f t="shared" si="0"/>
        <v>IEC 947-2</v>
      </c>
      <c r="M69" t="s">
        <v>151</v>
      </c>
      <c r="N69">
        <v>10</v>
      </c>
      <c r="O69" t="s">
        <v>38</v>
      </c>
      <c r="P69" t="s">
        <v>164</v>
      </c>
      <c r="Q69">
        <f>INDEX('Lister og genveje'!$E$39:$I$46,MATCH(M69,'Lister og genveje'!$D$39:$D$46,0),MATCH(P69,'Lister og genveje'!$E$38:$I$38,0),1)</f>
        <v>15</v>
      </c>
      <c r="R69">
        <f>HLOOKUP(O69,'Lister og genveje'!$E$50:$G$52,2,0)</f>
        <v>3.2</v>
      </c>
      <c r="S69">
        <f>HLOOKUP(O69,'Lister og genveje'!$E$50:$G$52,3,0)</f>
        <v>4.8</v>
      </c>
      <c r="T69">
        <f>VLOOKUP(M69,'Lister og genveje'!$D$39:$J$46,7,0)</f>
        <v>0.5</v>
      </c>
      <c r="Z69" t="s">
        <v>96</v>
      </c>
      <c r="AA69" t="s">
        <v>118</v>
      </c>
      <c r="AB69">
        <v>1</v>
      </c>
      <c r="AC69" t="s">
        <v>115</v>
      </c>
      <c r="AD69">
        <f>VLOOKUP(Tabel3[[#This Row],[Tværsnit]],$AI$63:$AJ$67,2,1)</f>
        <v>19.5</v>
      </c>
      <c r="AE69">
        <f t="shared" si="1"/>
        <v>0.105</v>
      </c>
    </row>
    <row r="70" spans="12:40">
      <c r="L70" t="str">
        <f t="shared" si="0"/>
        <v>IEC 947-2</v>
      </c>
      <c r="M70" t="s">
        <v>151</v>
      </c>
      <c r="N70">
        <v>13</v>
      </c>
      <c r="O70" t="s">
        <v>38</v>
      </c>
      <c r="P70" t="s">
        <v>164</v>
      </c>
      <c r="Q70">
        <f>INDEX('Lister og genveje'!$E$39:$I$46,MATCH(M70,'Lister og genveje'!$D$39:$D$46,0),MATCH(P70,'Lister og genveje'!$E$38:$I$38,0),1)</f>
        <v>15</v>
      </c>
      <c r="R70">
        <f>HLOOKUP(O70,'Lister og genveje'!$E$50:$G$52,2,0)</f>
        <v>3.2</v>
      </c>
      <c r="S70">
        <f>HLOOKUP(O70,'Lister og genveje'!$E$50:$G$52,3,0)</f>
        <v>4.8</v>
      </c>
      <c r="T70">
        <f>VLOOKUP(M70,'Lister og genveje'!$D$39:$J$46,7,0)</f>
        <v>0.5</v>
      </c>
      <c r="Z70" t="s">
        <v>92</v>
      </c>
      <c r="AA70" t="s">
        <v>118</v>
      </c>
      <c r="AB70">
        <v>1.5</v>
      </c>
      <c r="AC70" t="s">
        <v>115</v>
      </c>
      <c r="AD70">
        <f>VLOOKUP(Tabel3[[#This Row],[Tværsnit]],$AI$63:$AJ$67,2,1)</f>
        <v>13.3</v>
      </c>
      <c r="AE70">
        <f t="shared" si="1"/>
        <v>0.114</v>
      </c>
    </row>
    <row r="71" spans="12:40">
      <c r="L71" t="str">
        <f t="shared" si="0"/>
        <v>IEC 947-2</v>
      </c>
      <c r="M71" t="s">
        <v>151</v>
      </c>
      <c r="N71">
        <v>16</v>
      </c>
      <c r="O71" t="s">
        <v>38</v>
      </c>
      <c r="P71" t="s">
        <v>164</v>
      </c>
      <c r="Q71">
        <f>INDEX('Lister og genveje'!$E$39:$I$46,MATCH(M71,'Lister og genveje'!$D$39:$D$46,0),MATCH(P71,'Lister og genveje'!$E$38:$I$38,0),1)</f>
        <v>15</v>
      </c>
      <c r="R71">
        <f>HLOOKUP(O71,'Lister og genveje'!$E$50:$G$52,2,0)</f>
        <v>3.2</v>
      </c>
      <c r="S71">
        <f>HLOOKUP(O71,'Lister og genveje'!$E$50:$G$52,3,0)</f>
        <v>4.8</v>
      </c>
      <c r="T71">
        <f>VLOOKUP(M71,'Lister og genveje'!$D$39:$J$46,7,0)</f>
        <v>0.5</v>
      </c>
      <c r="Z71" t="s">
        <v>107</v>
      </c>
      <c r="AA71" t="s">
        <v>118</v>
      </c>
      <c r="AB71">
        <v>0.75</v>
      </c>
      <c r="AC71" t="s">
        <v>115</v>
      </c>
      <c r="AD71">
        <f>VLOOKUP(Tabel3[[#This Row],[Tværsnit]],$AI$63:$AJ$67,2,1)</f>
        <v>26</v>
      </c>
      <c r="AE71">
        <f t="shared" si="1"/>
        <v>0.111</v>
      </c>
    </row>
    <row r="72" spans="12:40">
      <c r="L72" t="str">
        <f t="shared" si="0"/>
        <v>IEC 947-2</v>
      </c>
      <c r="M72" t="s">
        <v>151</v>
      </c>
      <c r="N72">
        <v>20</v>
      </c>
      <c r="O72" t="s">
        <v>38</v>
      </c>
      <c r="P72" t="s">
        <v>164</v>
      </c>
      <c r="Q72">
        <f>INDEX('Lister og genveje'!$E$39:$I$46,MATCH(M72,'Lister og genveje'!$D$39:$D$46,0),MATCH(P72,'Lister og genveje'!$E$38:$I$38,0),1)</f>
        <v>15</v>
      </c>
      <c r="R72">
        <f>HLOOKUP(O72,'Lister og genveje'!$E$50:$G$52,2,0)</f>
        <v>3.2</v>
      </c>
      <c r="S72">
        <f>HLOOKUP(O72,'Lister og genveje'!$E$50:$G$52,3,0)</f>
        <v>4.8</v>
      </c>
      <c r="T72">
        <f>VLOOKUP(M72,'Lister og genveje'!$D$39:$J$46,7,0)</f>
        <v>0.5</v>
      </c>
      <c r="Z72" t="s">
        <v>107</v>
      </c>
      <c r="AA72" t="s">
        <v>118</v>
      </c>
      <c r="AB72">
        <v>1</v>
      </c>
      <c r="AC72" t="s">
        <v>115</v>
      </c>
      <c r="AD72">
        <f>VLOOKUP(Tabel3[[#This Row],[Tværsnit]],$AI$63:$AJ$67,2,1)</f>
        <v>19.5</v>
      </c>
      <c r="AE72">
        <f t="shared" si="1"/>
        <v>0.105</v>
      </c>
    </row>
    <row r="73" spans="12:40">
      <c r="L73" t="str">
        <f t="shared" si="0"/>
        <v>IEC 947-2</v>
      </c>
      <c r="M73" t="s">
        <v>151</v>
      </c>
      <c r="N73">
        <v>25</v>
      </c>
      <c r="O73" t="s">
        <v>38</v>
      </c>
      <c r="P73" t="s">
        <v>164</v>
      </c>
      <c r="Q73">
        <f>INDEX('Lister og genveje'!$E$39:$I$46,MATCH(M73,'Lister og genveje'!$D$39:$D$46,0),MATCH(P73,'Lister og genveje'!$E$38:$I$38,0),1)</f>
        <v>15</v>
      </c>
      <c r="R73">
        <f>HLOOKUP(O73,'Lister og genveje'!$E$50:$G$52,2,0)</f>
        <v>3.2</v>
      </c>
      <c r="S73">
        <f>HLOOKUP(O73,'Lister og genveje'!$E$50:$G$52,3,0)</f>
        <v>4.8</v>
      </c>
      <c r="T73">
        <f>VLOOKUP(M73,'Lister og genveje'!$D$39:$J$46,7,0)</f>
        <v>0.5</v>
      </c>
      <c r="Z73" t="s">
        <v>107</v>
      </c>
      <c r="AA73" t="s">
        <v>118</v>
      </c>
      <c r="AB73">
        <v>1.5</v>
      </c>
      <c r="AC73" t="s">
        <v>115</v>
      </c>
      <c r="AD73">
        <f>VLOOKUP(Tabel3[[#This Row],[Tværsnit]],$AI$63:$AJ$67,2,1)</f>
        <v>13.3</v>
      </c>
      <c r="AE73">
        <f t="shared" si="1"/>
        <v>0.107</v>
      </c>
    </row>
    <row r="74" spans="12:40">
      <c r="L74" t="str">
        <f t="shared" si="0"/>
        <v>IEC 947-2</v>
      </c>
      <c r="M74" t="s">
        <v>151</v>
      </c>
      <c r="N74">
        <v>32</v>
      </c>
      <c r="O74" t="s">
        <v>38</v>
      </c>
      <c r="P74" t="s">
        <v>164</v>
      </c>
      <c r="Q74">
        <f>INDEX('Lister og genveje'!$E$39:$I$46,MATCH(M74,'Lister og genveje'!$D$39:$D$46,0),MATCH(P74,'Lister og genveje'!$E$38:$I$38,0),1)</f>
        <v>15</v>
      </c>
      <c r="R74">
        <f>HLOOKUP(O74,'Lister og genveje'!$E$50:$G$52,2,0)</f>
        <v>3.2</v>
      </c>
      <c r="S74">
        <f>HLOOKUP(O74,'Lister og genveje'!$E$50:$G$52,3,0)</f>
        <v>4.8</v>
      </c>
      <c r="T74">
        <f>VLOOKUP(M74,'Lister og genveje'!$D$39:$J$46,7,0)</f>
        <v>0.5</v>
      </c>
      <c r="Z74" t="s">
        <v>107</v>
      </c>
      <c r="AA74" t="s">
        <v>118</v>
      </c>
      <c r="AB74">
        <v>2.5</v>
      </c>
      <c r="AC74" t="s">
        <v>115</v>
      </c>
      <c r="AD74">
        <f>VLOOKUP(Tabel3[[#This Row],[Tværsnit]],$AI$63:$AJ$67,2,1)</f>
        <v>7.98</v>
      </c>
      <c r="AE74">
        <f t="shared" si="1"/>
        <v>0.13</v>
      </c>
    </row>
    <row r="75" spans="12:40">
      <c r="L75" t="str">
        <f t="shared" si="0"/>
        <v>IEC 947-2</v>
      </c>
      <c r="M75" t="s">
        <v>151</v>
      </c>
      <c r="N75">
        <v>40</v>
      </c>
      <c r="O75" t="s">
        <v>38</v>
      </c>
      <c r="P75" t="s">
        <v>164</v>
      </c>
      <c r="Q75">
        <f>INDEX('Lister og genveje'!$E$39:$I$46,MATCH(M75,'Lister og genveje'!$D$39:$D$46,0),MATCH(P75,'Lister og genveje'!$E$38:$I$38,0),1)</f>
        <v>15</v>
      </c>
      <c r="R75">
        <f>HLOOKUP(O75,'Lister og genveje'!$E$50:$G$52,2,0)</f>
        <v>3.2</v>
      </c>
      <c r="S75">
        <f>HLOOKUP(O75,'Lister og genveje'!$E$50:$G$52,3,0)</f>
        <v>4.8</v>
      </c>
      <c r="T75">
        <f>VLOOKUP(M75,'Lister og genveje'!$D$39:$J$46,7,0)</f>
        <v>0.5</v>
      </c>
      <c r="Z75" t="s">
        <v>120</v>
      </c>
      <c r="AA75" t="s">
        <v>118</v>
      </c>
      <c r="AB75">
        <v>0.75</v>
      </c>
      <c r="AC75" t="s">
        <v>115</v>
      </c>
      <c r="AD75">
        <f>VLOOKUP(Tabel3[[#This Row],[Tværsnit]],$AI$63:$AJ$67,2,1)</f>
        <v>26</v>
      </c>
      <c r="AE75">
        <f t="shared" si="1"/>
        <v>0.11799999999999999</v>
      </c>
    </row>
    <row r="76" spans="12:40">
      <c r="L76" t="str">
        <f t="shared" si="0"/>
        <v>IEC 947-2</v>
      </c>
      <c r="M76" t="s">
        <v>151</v>
      </c>
      <c r="N76">
        <v>50</v>
      </c>
      <c r="O76" t="s">
        <v>38</v>
      </c>
      <c r="P76" t="s">
        <v>164</v>
      </c>
      <c r="Q76">
        <f>INDEX('Lister og genveje'!$E$39:$I$46,MATCH(M76,'Lister og genveje'!$D$39:$D$46,0),MATCH(P76,'Lister og genveje'!$E$38:$I$38,0),1)</f>
        <v>15</v>
      </c>
      <c r="R76">
        <f>HLOOKUP(O76,'Lister og genveje'!$E$50:$G$52,2,0)</f>
        <v>3.2</v>
      </c>
      <c r="S76">
        <f>HLOOKUP(O76,'Lister og genveje'!$E$50:$G$52,3,0)</f>
        <v>4.8</v>
      </c>
      <c r="T76">
        <f>VLOOKUP(M76,'Lister og genveje'!$D$39:$J$46,7,0)</f>
        <v>0.5</v>
      </c>
      <c r="Z76" t="s">
        <v>120</v>
      </c>
      <c r="AA76" t="s">
        <v>118</v>
      </c>
      <c r="AB76">
        <v>1</v>
      </c>
      <c r="AC76" t="s">
        <v>115</v>
      </c>
      <c r="AD76">
        <f>VLOOKUP(Tabel3[[#This Row],[Tværsnit]],$AI$63:$AJ$67,2,1)</f>
        <v>19.5</v>
      </c>
      <c r="AE76">
        <f t="shared" si="1"/>
        <v>0.113</v>
      </c>
    </row>
    <row r="77" spans="12:40">
      <c r="L77" t="str">
        <f t="shared" si="0"/>
        <v>IEC 947-2</v>
      </c>
      <c r="M77" t="s">
        <v>151</v>
      </c>
      <c r="N77">
        <v>63</v>
      </c>
      <c r="O77" t="s">
        <v>38</v>
      </c>
      <c r="P77" t="s">
        <v>164</v>
      </c>
      <c r="Q77">
        <f>INDEX('Lister og genveje'!$E$39:$I$46,MATCH(M77,'Lister og genveje'!$D$39:$D$46,0),MATCH(P77,'Lister og genveje'!$E$38:$I$38,0),1)</f>
        <v>15</v>
      </c>
      <c r="R77">
        <f>HLOOKUP(O77,'Lister og genveje'!$E$50:$G$52,2,0)</f>
        <v>3.2</v>
      </c>
      <c r="S77">
        <f>HLOOKUP(O77,'Lister og genveje'!$E$50:$G$52,3,0)</f>
        <v>4.8</v>
      </c>
      <c r="T77">
        <f>VLOOKUP(M77,'Lister og genveje'!$D$39:$J$46,7,0)</f>
        <v>0.5</v>
      </c>
      <c r="Z77" t="s">
        <v>120</v>
      </c>
      <c r="AA77" t="s">
        <v>118</v>
      </c>
      <c r="AB77">
        <v>1.5</v>
      </c>
      <c r="AC77" t="s">
        <v>115</v>
      </c>
      <c r="AD77">
        <f>VLOOKUP(Tabel3[[#This Row],[Tværsnit]],$AI$63:$AJ$67,2,1)</f>
        <v>13.3</v>
      </c>
      <c r="AE77">
        <f t="shared" si="1"/>
        <v>0.114</v>
      </c>
    </row>
    <row r="78" spans="12:40">
      <c r="L78" t="str">
        <f t="shared" si="0"/>
        <v>IEC 947-2</v>
      </c>
      <c r="M78" t="s">
        <v>151</v>
      </c>
      <c r="N78">
        <v>80</v>
      </c>
      <c r="O78" t="s">
        <v>38</v>
      </c>
      <c r="P78" t="s">
        <v>164</v>
      </c>
      <c r="Q78">
        <f>INDEX('Lister og genveje'!$E$39:$I$46,MATCH(M78,'Lister og genveje'!$D$39:$D$46,0),MATCH(P78,'Lister og genveje'!$E$38:$I$38,0),1)</f>
        <v>15</v>
      </c>
      <c r="R78">
        <f>HLOOKUP(O78,'Lister og genveje'!$E$50:$G$52,2,0)</f>
        <v>3.2</v>
      </c>
      <c r="S78">
        <f>HLOOKUP(O78,'Lister og genveje'!$E$50:$G$52,3,0)</f>
        <v>4.8</v>
      </c>
      <c r="T78">
        <f>VLOOKUP(M78,'Lister og genveje'!$D$39:$J$46,7,0)</f>
        <v>0.5</v>
      </c>
      <c r="Z78" t="s">
        <v>120</v>
      </c>
      <c r="AA78" t="s">
        <v>118</v>
      </c>
      <c r="AB78">
        <v>2.5</v>
      </c>
      <c r="AC78" t="s">
        <v>115</v>
      </c>
      <c r="AD78">
        <f>VLOOKUP(Tabel3[[#This Row],[Tværsnit]],$AI$63:$AJ$67,2,1)</f>
        <v>7.98</v>
      </c>
      <c r="AE78">
        <f t="shared" si="1"/>
        <v>0.111</v>
      </c>
    </row>
    <row r="79" spans="12:40">
      <c r="L79" t="str">
        <f t="shared" si="0"/>
        <v>IEC 947-2</v>
      </c>
      <c r="M79" t="s">
        <v>151</v>
      </c>
      <c r="N79">
        <v>100</v>
      </c>
      <c r="O79" t="s">
        <v>38</v>
      </c>
      <c r="P79" t="s">
        <v>164</v>
      </c>
      <c r="Q79">
        <f>INDEX('Lister og genveje'!$E$39:$I$46,MATCH(M79,'Lister og genveje'!$D$39:$D$46,0),MATCH(P79,'Lister og genveje'!$E$38:$I$38,0),1)</f>
        <v>15</v>
      </c>
      <c r="R79">
        <f>HLOOKUP(O79,'Lister og genveje'!$E$50:$G$52,2,0)</f>
        <v>3.2</v>
      </c>
      <c r="S79">
        <f>HLOOKUP(O79,'Lister og genveje'!$E$50:$G$52,3,0)</f>
        <v>4.8</v>
      </c>
      <c r="T79">
        <f>VLOOKUP(M79,'Lister og genveje'!$D$39:$J$46,7,0)</f>
        <v>0.5</v>
      </c>
      <c r="Z79" s="61" t="s">
        <v>93</v>
      </c>
      <c r="AA79" t="s">
        <v>118</v>
      </c>
      <c r="AB79">
        <v>0.75</v>
      </c>
      <c r="AC79" t="s">
        <v>115</v>
      </c>
      <c r="AD79">
        <f>VLOOKUP(Tabel3[[#This Row],[Tværsnit]],$AI$63:$AJ$67,2,1)</f>
        <v>26</v>
      </c>
      <c r="AE79">
        <f t="shared" si="1"/>
        <v>0.13100000000000001</v>
      </c>
    </row>
    <row r="80" spans="12:40">
      <c r="L80" t="str">
        <f t="shared" si="0"/>
        <v>IEC 947-2</v>
      </c>
      <c r="M80" t="s">
        <v>151</v>
      </c>
      <c r="N80">
        <v>125</v>
      </c>
      <c r="O80" t="s">
        <v>38</v>
      </c>
      <c r="P80" t="s">
        <v>164</v>
      </c>
      <c r="Q80">
        <f>INDEX('Lister og genveje'!$E$39:$I$46,MATCH(M80,'Lister og genveje'!$D$39:$D$46,0),MATCH(P80,'Lister og genveje'!$E$38:$I$38,0),1)</f>
        <v>15</v>
      </c>
      <c r="R80">
        <f>HLOOKUP(O80,'Lister og genveje'!$E$50:$G$52,2,0)</f>
        <v>3.2</v>
      </c>
      <c r="S80">
        <f>HLOOKUP(O80,'Lister og genveje'!$E$50:$G$52,3,0)</f>
        <v>4.8</v>
      </c>
      <c r="T80">
        <f>VLOOKUP(M80,'Lister og genveje'!$D$39:$J$46,7,0)</f>
        <v>0.5</v>
      </c>
      <c r="Z80" s="61" t="s">
        <v>93</v>
      </c>
      <c r="AA80" t="s">
        <v>118</v>
      </c>
      <c r="AB80">
        <v>1</v>
      </c>
      <c r="AC80" t="s">
        <v>115</v>
      </c>
      <c r="AD80">
        <f>VLOOKUP(Tabel3[[#This Row],[Tværsnit]],$AI$63:$AJ$67,2,1)</f>
        <v>19.5</v>
      </c>
      <c r="AE80">
        <f t="shared" si="1"/>
        <v>0.126</v>
      </c>
    </row>
    <row r="81" spans="12:31">
      <c r="L81" t="str">
        <f t="shared" si="0"/>
        <v>IEC 947-2</v>
      </c>
      <c r="M81" t="s">
        <v>151</v>
      </c>
      <c r="N81">
        <v>1</v>
      </c>
      <c r="O81" t="s">
        <v>38</v>
      </c>
      <c r="P81" t="s">
        <v>166</v>
      </c>
      <c r="Q81">
        <f>INDEX('Lister og genveje'!$E$39:$I$46,MATCH(M81,'Lister og genveje'!$D$39:$D$46,0),MATCH(P81,'Lister og genveje'!$E$38:$I$38,0),1)</f>
        <v>30</v>
      </c>
      <c r="R81">
        <f>HLOOKUP(O81,'Lister og genveje'!$E$50:$G$52,2,0)</f>
        <v>3.2</v>
      </c>
      <c r="S81">
        <f>HLOOKUP(O81,'Lister og genveje'!$E$50:$G$52,3,0)</f>
        <v>4.8</v>
      </c>
      <c r="T81">
        <f>VLOOKUP(M81,'Lister og genveje'!$D$39:$J$46,7,0)</f>
        <v>0.5</v>
      </c>
      <c r="Z81" s="61" t="s">
        <v>93</v>
      </c>
      <c r="AA81" t="s">
        <v>118</v>
      </c>
      <c r="AB81">
        <v>1.5</v>
      </c>
      <c r="AC81" t="s">
        <v>115</v>
      </c>
      <c r="AD81">
        <f>VLOOKUP(Tabel3[[#This Row],[Tværsnit]],$AI$63:$AJ$67,2,1)</f>
        <v>13.3</v>
      </c>
      <c r="AE81">
        <f t="shared" si="1"/>
        <v>0.128</v>
      </c>
    </row>
    <row r="82" spans="12:31">
      <c r="L82" t="str">
        <f t="shared" si="0"/>
        <v>IEC 947-2</v>
      </c>
      <c r="M82" t="s">
        <v>151</v>
      </c>
      <c r="N82">
        <v>2</v>
      </c>
      <c r="O82" t="s">
        <v>38</v>
      </c>
      <c r="P82" t="s">
        <v>166</v>
      </c>
      <c r="Q82">
        <f>INDEX('Lister og genveje'!$E$39:$I$46,MATCH(M82,'Lister og genveje'!$D$39:$D$46,0),MATCH(P82,'Lister og genveje'!$E$38:$I$38,0),1)</f>
        <v>30</v>
      </c>
      <c r="R82">
        <f>HLOOKUP(O82,'Lister og genveje'!$E$50:$G$52,2,0)</f>
        <v>3.2</v>
      </c>
      <c r="S82">
        <f>HLOOKUP(O82,'Lister og genveje'!$E$50:$G$52,3,0)</f>
        <v>4.8</v>
      </c>
      <c r="T82">
        <f>VLOOKUP(M82,'Lister og genveje'!$D$39:$J$46,7,0)</f>
        <v>0.5</v>
      </c>
      <c r="Z82" s="61" t="s">
        <v>93</v>
      </c>
      <c r="AA82" t="s">
        <v>118</v>
      </c>
      <c r="AB82">
        <v>2.5</v>
      </c>
      <c r="AC82" t="s">
        <v>115</v>
      </c>
      <c r="AD82">
        <f>VLOOKUP(Tabel3[[#This Row],[Tværsnit]],$AI$63:$AJ$67,2,1)</f>
        <v>7.98</v>
      </c>
      <c r="AE82">
        <f t="shared" si="1"/>
        <v>0.124</v>
      </c>
    </row>
    <row r="83" spans="12:31">
      <c r="L83" t="str">
        <f t="shared" si="0"/>
        <v>IEC 947-2</v>
      </c>
      <c r="M83" t="s">
        <v>151</v>
      </c>
      <c r="N83">
        <v>3</v>
      </c>
      <c r="O83" t="s">
        <v>38</v>
      </c>
      <c r="P83" t="s">
        <v>166</v>
      </c>
      <c r="Q83">
        <f>INDEX('Lister og genveje'!$E$39:$I$46,MATCH(M83,'Lister og genveje'!$D$39:$D$46,0),MATCH(P83,'Lister og genveje'!$E$38:$I$38,0),1)</f>
        <v>30</v>
      </c>
      <c r="R83">
        <f>HLOOKUP(O83,'Lister og genveje'!$E$50:$G$52,2,0)</f>
        <v>3.2</v>
      </c>
      <c r="S83">
        <f>HLOOKUP(O83,'Lister og genveje'!$E$50:$G$52,3,0)</f>
        <v>4.8</v>
      </c>
      <c r="T83">
        <f>VLOOKUP(M83,'Lister og genveje'!$D$39:$J$46,7,0)</f>
        <v>0.5</v>
      </c>
      <c r="Z83" t="s">
        <v>119</v>
      </c>
      <c r="AA83" t="s">
        <v>118</v>
      </c>
      <c r="AB83">
        <v>0.75</v>
      </c>
      <c r="AC83" t="s">
        <v>121</v>
      </c>
      <c r="AD83">
        <f>VLOOKUP(Tabel3[[#This Row],[Tværsnit]],$AI$63:$AJ$67,2,1)</f>
        <v>26</v>
      </c>
      <c r="AE83">
        <f t="shared" si="1"/>
        <v>0.111</v>
      </c>
    </row>
    <row r="84" spans="12:31">
      <c r="L84" t="str">
        <f t="shared" si="0"/>
        <v>IEC 947-2</v>
      </c>
      <c r="M84" t="s">
        <v>151</v>
      </c>
      <c r="N84">
        <v>4</v>
      </c>
      <c r="O84" t="s">
        <v>38</v>
      </c>
      <c r="P84" t="s">
        <v>166</v>
      </c>
      <c r="Q84">
        <f>INDEX('Lister og genveje'!$E$39:$I$46,MATCH(M84,'Lister og genveje'!$D$39:$D$46,0),MATCH(P84,'Lister og genveje'!$E$38:$I$38,0),1)</f>
        <v>30</v>
      </c>
      <c r="R84">
        <f>HLOOKUP(O84,'Lister og genveje'!$E$50:$G$52,2,0)</f>
        <v>3.2</v>
      </c>
      <c r="S84">
        <f>HLOOKUP(O84,'Lister og genveje'!$E$50:$G$52,3,0)</f>
        <v>4.8</v>
      </c>
      <c r="T84">
        <f>VLOOKUP(M84,'Lister og genveje'!$D$39:$J$46,7,0)</f>
        <v>0.5</v>
      </c>
      <c r="Z84" t="s">
        <v>119</v>
      </c>
      <c r="AA84" t="s">
        <v>118</v>
      </c>
      <c r="AB84">
        <v>2.5</v>
      </c>
      <c r="AC84" t="s">
        <v>121</v>
      </c>
      <c r="AD84">
        <f>VLOOKUP(Tabel3[[#This Row],[Tværsnit]],$AI$63:$AJ$67,2,1)</f>
        <v>7.98</v>
      </c>
      <c r="AE84">
        <f t="shared" si="1"/>
        <v>0.10299999999999999</v>
      </c>
    </row>
    <row r="85" spans="12:31">
      <c r="L85" t="str">
        <f t="shared" si="0"/>
        <v>IEC 947-2</v>
      </c>
      <c r="M85" t="s">
        <v>151</v>
      </c>
      <c r="N85">
        <v>6</v>
      </c>
      <c r="O85" t="s">
        <v>38</v>
      </c>
      <c r="P85" t="s">
        <v>166</v>
      </c>
      <c r="Q85">
        <f>INDEX('Lister og genveje'!$E$39:$I$46,MATCH(M85,'Lister og genveje'!$D$39:$D$46,0),MATCH(P85,'Lister og genveje'!$E$38:$I$38,0),1)</f>
        <v>30</v>
      </c>
      <c r="R85">
        <f>HLOOKUP(O85,'Lister og genveje'!$E$50:$G$52,2,0)</f>
        <v>3.2</v>
      </c>
      <c r="S85">
        <f>HLOOKUP(O85,'Lister og genveje'!$E$50:$G$52,3,0)</f>
        <v>4.8</v>
      </c>
      <c r="T85">
        <f>VLOOKUP(M85,'Lister og genveje'!$D$39:$J$46,7,0)</f>
        <v>0.5</v>
      </c>
      <c r="Z85" t="s">
        <v>119</v>
      </c>
      <c r="AA85" t="s">
        <v>118</v>
      </c>
      <c r="AB85">
        <v>1.5</v>
      </c>
      <c r="AC85" t="s">
        <v>121</v>
      </c>
      <c r="AD85">
        <f>VLOOKUP(Tabel3[[#This Row],[Tværsnit]],$AI$63:$AJ$67,2,1)</f>
        <v>13.3</v>
      </c>
      <c r="AE85">
        <f t="shared" si="1"/>
        <v>0.107</v>
      </c>
    </row>
    <row r="86" spans="12:31">
      <c r="L86" t="str">
        <f t="shared" si="0"/>
        <v>IEC 947-2</v>
      </c>
      <c r="M86" t="s">
        <v>151</v>
      </c>
      <c r="N86">
        <v>10</v>
      </c>
      <c r="O86" t="s">
        <v>38</v>
      </c>
      <c r="P86" t="s">
        <v>166</v>
      </c>
      <c r="Q86">
        <f>INDEX('Lister og genveje'!$E$39:$I$46,MATCH(M86,'Lister og genveje'!$D$39:$D$46,0),MATCH(P86,'Lister og genveje'!$E$38:$I$38,0),1)</f>
        <v>30</v>
      </c>
      <c r="R86">
        <f>HLOOKUP(O86,'Lister og genveje'!$E$50:$G$52,2,0)</f>
        <v>3.2</v>
      </c>
      <c r="S86">
        <f>HLOOKUP(O86,'Lister og genveje'!$E$50:$G$52,3,0)</f>
        <v>4.8</v>
      </c>
      <c r="T86">
        <f>VLOOKUP(M86,'Lister og genveje'!$D$39:$J$46,7,0)</f>
        <v>0.5</v>
      </c>
      <c r="Z86" t="s">
        <v>119</v>
      </c>
      <c r="AA86" t="s">
        <v>118</v>
      </c>
      <c r="AB86">
        <v>2.5</v>
      </c>
      <c r="AC86" t="s">
        <v>121</v>
      </c>
      <c r="AD86">
        <f>VLOOKUP(Tabel3[[#This Row],[Tværsnit]],$AI$63:$AJ$67,2,1)</f>
        <v>7.98</v>
      </c>
      <c r="AE86">
        <f t="shared" si="1"/>
        <v>0.10299999999999999</v>
      </c>
    </row>
    <row r="87" spans="12:31">
      <c r="L87" t="str">
        <f t="shared" si="0"/>
        <v>IEC 947-2</v>
      </c>
      <c r="M87" t="s">
        <v>151</v>
      </c>
      <c r="N87">
        <v>13</v>
      </c>
      <c r="O87" t="s">
        <v>38</v>
      </c>
      <c r="P87" t="s">
        <v>166</v>
      </c>
      <c r="Q87">
        <f>INDEX('Lister og genveje'!$E$39:$I$46,MATCH(M87,'Lister og genveje'!$D$39:$D$46,0),MATCH(P87,'Lister og genveje'!$E$38:$I$38,0),1)</f>
        <v>30</v>
      </c>
      <c r="R87">
        <f>HLOOKUP(O87,'Lister og genveje'!$E$50:$G$52,2,0)</f>
        <v>3.2</v>
      </c>
      <c r="S87">
        <f>HLOOKUP(O87,'Lister og genveje'!$E$50:$G$52,3,0)</f>
        <v>4.8</v>
      </c>
      <c r="T87">
        <f>VLOOKUP(M87,'Lister og genveje'!$D$39:$J$46,7,0)</f>
        <v>0.5</v>
      </c>
      <c r="Z87" t="s">
        <v>107</v>
      </c>
      <c r="AA87" t="s">
        <v>118</v>
      </c>
      <c r="AB87">
        <v>0.75</v>
      </c>
      <c r="AC87" t="s">
        <v>116</v>
      </c>
      <c r="AD87">
        <f>VLOOKUP(Tabel3[[#This Row],[Tværsnit]],$AI$63:$AJ$67,2,1)</f>
        <v>26</v>
      </c>
      <c r="AE87">
        <f t="shared" si="1"/>
        <v>0.111</v>
      </c>
    </row>
    <row r="88" spans="12:31">
      <c r="L88" t="str">
        <f t="shared" si="0"/>
        <v>IEC 947-2</v>
      </c>
      <c r="M88" t="s">
        <v>151</v>
      </c>
      <c r="N88">
        <v>16</v>
      </c>
      <c r="O88" t="s">
        <v>38</v>
      </c>
      <c r="P88" t="s">
        <v>166</v>
      </c>
      <c r="Q88">
        <f>INDEX('Lister og genveje'!$E$39:$I$46,MATCH(M88,'Lister og genveje'!$D$39:$D$46,0),MATCH(P88,'Lister og genveje'!$E$38:$I$38,0),1)</f>
        <v>30</v>
      </c>
      <c r="R88">
        <f>HLOOKUP(O88,'Lister og genveje'!$E$50:$G$52,2,0)</f>
        <v>3.2</v>
      </c>
      <c r="S88">
        <f>HLOOKUP(O88,'Lister og genveje'!$E$50:$G$52,3,0)</f>
        <v>4.8</v>
      </c>
      <c r="T88">
        <f>VLOOKUP(M88,'Lister og genveje'!$D$39:$J$46,7,0)</f>
        <v>0.5</v>
      </c>
      <c r="Z88" t="s">
        <v>107</v>
      </c>
      <c r="AA88" t="s">
        <v>118</v>
      </c>
      <c r="AB88">
        <v>1.5</v>
      </c>
      <c r="AC88" t="s">
        <v>116</v>
      </c>
      <c r="AD88">
        <f>VLOOKUP(Tabel3[[#This Row],[Tværsnit]],$AI$63:$AJ$67,2,1)</f>
        <v>13.3</v>
      </c>
      <c r="AE88">
        <f t="shared" si="1"/>
        <v>0.107</v>
      </c>
    </row>
    <row r="89" spans="12:31">
      <c r="L89" t="str">
        <f t="shared" si="0"/>
        <v>IEC 947-2</v>
      </c>
      <c r="M89" t="s">
        <v>151</v>
      </c>
      <c r="N89">
        <v>20</v>
      </c>
      <c r="O89" t="s">
        <v>38</v>
      </c>
      <c r="P89" t="s">
        <v>166</v>
      </c>
      <c r="Q89">
        <f>INDEX('Lister og genveje'!$E$39:$I$46,MATCH(M89,'Lister og genveje'!$D$39:$D$46,0),MATCH(P89,'Lister og genveje'!$E$38:$I$38,0),1)</f>
        <v>30</v>
      </c>
      <c r="R89">
        <f>HLOOKUP(O89,'Lister og genveje'!$E$50:$G$52,2,0)</f>
        <v>3.2</v>
      </c>
      <c r="S89">
        <f>HLOOKUP(O89,'Lister og genveje'!$E$50:$G$52,3,0)</f>
        <v>4.8</v>
      </c>
      <c r="T89">
        <f>VLOOKUP(M89,'Lister og genveje'!$D$39:$J$46,7,0)</f>
        <v>0.5</v>
      </c>
      <c r="Z89" t="s">
        <v>107</v>
      </c>
      <c r="AA89" t="s">
        <v>118</v>
      </c>
      <c r="AB89">
        <v>2.5</v>
      </c>
      <c r="AC89" t="s">
        <v>116</v>
      </c>
      <c r="AD89">
        <f>VLOOKUP(Tabel3[[#This Row],[Tværsnit]],$AI$63:$AJ$67,2,1)</f>
        <v>7.98</v>
      </c>
      <c r="AE89">
        <f t="shared" si="1"/>
        <v>0.13</v>
      </c>
    </row>
    <row r="90" spans="12:31">
      <c r="L90" t="str">
        <f t="shared" si="0"/>
        <v>IEC 947-2</v>
      </c>
      <c r="M90" t="s">
        <v>151</v>
      </c>
      <c r="N90">
        <v>25</v>
      </c>
      <c r="O90" t="s">
        <v>38</v>
      </c>
      <c r="P90" t="s">
        <v>166</v>
      </c>
      <c r="Q90">
        <f>INDEX('Lister og genveje'!$E$39:$I$46,MATCH(M90,'Lister og genveje'!$D$39:$D$46,0),MATCH(P90,'Lister og genveje'!$E$38:$I$38,0),1)</f>
        <v>30</v>
      </c>
      <c r="R90">
        <f>HLOOKUP(O90,'Lister og genveje'!$E$50:$G$52,2,0)</f>
        <v>3.2</v>
      </c>
      <c r="S90">
        <f>HLOOKUP(O90,'Lister og genveje'!$E$50:$G$52,3,0)</f>
        <v>4.8</v>
      </c>
      <c r="T90">
        <f>VLOOKUP(M90,'Lister og genveje'!$D$39:$J$46,7,0)</f>
        <v>0.5</v>
      </c>
      <c r="Z90" t="s">
        <v>120</v>
      </c>
      <c r="AA90" t="s">
        <v>118</v>
      </c>
      <c r="AB90">
        <v>0.75</v>
      </c>
      <c r="AC90" t="s">
        <v>116</v>
      </c>
      <c r="AD90">
        <f>VLOOKUP(Tabel3[[#This Row],[Tværsnit]],$AI$63:$AJ$67,2,1)</f>
        <v>26</v>
      </c>
      <c r="AE90">
        <f t="shared" si="1"/>
        <v>0.11799999999999999</v>
      </c>
    </row>
    <row r="91" spans="12:31">
      <c r="L91" t="str">
        <f t="shared" si="0"/>
        <v>IEC 947-2</v>
      </c>
      <c r="M91" t="s">
        <v>151</v>
      </c>
      <c r="N91">
        <v>32</v>
      </c>
      <c r="O91" t="s">
        <v>38</v>
      </c>
      <c r="P91" t="s">
        <v>166</v>
      </c>
      <c r="Q91">
        <f>INDEX('Lister og genveje'!$E$39:$I$46,MATCH(M91,'Lister og genveje'!$D$39:$D$46,0),MATCH(P91,'Lister og genveje'!$E$38:$I$38,0),1)</f>
        <v>30</v>
      </c>
      <c r="R91">
        <f>HLOOKUP(O91,'Lister og genveje'!$E$50:$G$52,2,0)</f>
        <v>3.2</v>
      </c>
      <c r="S91">
        <f>HLOOKUP(O91,'Lister og genveje'!$E$50:$G$52,3,0)</f>
        <v>4.8</v>
      </c>
      <c r="T91">
        <f>VLOOKUP(M91,'Lister og genveje'!$D$39:$J$46,7,0)</f>
        <v>0.5</v>
      </c>
      <c r="Z91" t="s">
        <v>120</v>
      </c>
      <c r="AA91" t="s">
        <v>118</v>
      </c>
      <c r="AB91">
        <v>2.5</v>
      </c>
      <c r="AC91" t="s">
        <v>116</v>
      </c>
      <c r="AD91">
        <f>VLOOKUP(Tabel3[[#This Row],[Tværsnit]],$AI$63:$AJ$67,2,1)</f>
        <v>7.98</v>
      </c>
      <c r="AE91">
        <f t="shared" si="1"/>
        <v>0.111</v>
      </c>
    </row>
    <row r="92" spans="12:31">
      <c r="L92" t="str">
        <f t="shared" ref="L92:L155" si="2">$L$27</f>
        <v>IEC 947-2</v>
      </c>
      <c r="M92" t="s">
        <v>151</v>
      </c>
      <c r="N92">
        <v>40</v>
      </c>
      <c r="O92" t="s">
        <v>38</v>
      </c>
      <c r="P92" t="s">
        <v>166</v>
      </c>
      <c r="Q92">
        <f>INDEX('Lister og genveje'!$E$39:$I$46,MATCH(M92,'Lister og genveje'!$D$39:$D$46,0),MATCH(P92,'Lister og genveje'!$E$38:$I$38,0),1)</f>
        <v>30</v>
      </c>
      <c r="R92">
        <f>HLOOKUP(O92,'Lister og genveje'!$E$50:$G$52,2,0)</f>
        <v>3.2</v>
      </c>
      <c r="S92">
        <f>HLOOKUP(O92,'Lister og genveje'!$E$50:$G$52,3,0)</f>
        <v>4.8</v>
      </c>
      <c r="T92">
        <f>VLOOKUP(M92,'Lister og genveje'!$D$39:$J$46,7,0)</f>
        <v>0.5</v>
      </c>
      <c r="Z92" t="s">
        <v>93</v>
      </c>
      <c r="AA92" t="s">
        <v>118</v>
      </c>
      <c r="AB92">
        <v>0.75</v>
      </c>
      <c r="AC92" t="s">
        <v>116</v>
      </c>
      <c r="AD92">
        <f>VLOOKUP(Tabel3[[#This Row],[Tværsnit]],$AI$63:$AJ$67,2,1)</f>
        <v>26</v>
      </c>
      <c r="AE92">
        <f t="shared" si="1"/>
        <v>0.13100000000000001</v>
      </c>
    </row>
    <row r="93" spans="12:31">
      <c r="L93" t="str">
        <f t="shared" si="2"/>
        <v>IEC 947-2</v>
      </c>
      <c r="M93" t="s">
        <v>151</v>
      </c>
      <c r="N93">
        <v>50</v>
      </c>
      <c r="O93" t="s">
        <v>38</v>
      </c>
      <c r="P93" t="s">
        <v>166</v>
      </c>
      <c r="Q93">
        <f>INDEX('Lister og genveje'!$E$39:$I$46,MATCH(M93,'Lister og genveje'!$D$39:$D$46,0),MATCH(P93,'Lister og genveje'!$E$38:$I$38,0),1)</f>
        <v>30</v>
      </c>
      <c r="R93">
        <f>HLOOKUP(O93,'Lister og genveje'!$E$50:$G$52,2,0)</f>
        <v>3.2</v>
      </c>
      <c r="S93">
        <f>HLOOKUP(O93,'Lister og genveje'!$E$50:$G$52,3,0)</f>
        <v>4.8</v>
      </c>
      <c r="T93">
        <f>VLOOKUP(M93,'Lister og genveje'!$D$39:$J$46,7,0)</f>
        <v>0.5</v>
      </c>
      <c r="Z93" t="s">
        <v>93</v>
      </c>
      <c r="AA93" t="s">
        <v>118</v>
      </c>
      <c r="AB93">
        <v>1.5</v>
      </c>
      <c r="AC93" t="s">
        <v>116</v>
      </c>
      <c r="AD93">
        <f>VLOOKUP(Tabel3[[#This Row],[Tværsnit]],$AI$63:$AJ$67,2,1)</f>
        <v>13.3</v>
      </c>
      <c r="AE93">
        <f t="shared" si="1"/>
        <v>0.128</v>
      </c>
    </row>
    <row r="94" spans="12:31">
      <c r="L94" t="str">
        <f t="shared" si="2"/>
        <v>IEC 947-2</v>
      </c>
      <c r="M94" t="s">
        <v>151</v>
      </c>
      <c r="N94">
        <v>63</v>
      </c>
      <c r="O94" t="s">
        <v>38</v>
      </c>
      <c r="P94" t="s">
        <v>166</v>
      </c>
      <c r="Q94">
        <f>INDEX('Lister og genveje'!$E$39:$I$46,MATCH(M94,'Lister og genveje'!$D$39:$D$46,0),MATCH(P94,'Lister og genveje'!$E$38:$I$38,0),1)</f>
        <v>30</v>
      </c>
      <c r="R94">
        <f>HLOOKUP(O94,'Lister og genveje'!$E$50:$G$52,2,0)</f>
        <v>3.2</v>
      </c>
      <c r="S94">
        <f>HLOOKUP(O94,'Lister og genveje'!$E$50:$G$52,3,0)</f>
        <v>4.8</v>
      </c>
      <c r="T94">
        <f>VLOOKUP(M94,'Lister og genveje'!$D$39:$J$46,7,0)</f>
        <v>0.5</v>
      </c>
      <c r="Z94" t="s">
        <v>119</v>
      </c>
      <c r="AA94" t="s">
        <v>118</v>
      </c>
      <c r="AB94">
        <v>1.5</v>
      </c>
      <c r="AC94" t="s">
        <v>117</v>
      </c>
      <c r="AD94">
        <f>VLOOKUP(Tabel3[[#This Row],[Tværsnit]],$AI$63:$AJ$67,2,1)</f>
        <v>13.3</v>
      </c>
      <c r="AE94">
        <f t="shared" si="1"/>
        <v>0.107</v>
      </c>
    </row>
    <row r="95" spans="12:31">
      <c r="L95" t="str">
        <f t="shared" si="2"/>
        <v>IEC 947-2</v>
      </c>
      <c r="M95" t="s">
        <v>151</v>
      </c>
      <c r="N95">
        <v>80</v>
      </c>
      <c r="O95" t="s">
        <v>38</v>
      </c>
      <c r="P95" t="s">
        <v>166</v>
      </c>
      <c r="Q95">
        <f>INDEX('Lister og genveje'!$E$39:$I$46,MATCH(M95,'Lister og genveje'!$D$39:$D$46,0),MATCH(P95,'Lister og genveje'!$E$38:$I$38,0),1)</f>
        <v>30</v>
      </c>
      <c r="R95">
        <f>HLOOKUP(O95,'Lister og genveje'!$E$50:$G$52,2,0)</f>
        <v>3.2</v>
      </c>
      <c r="S95">
        <f>HLOOKUP(O95,'Lister og genveje'!$E$50:$G$52,3,0)</f>
        <v>4.8</v>
      </c>
      <c r="T95">
        <f>VLOOKUP(M95,'Lister og genveje'!$D$39:$J$46,7,0)</f>
        <v>0.5</v>
      </c>
      <c r="Z95" t="s">
        <v>119</v>
      </c>
      <c r="AA95" t="s">
        <v>118</v>
      </c>
      <c r="AB95">
        <v>2.5</v>
      </c>
      <c r="AC95" t="s">
        <v>117</v>
      </c>
      <c r="AD95">
        <f>VLOOKUP(Tabel3[[#This Row],[Tværsnit]],$AI$63:$AJ$67,2,1)</f>
        <v>7.98</v>
      </c>
      <c r="AE95">
        <f t="shared" si="1"/>
        <v>0.10299999999999999</v>
      </c>
    </row>
    <row r="96" spans="12:31">
      <c r="L96" t="str">
        <f t="shared" si="2"/>
        <v>IEC 947-2</v>
      </c>
      <c r="M96" t="s">
        <v>151</v>
      </c>
      <c r="N96">
        <v>100</v>
      </c>
      <c r="O96" t="s">
        <v>38</v>
      </c>
      <c r="P96" t="s">
        <v>166</v>
      </c>
      <c r="Q96">
        <f>INDEX('Lister og genveje'!$E$39:$I$46,MATCH(M96,'Lister og genveje'!$D$39:$D$46,0),MATCH(P96,'Lister og genveje'!$E$38:$I$38,0),1)</f>
        <v>30</v>
      </c>
      <c r="R96">
        <f>HLOOKUP(O96,'Lister og genveje'!$E$50:$G$52,2,0)</f>
        <v>3.2</v>
      </c>
      <c r="S96">
        <f>HLOOKUP(O96,'Lister og genveje'!$E$50:$G$52,3,0)</f>
        <v>4.8</v>
      </c>
      <c r="T96">
        <f>VLOOKUP(M96,'Lister og genveje'!$D$39:$J$46,7,0)</f>
        <v>0.5</v>
      </c>
      <c r="Z96" t="s">
        <v>96</v>
      </c>
      <c r="AA96" t="s">
        <v>118</v>
      </c>
      <c r="AB96">
        <v>1.5</v>
      </c>
      <c r="AC96" t="s">
        <v>117</v>
      </c>
      <c r="AD96">
        <f>VLOOKUP(Tabel3[[#This Row],[Tværsnit]],$AI$63:$AJ$67,2,1)</f>
        <v>13.3</v>
      </c>
      <c r="AE96">
        <f t="shared" si="1"/>
        <v>0.107</v>
      </c>
    </row>
    <row r="97" spans="12:31">
      <c r="L97" t="str">
        <f t="shared" si="2"/>
        <v>IEC 947-2</v>
      </c>
      <c r="M97" t="s">
        <v>151</v>
      </c>
      <c r="N97">
        <v>125</v>
      </c>
      <c r="O97" t="s">
        <v>38</v>
      </c>
      <c r="P97" t="s">
        <v>166</v>
      </c>
      <c r="Q97">
        <f>INDEX('Lister og genveje'!$E$39:$I$46,MATCH(M97,'Lister og genveje'!$D$39:$D$46,0),MATCH(P97,'Lister og genveje'!$E$38:$I$38,0),1)</f>
        <v>30</v>
      </c>
      <c r="R97">
        <f>HLOOKUP(O97,'Lister og genveje'!$E$50:$G$52,2,0)</f>
        <v>3.2</v>
      </c>
      <c r="S97">
        <f>HLOOKUP(O97,'Lister og genveje'!$E$50:$G$52,3,0)</f>
        <v>4.8</v>
      </c>
      <c r="T97">
        <f>VLOOKUP(M97,'Lister og genveje'!$D$39:$J$46,7,0)</f>
        <v>0.5</v>
      </c>
      <c r="Z97" t="s">
        <v>120</v>
      </c>
      <c r="AA97" t="s">
        <v>118</v>
      </c>
      <c r="AB97">
        <v>1</v>
      </c>
      <c r="AC97" t="s">
        <v>117</v>
      </c>
      <c r="AD97">
        <f>VLOOKUP(Tabel3[[#This Row],[Tværsnit]],$AI$63:$AJ$67,2,1)</f>
        <v>19.5</v>
      </c>
      <c r="AE97">
        <f t="shared" si="1"/>
        <v>0.113</v>
      </c>
    </row>
    <row r="98" spans="12:31">
      <c r="L98" t="str">
        <f t="shared" si="2"/>
        <v>IEC 947-2</v>
      </c>
      <c r="M98" t="s">
        <v>152</v>
      </c>
      <c r="N98">
        <v>10</v>
      </c>
      <c r="O98" t="s">
        <v>38</v>
      </c>
      <c r="P98" t="s">
        <v>164</v>
      </c>
      <c r="Q98">
        <f>INDEX('Lister og genveje'!$E$39:$I$46,MATCH(M98,'Lister og genveje'!$D$39:$D$46,0),MATCH(P98,'Lister og genveje'!$E$38:$I$38,0),1)</f>
        <v>4.5</v>
      </c>
      <c r="R98">
        <f>HLOOKUP(O98,'Lister og genveje'!$E$50:$G$52,2,0)</f>
        <v>3.2</v>
      </c>
      <c r="S98">
        <f>HLOOKUP(O98,'Lister og genveje'!$E$50:$G$52,3,0)</f>
        <v>4.8</v>
      </c>
      <c r="T98">
        <f>VLOOKUP(M98,'Lister og genveje'!$D$39:$J$46,7,0)</f>
        <v>0.75</v>
      </c>
      <c r="Z98" t="s">
        <v>120</v>
      </c>
      <c r="AA98" t="s">
        <v>118</v>
      </c>
      <c r="AB98">
        <v>1.5</v>
      </c>
      <c r="AC98" t="s">
        <v>117</v>
      </c>
      <c r="AD98">
        <f>VLOOKUP(Tabel3[[#This Row],[Tværsnit]],$AI$63:$AJ$67,2,1)</f>
        <v>13.3</v>
      </c>
      <c r="AE98">
        <f t="shared" si="1"/>
        <v>0.114</v>
      </c>
    </row>
    <row r="99" spans="12:31">
      <c r="L99" t="str">
        <f t="shared" si="2"/>
        <v>IEC 947-2</v>
      </c>
      <c r="M99" t="s">
        <v>152</v>
      </c>
      <c r="N99">
        <v>13</v>
      </c>
      <c r="O99" t="s">
        <v>38</v>
      </c>
      <c r="P99" t="s">
        <v>164</v>
      </c>
      <c r="Q99">
        <f>INDEX('Lister og genveje'!$E$39:$I$46,MATCH(M99,'Lister og genveje'!$D$39:$D$46,0),MATCH(P99,'Lister og genveje'!$E$38:$I$38,0),1)</f>
        <v>4.5</v>
      </c>
      <c r="R99">
        <f>HLOOKUP(O99,'Lister og genveje'!$E$50:$G$52,2,0)</f>
        <v>3.2</v>
      </c>
      <c r="S99">
        <f>HLOOKUP(O99,'Lister og genveje'!$E$50:$G$52,3,0)</f>
        <v>4.8</v>
      </c>
      <c r="T99">
        <f>VLOOKUP(M99,'Lister og genveje'!$D$39:$J$46,7,0)</f>
        <v>0.75</v>
      </c>
      <c r="Z99" t="s">
        <v>120</v>
      </c>
      <c r="AA99" t="s">
        <v>118</v>
      </c>
      <c r="AB99">
        <v>2.5</v>
      </c>
      <c r="AC99" t="s">
        <v>117</v>
      </c>
      <c r="AD99">
        <f>VLOOKUP(Tabel3[[#This Row],[Tværsnit]],$AI$63:$AJ$67,2,1)</f>
        <v>7.98</v>
      </c>
      <c r="AE99">
        <f t="shared" si="1"/>
        <v>0.111</v>
      </c>
    </row>
    <row r="100" spans="12:31">
      <c r="L100" t="str">
        <f t="shared" si="2"/>
        <v>IEC 947-2</v>
      </c>
      <c r="M100" t="s">
        <v>152</v>
      </c>
      <c r="N100">
        <v>16</v>
      </c>
      <c r="O100" t="s">
        <v>38</v>
      </c>
      <c r="P100" t="s">
        <v>164</v>
      </c>
      <c r="Q100">
        <f>INDEX('Lister og genveje'!$E$39:$I$46,MATCH(M100,'Lister og genveje'!$D$39:$D$46,0),MATCH(P100,'Lister og genveje'!$E$38:$I$38,0),1)</f>
        <v>4.5</v>
      </c>
      <c r="R100">
        <f>HLOOKUP(O100,'Lister og genveje'!$E$50:$G$52,2,0)</f>
        <v>3.2</v>
      </c>
      <c r="S100">
        <f>HLOOKUP(O100,'Lister og genveje'!$E$50:$G$52,3,0)</f>
        <v>4.8</v>
      </c>
      <c r="T100">
        <f>VLOOKUP(M100,'Lister og genveje'!$D$39:$J$46,7,0)</f>
        <v>0.75</v>
      </c>
      <c r="Z100" t="s">
        <v>93</v>
      </c>
      <c r="AA100" t="s">
        <v>118</v>
      </c>
      <c r="AB100">
        <v>1</v>
      </c>
      <c r="AC100" t="s">
        <v>117</v>
      </c>
      <c r="AD100">
        <f>VLOOKUP(Tabel3[[#This Row],[Tværsnit]],$AI$63:$AJ$67,2,1)</f>
        <v>19.5</v>
      </c>
      <c r="AE100">
        <f t="shared" si="1"/>
        <v>0.126</v>
      </c>
    </row>
    <row r="101" spans="12:31">
      <c r="L101" t="str">
        <f t="shared" si="2"/>
        <v>IEC 947-2</v>
      </c>
      <c r="M101" t="s">
        <v>152</v>
      </c>
      <c r="N101">
        <v>20</v>
      </c>
      <c r="O101" t="s">
        <v>38</v>
      </c>
      <c r="P101" t="s">
        <v>164</v>
      </c>
      <c r="Q101">
        <f>INDEX('Lister og genveje'!$E$39:$I$46,MATCH(M101,'Lister og genveje'!$D$39:$D$46,0),MATCH(P101,'Lister og genveje'!$E$38:$I$38,0),1)</f>
        <v>4.5</v>
      </c>
      <c r="R101">
        <f>HLOOKUP(O101,'Lister og genveje'!$E$50:$G$52,2,0)</f>
        <v>3.2</v>
      </c>
      <c r="S101">
        <f>HLOOKUP(O101,'Lister og genveje'!$E$50:$G$52,3,0)</f>
        <v>4.8</v>
      </c>
      <c r="T101">
        <f>VLOOKUP(M101,'Lister og genveje'!$D$39:$J$46,7,0)</f>
        <v>0.75</v>
      </c>
      <c r="Z101" t="s">
        <v>93</v>
      </c>
      <c r="AA101" t="s">
        <v>118</v>
      </c>
      <c r="AB101">
        <v>1.5</v>
      </c>
      <c r="AC101" t="s">
        <v>117</v>
      </c>
      <c r="AD101">
        <f>VLOOKUP(Tabel3[[#This Row],[Tværsnit]],$AI$63:$AJ$67,2,1)</f>
        <v>13.3</v>
      </c>
      <c r="AE101">
        <f t="shared" si="1"/>
        <v>0.128</v>
      </c>
    </row>
    <row r="102" spans="12:31">
      <c r="L102" t="str">
        <f t="shared" si="2"/>
        <v>IEC 947-2</v>
      </c>
      <c r="M102" t="s">
        <v>152</v>
      </c>
      <c r="N102">
        <v>25</v>
      </c>
      <c r="O102" t="s">
        <v>38</v>
      </c>
      <c r="P102" t="s">
        <v>164</v>
      </c>
      <c r="Q102">
        <f>INDEX('Lister og genveje'!$E$39:$I$46,MATCH(M102,'Lister og genveje'!$D$39:$D$46,0),MATCH(P102,'Lister og genveje'!$E$38:$I$38,0),1)</f>
        <v>4.5</v>
      </c>
      <c r="R102">
        <f>HLOOKUP(O102,'Lister og genveje'!$E$50:$G$52,2,0)</f>
        <v>3.2</v>
      </c>
      <c r="S102">
        <f>HLOOKUP(O102,'Lister og genveje'!$E$50:$G$52,3,0)</f>
        <v>4.8</v>
      </c>
      <c r="T102">
        <f>VLOOKUP(M102,'Lister og genveje'!$D$39:$J$46,7,0)</f>
        <v>0.75</v>
      </c>
      <c r="Z102" t="s">
        <v>93</v>
      </c>
      <c r="AA102" t="s">
        <v>118</v>
      </c>
      <c r="AB102">
        <v>2.5</v>
      </c>
      <c r="AC102" t="s">
        <v>117</v>
      </c>
      <c r="AD102">
        <f>VLOOKUP(Tabel3[[#This Row],[Tværsnit]],$AI$63:$AJ$67,2,1)</f>
        <v>7.98</v>
      </c>
      <c r="AE102">
        <f t="shared" si="1"/>
        <v>0.124</v>
      </c>
    </row>
    <row r="103" spans="12:31">
      <c r="L103" t="str">
        <f t="shared" si="2"/>
        <v>IEC 947-2</v>
      </c>
      <c r="M103" t="s">
        <v>152</v>
      </c>
      <c r="N103">
        <v>32</v>
      </c>
      <c r="O103" t="s">
        <v>38</v>
      </c>
      <c r="P103" t="s">
        <v>164</v>
      </c>
      <c r="Q103">
        <f>INDEX('Lister og genveje'!$E$39:$I$46,MATCH(M103,'Lister og genveje'!$D$39:$D$46,0),MATCH(P103,'Lister og genveje'!$E$38:$I$38,0),1)</f>
        <v>4.5</v>
      </c>
      <c r="R103">
        <f>HLOOKUP(O103,'Lister og genveje'!$E$50:$G$52,2,0)</f>
        <v>3.2</v>
      </c>
      <c r="S103">
        <f>HLOOKUP(O103,'Lister og genveje'!$E$50:$G$52,3,0)</f>
        <v>4.8</v>
      </c>
      <c r="T103">
        <f>VLOOKUP(M103,'Lister og genveje'!$D$39:$J$46,7,0)</f>
        <v>0.75</v>
      </c>
      <c r="Z103" t="s">
        <v>93</v>
      </c>
      <c r="AA103" t="s">
        <v>118</v>
      </c>
      <c r="AB103">
        <v>4</v>
      </c>
      <c r="AC103" t="s">
        <v>117</v>
      </c>
      <c r="AD103">
        <f>VLOOKUP(Tabel3[[#This Row],[Tværsnit]],$AI$63:$AJ$67,2,1)</f>
        <v>4.95</v>
      </c>
      <c r="AE103">
        <f t="shared" si="1"/>
        <v>0.121</v>
      </c>
    </row>
    <row r="104" spans="12:31">
      <c r="L104" t="str">
        <f t="shared" si="2"/>
        <v>IEC 947-2</v>
      </c>
      <c r="M104" t="s">
        <v>152</v>
      </c>
      <c r="N104">
        <v>40</v>
      </c>
      <c r="O104" t="s">
        <v>38</v>
      </c>
      <c r="P104" t="s">
        <v>164</v>
      </c>
      <c r="Q104">
        <f>INDEX('Lister og genveje'!$E$39:$I$46,MATCH(M104,'Lister og genveje'!$D$39:$D$46,0),MATCH(P104,'Lister og genveje'!$E$38:$I$38,0),1)</f>
        <v>4.5</v>
      </c>
      <c r="R104">
        <f>HLOOKUP(O104,'Lister og genveje'!$E$50:$G$52,2,0)</f>
        <v>3.2</v>
      </c>
      <c r="S104">
        <f>HLOOKUP(O104,'Lister og genveje'!$E$50:$G$52,3,0)</f>
        <v>4.8</v>
      </c>
      <c r="T104">
        <f>VLOOKUP(M104,'Lister og genveje'!$D$39:$J$46,7,0)</f>
        <v>0.75</v>
      </c>
      <c r="Z104" t="s">
        <v>231</v>
      </c>
      <c r="AA104" t="s">
        <v>232</v>
      </c>
      <c r="AB104">
        <v>6</v>
      </c>
      <c r="AC104" t="s">
        <v>233</v>
      </c>
      <c r="AD104">
        <f>VLOOKUP(Tabel3[[#This Row],[Tværsnit]],'Lister og genveje'!$AQ$10:$AS$25,2,0)</f>
        <v>3.08</v>
      </c>
      <c r="AE104">
        <f>Tabel3[[#This Row],[R]]</f>
        <v>3.08</v>
      </c>
    </row>
    <row r="105" spans="12:31">
      <c r="L105" t="str">
        <f t="shared" si="2"/>
        <v>IEC 947-2</v>
      </c>
      <c r="M105" t="s">
        <v>152</v>
      </c>
      <c r="N105">
        <v>50</v>
      </c>
      <c r="O105" t="s">
        <v>38</v>
      </c>
      <c r="P105" t="s">
        <v>164</v>
      </c>
      <c r="Q105">
        <f>INDEX('Lister og genveje'!$E$39:$I$46,MATCH(M105,'Lister og genveje'!$D$39:$D$46,0),MATCH(P105,'Lister og genveje'!$E$38:$I$38,0),1)</f>
        <v>4.5</v>
      </c>
      <c r="R105">
        <f>HLOOKUP(O105,'Lister og genveje'!$E$50:$G$52,2,0)</f>
        <v>3.2</v>
      </c>
      <c r="S105">
        <f>HLOOKUP(O105,'Lister og genveje'!$E$50:$G$52,3,0)</f>
        <v>4.8</v>
      </c>
      <c r="T105">
        <f>VLOOKUP(M105,'Lister og genveje'!$D$39:$J$46,7,0)</f>
        <v>0.75</v>
      </c>
      <c r="Z105" t="s">
        <v>231</v>
      </c>
      <c r="AA105" t="s">
        <v>232</v>
      </c>
      <c r="AB105">
        <v>10</v>
      </c>
      <c r="AC105" t="s">
        <v>233</v>
      </c>
      <c r="AD105">
        <f>VLOOKUP(Tabel3[[#This Row],[Tværsnit]],'Lister og genveje'!$AQ$10:$AS$25,2,0)</f>
        <v>1.83</v>
      </c>
      <c r="AE105">
        <f>Tabel3[[#This Row],[R]]</f>
        <v>1.83</v>
      </c>
    </row>
    <row r="106" spans="12:31">
      <c r="L106" t="str">
        <f t="shared" si="2"/>
        <v>IEC 947-2</v>
      </c>
      <c r="M106" t="s">
        <v>152</v>
      </c>
      <c r="N106">
        <v>63</v>
      </c>
      <c r="O106" t="s">
        <v>38</v>
      </c>
      <c r="P106" t="s">
        <v>164</v>
      </c>
      <c r="Q106">
        <f>INDEX('Lister og genveje'!$E$39:$I$46,MATCH(M106,'Lister og genveje'!$D$39:$D$46,0),MATCH(P106,'Lister og genveje'!$E$38:$I$38,0),1)</f>
        <v>4.5</v>
      </c>
      <c r="R106">
        <f>HLOOKUP(O106,'Lister og genveje'!$E$50:$G$52,2,0)</f>
        <v>3.2</v>
      </c>
      <c r="S106">
        <f>HLOOKUP(O106,'Lister og genveje'!$E$50:$G$52,3,0)</f>
        <v>4.8</v>
      </c>
      <c r="T106">
        <f>VLOOKUP(M106,'Lister og genveje'!$D$39:$J$46,7,0)</f>
        <v>0.75</v>
      </c>
      <c r="Z106" t="s">
        <v>231</v>
      </c>
      <c r="AA106" t="s">
        <v>232</v>
      </c>
      <c r="AB106">
        <v>16</v>
      </c>
      <c r="AC106" t="s">
        <v>233</v>
      </c>
      <c r="AD106">
        <f>VLOOKUP(Tabel3[[#This Row],[Tværsnit]],'Lister og genveje'!$AQ$10:$AS$25,2,0)</f>
        <v>1.1499999999999999</v>
      </c>
      <c r="AE106">
        <f>Tabel3[[#This Row],[R]]</f>
        <v>1.1499999999999999</v>
      </c>
    </row>
    <row r="107" spans="12:31">
      <c r="L107" t="str">
        <f t="shared" si="2"/>
        <v>IEC 947-2</v>
      </c>
      <c r="M107" t="s">
        <v>152</v>
      </c>
      <c r="N107">
        <v>80</v>
      </c>
      <c r="O107" t="s">
        <v>38</v>
      </c>
      <c r="P107" t="s">
        <v>164</v>
      </c>
      <c r="Q107">
        <f>INDEX('Lister og genveje'!$E$39:$I$46,MATCH(M107,'Lister og genveje'!$D$39:$D$46,0),MATCH(P107,'Lister og genveje'!$E$38:$I$38,0),1)</f>
        <v>4.5</v>
      </c>
      <c r="R107">
        <f>HLOOKUP(O107,'Lister og genveje'!$E$50:$G$52,2,0)</f>
        <v>3.2</v>
      </c>
      <c r="S107">
        <f>HLOOKUP(O107,'Lister og genveje'!$E$50:$G$52,3,0)</f>
        <v>4.8</v>
      </c>
      <c r="T107">
        <f>VLOOKUP(M107,'Lister og genveje'!$D$39:$J$46,7,0)</f>
        <v>0.75</v>
      </c>
      <c r="Z107" t="s">
        <v>231</v>
      </c>
      <c r="AA107" t="s">
        <v>232</v>
      </c>
      <c r="AB107">
        <v>25</v>
      </c>
      <c r="AC107" t="s">
        <v>233</v>
      </c>
      <c r="AD107">
        <f>VLOOKUP(Tabel3[[#This Row],[Tværsnit]],'Lister og genveje'!$AQ$10:$AS$25,2,0)</f>
        <v>0.72699999999999998</v>
      </c>
      <c r="AE107">
        <f>Tabel3[[#This Row],[R]]</f>
        <v>0.72699999999999998</v>
      </c>
    </row>
    <row r="108" spans="12:31">
      <c r="L108" t="str">
        <f t="shared" si="2"/>
        <v>IEC 947-2</v>
      </c>
      <c r="M108" t="s">
        <v>152</v>
      </c>
      <c r="N108">
        <v>100</v>
      </c>
      <c r="O108" t="s">
        <v>38</v>
      </c>
      <c r="P108" t="s">
        <v>164</v>
      </c>
      <c r="Q108">
        <f>INDEX('Lister og genveje'!$E$39:$I$46,MATCH(M108,'Lister og genveje'!$D$39:$D$46,0),MATCH(P108,'Lister og genveje'!$E$38:$I$38,0),1)</f>
        <v>4.5</v>
      </c>
      <c r="R108">
        <f>HLOOKUP(O108,'Lister og genveje'!$E$50:$G$52,2,0)</f>
        <v>3.2</v>
      </c>
      <c r="S108">
        <f>HLOOKUP(O108,'Lister og genveje'!$E$50:$G$52,3,0)</f>
        <v>4.8</v>
      </c>
      <c r="T108">
        <f>VLOOKUP(M108,'Lister og genveje'!$D$39:$J$46,7,0)</f>
        <v>0.75</v>
      </c>
      <c r="Z108" t="s">
        <v>231</v>
      </c>
      <c r="AA108" t="s">
        <v>232</v>
      </c>
      <c r="AB108">
        <v>35</v>
      </c>
      <c r="AC108" t="s">
        <v>233</v>
      </c>
      <c r="AD108">
        <f>VLOOKUP(Tabel3[[#This Row],[Tværsnit]],'Lister og genveje'!$AQ$10:$AS$25,2,0)</f>
        <v>0.52500000000000002</v>
      </c>
      <c r="AE108">
        <f>Tabel3[[#This Row],[R]]</f>
        <v>0.52500000000000002</v>
      </c>
    </row>
    <row r="109" spans="12:31">
      <c r="L109" t="str">
        <f t="shared" si="2"/>
        <v>IEC 947-2</v>
      </c>
      <c r="M109" t="s">
        <v>152</v>
      </c>
      <c r="N109">
        <v>125</v>
      </c>
      <c r="O109" t="s">
        <v>38</v>
      </c>
      <c r="P109" t="s">
        <v>164</v>
      </c>
      <c r="Q109">
        <f>INDEX('Lister og genveje'!$E$39:$I$46,MATCH(M109,'Lister og genveje'!$D$39:$D$46,0),MATCH(P109,'Lister og genveje'!$E$38:$I$38,0),1)</f>
        <v>4.5</v>
      </c>
      <c r="R109">
        <f>HLOOKUP(O109,'Lister og genveje'!$E$50:$G$52,2,0)</f>
        <v>3.2</v>
      </c>
      <c r="S109">
        <f>HLOOKUP(O109,'Lister og genveje'!$E$50:$G$52,3,0)</f>
        <v>4.8</v>
      </c>
      <c r="T109">
        <f>VLOOKUP(M109,'Lister og genveje'!$D$39:$J$46,7,0)</f>
        <v>0.75</v>
      </c>
      <c r="Z109" t="s">
        <v>231</v>
      </c>
      <c r="AA109" t="s">
        <v>232</v>
      </c>
      <c r="AB109">
        <v>50</v>
      </c>
      <c r="AC109" t="s">
        <v>233</v>
      </c>
      <c r="AD109">
        <f>VLOOKUP(Tabel3[[#This Row],[Tværsnit]],'Lister og genveje'!$AQ$10:$AS$25,2,0)</f>
        <v>0.38800000000000001</v>
      </c>
      <c r="AE109">
        <f>Tabel3[[#This Row],[R]]</f>
        <v>0.38800000000000001</v>
      </c>
    </row>
    <row r="110" spans="12:31">
      <c r="L110" t="str">
        <f t="shared" si="2"/>
        <v>IEC 947-2</v>
      </c>
      <c r="M110" t="s">
        <v>152</v>
      </c>
      <c r="N110">
        <v>10</v>
      </c>
      <c r="O110" t="s">
        <v>38</v>
      </c>
      <c r="P110" t="s">
        <v>166</v>
      </c>
      <c r="Q110">
        <f>INDEX('Lister og genveje'!$E$39:$I$46,MATCH(M110,'Lister og genveje'!$D$39:$D$46,0),MATCH(P110,'Lister og genveje'!$E$38:$I$38,0),1)</f>
        <v>25</v>
      </c>
      <c r="R110">
        <f>HLOOKUP(O110,'Lister og genveje'!$E$50:$G$52,2,0)</f>
        <v>3.2</v>
      </c>
      <c r="S110">
        <f>HLOOKUP(O110,'Lister og genveje'!$E$50:$G$52,3,0)</f>
        <v>4.8</v>
      </c>
      <c r="T110">
        <f>VLOOKUP(M110,'Lister og genveje'!$D$39:$J$46,7,0)</f>
        <v>0.75</v>
      </c>
      <c r="Z110" t="s">
        <v>231</v>
      </c>
      <c r="AA110" t="s">
        <v>232</v>
      </c>
      <c r="AB110">
        <v>70</v>
      </c>
      <c r="AC110" t="s">
        <v>233</v>
      </c>
      <c r="AD110">
        <f>VLOOKUP(Tabel3[[#This Row],[Tværsnit]],'Lister og genveje'!$AQ$10:$AS$25,2,0)</f>
        <v>0.26900000000000002</v>
      </c>
      <c r="AE110">
        <f>Tabel3[[#This Row],[R]]</f>
        <v>0.26900000000000002</v>
      </c>
    </row>
    <row r="111" spans="12:31">
      <c r="L111" t="str">
        <f t="shared" si="2"/>
        <v>IEC 947-2</v>
      </c>
      <c r="M111" t="s">
        <v>152</v>
      </c>
      <c r="N111">
        <v>13</v>
      </c>
      <c r="O111" t="s">
        <v>38</v>
      </c>
      <c r="P111" t="s">
        <v>166</v>
      </c>
      <c r="Q111">
        <f>INDEX('Lister og genveje'!$E$39:$I$46,MATCH(M111,'Lister og genveje'!$D$39:$D$46,0),MATCH(P111,'Lister og genveje'!$E$38:$I$38,0),1)</f>
        <v>25</v>
      </c>
      <c r="R111">
        <f>HLOOKUP(O111,'Lister og genveje'!$E$50:$G$52,2,0)</f>
        <v>3.2</v>
      </c>
      <c r="S111">
        <f>HLOOKUP(O111,'Lister og genveje'!$E$50:$G$52,3,0)</f>
        <v>4.8</v>
      </c>
      <c r="T111">
        <f>VLOOKUP(M111,'Lister og genveje'!$D$39:$J$46,7,0)</f>
        <v>0.75</v>
      </c>
      <c r="Z111" t="s">
        <v>231</v>
      </c>
      <c r="AA111" t="s">
        <v>232</v>
      </c>
      <c r="AB111">
        <v>95</v>
      </c>
      <c r="AC111" t="s">
        <v>233</v>
      </c>
      <c r="AD111">
        <f>VLOOKUP(Tabel3[[#This Row],[Tværsnit]],'Lister og genveje'!$AQ$10:$AS$25,2,0)</f>
        <v>0.19400000000000001</v>
      </c>
      <c r="AE111">
        <f>Tabel3[[#This Row],[R]]</f>
        <v>0.19400000000000001</v>
      </c>
    </row>
    <row r="112" spans="12:31">
      <c r="L112" t="str">
        <f t="shared" si="2"/>
        <v>IEC 947-2</v>
      </c>
      <c r="M112" t="s">
        <v>152</v>
      </c>
      <c r="N112">
        <v>16</v>
      </c>
      <c r="O112" t="s">
        <v>38</v>
      </c>
      <c r="P112" t="s">
        <v>166</v>
      </c>
      <c r="Q112">
        <f>INDEX('Lister og genveje'!$E$39:$I$46,MATCH(M112,'Lister og genveje'!$D$39:$D$46,0),MATCH(P112,'Lister og genveje'!$E$38:$I$38,0),1)</f>
        <v>25</v>
      </c>
      <c r="R112">
        <f>HLOOKUP(O112,'Lister og genveje'!$E$50:$G$52,2,0)</f>
        <v>3.2</v>
      </c>
      <c r="S112">
        <f>HLOOKUP(O112,'Lister og genveje'!$E$50:$G$52,3,0)</f>
        <v>4.8</v>
      </c>
      <c r="T112">
        <f>VLOOKUP(M112,'Lister og genveje'!$D$39:$J$46,7,0)</f>
        <v>0.75</v>
      </c>
      <c r="Z112" t="s">
        <v>231</v>
      </c>
      <c r="AA112" t="s">
        <v>232</v>
      </c>
      <c r="AB112">
        <v>120</v>
      </c>
      <c r="AC112" t="s">
        <v>233</v>
      </c>
      <c r="AD112">
        <f>VLOOKUP(Tabel3[[#This Row],[Tværsnit]],'Lister og genveje'!$AQ$10:$AS$25,2,0)</f>
        <v>0.155</v>
      </c>
      <c r="AE112">
        <f>Tabel3[[#This Row],[R]]</f>
        <v>0.155</v>
      </c>
    </row>
    <row r="113" spans="12:36">
      <c r="L113" t="str">
        <f t="shared" si="2"/>
        <v>IEC 947-2</v>
      </c>
      <c r="M113" t="s">
        <v>152</v>
      </c>
      <c r="N113">
        <v>20</v>
      </c>
      <c r="O113" t="s">
        <v>38</v>
      </c>
      <c r="P113" t="s">
        <v>166</v>
      </c>
      <c r="Q113">
        <f>INDEX('Lister og genveje'!$E$39:$I$46,MATCH(M113,'Lister og genveje'!$D$39:$D$46,0),MATCH(P113,'Lister og genveje'!$E$38:$I$38,0),1)</f>
        <v>25</v>
      </c>
      <c r="R113">
        <f>HLOOKUP(O113,'Lister og genveje'!$E$50:$G$52,2,0)</f>
        <v>3.2</v>
      </c>
      <c r="S113">
        <f>HLOOKUP(O113,'Lister og genveje'!$E$50:$G$52,3,0)</f>
        <v>4.8</v>
      </c>
      <c r="T113">
        <f>VLOOKUP(M113,'Lister og genveje'!$D$39:$J$46,7,0)</f>
        <v>0.75</v>
      </c>
      <c r="Z113" t="s">
        <v>231</v>
      </c>
      <c r="AA113" t="s">
        <v>232</v>
      </c>
      <c r="AB113">
        <v>150</v>
      </c>
      <c r="AC113" t="s">
        <v>233</v>
      </c>
      <c r="AD113">
        <f>VLOOKUP(Tabel3[[#This Row],[Tværsnit]],'Lister og genveje'!$AQ$10:$AS$25,2,0)</f>
        <v>0.126</v>
      </c>
      <c r="AE113">
        <f>Tabel3[[#This Row],[R]]</f>
        <v>0.126</v>
      </c>
    </row>
    <row r="114" spans="12:36" ht="85.5">
      <c r="L114" t="str">
        <f t="shared" si="2"/>
        <v>IEC 947-2</v>
      </c>
      <c r="M114" t="s">
        <v>152</v>
      </c>
      <c r="N114">
        <v>25</v>
      </c>
      <c r="O114" t="s">
        <v>38</v>
      </c>
      <c r="P114" t="s">
        <v>166</v>
      </c>
      <c r="Q114">
        <f>INDEX('Lister og genveje'!$E$39:$I$46,MATCH(M114,'Lister og genveje'!$D$39:$D$46,0),MATCH(P114,'Lister og genveje'!$E$38:$I$38,0),1)</f>
        <v>25</v>
      </c>
      <c r="R114">
        <f>HLOOKUP(O114,'Lister og genveje'!$E$50:$G$52,2,0)</f>
        <v>3.2</v>
      </c>
      <c r="S114">
        <f>HLOOKUP(O114,'Lister og genveje'!$E$50:$G$52,3,0)</f>
        <v>4.8</v>
      </c>
      <c r="T114">
        <f>VLOOKUP(M114,'Lister og genveje'!$D$39:$J$46,7,0)</f>
        <v>0.75</v>
      </c>
      <c r="Z114" t="s">
        <v>231</v>
      </c>
      <c r="AA114" t="s">
        <v>232</v>
      </c>
      <c r="AB114">
        <v>185</v>
      </c>
      <c r="AC114" t="s">
        <v>233</v>
      </c>
      <c r="AD114">
        <f>VLOOKUP(Tabel3[[#This Row],[Tværsnit]],'Lister og genveje'!$AQ$10:$AS$25,2,0)</f>
        <v>0.1017</v>
      </c>
      <c r="AE114">
        <f>Tabel3[[#This Row],[R]]</f>
        <v>0.1017</v>
      </c>
      <c r="AJ114" s="111"/>
    </row>
    <row r="115" spans="12:36">
      <c r="L115" t="str">
        <f t="shared" si="2"/>
        <v>IEC 947-2</v>
      </c>
      <c r="M115" t="s">
        <v>152</v>
      </c>
      <c r="N115">
        <v>32</v>
      </c>
      <c r="O115" t="s">
        <v>38</v>
      </c>
      <c r="P115" t="s">
        <v>166</v>
      </c>
      <c r="Q115">
        <f>INDEX('Lister og genveje'!$E$39:$I$46,MATCH(M115,'Lister og genveje'!$D$39:$D$46,0),MATCH(P115,'Lister og genveje'!$E$38:$I$38,0),1)</f>
        <v>25</v>
      </c>
      <c r="R115">
        <f>HLOOKUP(O115,'Lister og genveje'!$E$50:$G$52,2,0)</f>
        <v>3.2</v>
      </c>
      <c r="S115">
        <f>HLOOKUP(O115,'Lister og genveje'!$E$50:$G$52,3,0)</f>
        <v>4.8</v>
      </c>
      <c r="T115">
        <f>VLOOKUP(M115,'Lister og genveje'!$D$39:$J$46,7,0)</f>
        <v>0.75</v>
      </c>
      <c r="Z115" t="s">
        <v>231</v>
      </c>
      <c r="AA115" t="s">
        <v>232</v>
      </c>
      <c r="AB115">
        <v>240</v>
      </c>
      <c r="AC115" t="s">
        <v>233</v>
      </c>
      <c r="AD115">
        <f>VLOOKUP(Tabel3[[#This Row],[Tværsnit]],'Lister og genveje'!$AQ$10:$AS$25,2,0)</f>
        <v>7.8700000000000006E-2</v>
      </c>
      <c r="AE115">
        <f>Tabel3[[#This Row],[R]]</f>
        <v>7.8700000000000006E-2</v>
      </c>
    </row>
    <row r="116" spans="12:36">
      <c r="L116" t="str">
        <f t="shared" si="2"/>
        <v>IEC 947-2</v>
      </c>
      <c r="M116" t="s">
        <v>152</v>
      </c>
      <c r="N116">
        <v>40</v>
      </c>
      <c r="O116" t="s">
        <v>38</v>
      </c>
      <c r="P116" t="s">
        <v>166</v>
      </c>
      <c r="Q116">
        <f>INDEX('Lister og genveje'!$E$39:$I$46,MATCH(M116,'Lister og genveje'!$D$39:$D$46,0),MATCH(P116,'Lister og genveje'!$E$38:$I$38,0),1)</f>
        <v>25</v>
      </c>
      <c r="R116">
        <f>HLOOKUP(O116,'Lister og genveje'!$E$50:$G$52,2,0)</f>
        <v>3.2</v>
      </c>
      <c r="S116">
        <f>HLOOKUP(O116,'Lister og genveje'!$E$50:$G$52,3,0)</f>
        <v>4.8</v>
      </c>
      <c r="T116">
        <f>VLOOKUP(M116,'Lister og genveje'!$D$39:$J$46,7,0)</f>
        <v>0.75</v>
      </c>
      <c r="Z116" t="s">
        <v>231</v>
      </c>
      <c r="AA116" t="s">
        <v>232</v>
      </c>
      <c r="AB116">
        <v>50</v>
      </c>
      <c r="AC116" t="s">
        <v>245</v>
      </c>
      <c r="AD116">
        <f>VLOOKUP(Tabel3[[#This Row],[Tværsnit]],'Lister og genveje'!$AQ$10:$AS$25,2,0)</f>
        <v>0.38800000000000001</v>
      </c>
      <c r="AE116">
        <f>Tabel3[[#This Row],[R]]</f>
        <v>0.38800000000000001</v>
      </c>
    </row>
    <row r="117" spans="12:36">
      <c r="L117" t="str">
        <f t="shared" si="2"/>
        <v>IEC 947-2</v>
      </c>
      <c r="M117" t="s">
        <v>152</v>
      </c>
      <c r="N117">
        <v>50</v>
      </c>
      <c r="O117" t="s">
        <v>38</v>
      </c>
      <c r="P117" t="s">
        <v>166</v>
      </c>
      <c r="Q117">
        <f>INDEX('Lister og genveje'!$E$39:$I$46,MATCH(M117,'Lister og genveje'!$D$39:$D$46,0),MATCH(P117,'Lister og genveje'!$E$38:$I$38,0),1)</f>
        <v>25</v>
      </c>
      <c r="R117">
        <f>HLOOKUP(O117,'Lister og genveje'!$E$50:$G$52,2,0)</f>
        <v>3.2</v>
      </c>
      <c r="S117">
        <f>HLOOKUP(O117,'Lister og genveje'!$E$50:$G$52,3,0)</f>
        <v>4.8</v>
      </c>
      <c r="T117">
        <f>VLOOKUP(M117,'Lister og genveje'!$D$39:$J$46,7,0)</f>
        <v>0.75</v>
      </c>
      <c r="Z117" t="s">
        <v>231</v>
      </c>
      <c r="AA117" t="s">
        <v>232</v>
      </c>
      <c r="AB117">
        <v>70</v>
      </c>
      <c r="AC117" t="s">
        <v>245</v>
      </c>
      <c r="AD117">
        <f>VLOOKUP(Tabel3[[#This Row],[Tværsnit]],'Lister og genveje'!$AQ$10:$AS$25,2,0)</f>
        <v>0.26900000000000002</v>
      </c>
      <c r="AE117">
        <f>Tabel3[[#This Row],[R]]</f>
        <v>0.26900000000000002</v>
      </c>
    </row>
    <row r="118" spans="12:36">
      <c r="L118" t="str">
        <f t="shared" si="2"/>
        <v>IEC 947-2</v>
      </c>
      <c r="M118" t="s">
        <v>152</v>
      </c>
      <c r="N118">
        <v>63</v>
      </c>
      <c r="O118" t="s">
        <v>38</v>
      </c>
      <c r="P118" t="s">
        <v>166</v>
      </c>
      <c r="Q118">
        <f>INDEX('Lister og genveje'!$E$39:$I$46,MATCH(M118,'Lister og genveje'!$D$39:$D$46,0),MATCH(P118,'Lister og genveje'!$E$38:$I$38,0),1)</f>
        <v>25</v>
      </c>
      <c r="R118">
        <f>HLOOKUP(O118,'Lister og genveje'!$E$50:$G$52,2,0)</f>
        <v>3.2</v>
      </c>
      <c r="S118">
        <f>HLOOKUP(O118,'Lister og genveje'!$E$50:$G$52,3,0)</f>
        <v>4.8</v>
      </c>
      <c r="T118">
        <f>VLOOKUP(M118,'Lister og genveje'!$D$39:$J$46,7,0)</f>
        <v>0.75</v>
      </c>
      <c r="Z118" t="s">
        <v>231</v>
      </c>
      <c r="AA118" t="s">
        <v>232</v>
      </c>
      <c r="AB118">
        <v>95</v>
      </c>
      <c r="AC118" t="s">
        <v>245</v>
      </c>
      <c r="AD118">
        <f>VLOOKUP(Tabel3[[#This Row],[Tværsnit]],'Lister og genveje'!$AQ$10:$AS$25,2,0)</f>
        <v>0.19400000000000001</v>
      </c>
      <c r="AE118">
        <f>Tabel3[[#This Row],[R]]</f>
        <v>0.19400000000000001</v>
      </c>
    </row>
    <row r="119" spans="12:36">
      <c r="L119" t="str">
        <f t="shared" si="2"/>
        <v>IEC 947-2</v>
      </c>
      <c r="M119" t="s">
        <v>152</v>
      </c>
      <c r="N119">
        <v>80</v>
      </c>
      <c r="O119" t="s">
        <v>38</v>
      </c>
      <c r="P119" t="s">
        <v>166</v>
      </c>
      <c r="Q119">
        <f>INDEX('Lister og genveje'!$E$39:$I$46,MATCH(M119,'Lister og genveje'!$D$39:$D$46,0),MATCH(P119,'Lister og genveje'!$E$38:$I$38,0),1)</f>
        <v>25</v>
      </c>
      <c r="R119">
        <f>HLOOKUP(O119,'Lister og genveje'!$E$50:$G$52,2,0)</f>
        <v>3.2</v>
      </c>
      <c r="S119">
        <f>HLOOKUP(O119,'Lister og genveje'!$E$50:$G$52,3,0)</f>
        <v>4.8</v>
      </c>
      <c r="T119">
        <f>VLOOKUP(M119,'Lister og genveje'!$D$39:$J$46,7,0)</f>
        <v>0.75</v>
      </c>
      <c r="Z119" t="s">
        <v>231</v>
      </c>
      <c r="AA119" t="s">
        <v>232</v>
      </c>
      <c r="AB119">
        <v>120</v>
      </c>
      <c r="AC119" t="s">
        <v>245</v>
      </c>
      <c r="AD119">
        <f>VLOOKUP(Tabel3[[#This Row],[Tværsnit]],'Lister og genveje'!$AQ$10:$AS$25,2,0)</f>
        <v>0.155</v>
      </c>
      <c r="AE119">
        <f>Tabel3[[#This Row],[R]]</f>
        <v>0.155</v>
      </c>
    </row>
    <row r="120" spans="12:36">
      <c r="L120" t="str">
        <f t="shared" si="2"/>
        <v>IEC 947-2</v>
      </c>
      <c r="M120" t="s">
        <v>152</v>
      </c>
      <c r="N120">
        <v>100</v>
      </c>
      <c r="O120" t="s">
        <v>38</v>
      </c>
      <c r="P120" t="s">
        <v>166</v>
      </c>
      <c r="Q120">
        <f>INDEX('Lister og genveje'!$E$39:$I$46,MATCH(M120,'Lister og genveje'!$D$39:$D$46,0),MATCH(P120,'Lister og genveje'!$E$38:$I$38,0),1)</f>
        <v>25</v>
      </c>
      <c r="R120">
        <f>HLOOKUP(O120,'Lister og genveje'!$E$50:$G$52,2,0)</f>
        <v>3.2</v>
      </c>
      <c r="S120">
        <f>HLOOKUP(O120,'Lister og genveje'!$E$50:$G$52,3,0)</f>
        <v>4.8</v>
      </c>
      <c r="T120">
        <f>VLOOKUP(M120,'Lister og genveje'!$D$39:$J$46,7,0)</f>
        <v>0.75</v>
      </c>
      <c r="Z120" t="s">
        <v>231</v>
      </c>
      <c r="AA120" t="s">
        <v>232</v>
      </c>
      <c r="AB120">
        <v>150</v>
      </c>
      <c r="AC120" t="s">
        <v>245</v>
      </c>
      <c r="AD120">
        <f>VLOOKUP(Tabel3[[#This Row],[Tværsnit]],'Lister og genveje'!$AQ$10:$AS$25,2,0)</f>
        <v>0.126</v>
      </c>
      <c r="AE120">
        <f>Tabel3[[#This Row],[R]]</f>
        <v>0.126</v>
      </c>
    </row>
    <row r="121" spans="12:36">
      <c r="L121" t="str">
        <f t="shared" si="2"/>
        <v>IEC 947-2</v>
      </c>
      <c r="M121" t="s">
        <v>152</v>
      </c>
      <c r="N121">
        <v>125</v>
      </c>
      <c r="O121" t="s">
        <v>38</v>
      </c>
      <c r="P121" t="s">
        <v>166</v>
      </c>
      <c r="Q121">
        <f>INDEX('Lister og genveje'!$E$39:$I$46,MATCH(M121,'Lister og genveje'!$D$39:$D$46,0),MATCH(P121,'Lister og genveje'!$E$38:$I$38,0),1)</f>
        <v>25</v>
      </c>
      <c r="R121">
        <f>HLOOKUP(O121,'Lister og genveje'!$E$50:$G$52,2,0)</f>
        <v>3.2</v>
      </c>
      <c r="S121">
        <f>HLOOKUP(O121,'Lister og genveje'!$E$50:$G$52,3,0)</f>
        <v>4.8</v>
      </c>
      <c r="T121">
        <f>VLOOKUP(M121,'Lister og genveje'!$D$39:$J$46,7,0)</f>
        <v>0.75</v>
      </c>
      <c r="Z121" t="s">
        <v>231</v>
      </c>
      <c r="AA121" t="s">
        <v>232</v>
      </c>
      <c r="AB121">
        <v>240</v>
      </c>
      <c r="AC121" t="s">
        <v>245</v>
      </c>
      <c r="AD121">
        <f>VLOOKUP(Tabel3[[#This Row],[Tværsnit]],'Lister og genveje'!$AQ$10:$AS$25,2,0)</f>
        <v>7.8700000000000006E-2</v>
      </c>
      <c r="AE121">
        <f>Tabel3[[#This Row],[R]]</f>
        <v>7.8700000000000006E-2</v>
      </c>
    </row>
    <row r="122" spans="12:36">
      <c r="L122" t="str">
        <f t="shared" si="2"/>
        <v>IEC 947-2</v>
      </c>
      <c r="M122" t="str">
        <f>'Lister og genveje'!$D$39</f>
        <v>C60N</v>
      </c>
      <c r="N122">
        <v>0.5</v>
      </c>
      <c r="O122" t="s">
        <v>155</v>
      </c>
      <c r="P122" t="str">
        <f>'Lister og genveje'!$F$38</f>
        <v>1 Pol</v>
      </c>
      <c r="Q122">
        <f>INDEX('Lister og genveje'!$E$39:$I$46,MATCH(M122,'Lister og genveje'!$D$39:$D$46,0),MATCH(P122,'Lister og genveje'!$E$38:$I$38,0),1)</f>
        <v>3</v>
      </c>
      <c r="R122">
        <f>HLOOKUP(O122,'Lister og genveje'!$E$50:$G$52,2,0)</f>
        <v>7</v>
      </c>
      <c r="S122">
        <f>HLOOKUP(O122,'Lister og genveje'!$E$50:$G$52,3,0)</f>
        <v>10</v>
      </c>
      <c r="T122">
        <f>VLOOKUP(M122,'Lister og genveje'!$D$39:$J$46,7,0)</f>
        <v>0.75</v>
      </c>
      <c r="Z122" t="s">
        <v>231</v>
      </c>
      <c r="AA122" t="s">
        <v>232</v>
      </c>
      <c r="AB122">
        <v>70</v>
      </c>
      <c r="AC122" t="s">
        <v>246</v>
      </c>
      <c r="AD122">
        <f>VLOOKUP(Tabel3[[#This Row],[Tværsnit]],'Lister og genveje'!$AQ$10:$AS$25,2,0)</f>
        <v>0.26900000000000002</v>
      </c>
      <c r="AE122">
        <f>Tabel3[[#This Row],[R]]</f>
        <v>0.26900000000000002</v>
      </c>
    </row>
    <row r="123" spans="12:36">
      <c r="L123" t="str">
        <f t="shared" si="2"/>
        <v>IEC 947-2</v>
      </c>
      <c r="M123" t="str">
        <f>'Lister og genveje'!$D$39</f>
        <v>C60N</v>
      </c>
      <c r="N123">
        <v>1</v>
      </c>
      <c r="O123" t="s">
        <v>155</v>
      </c>
      <c r="P123" t="str">
        <f>'Lister og genveje'!$F$38</f>
        <v>1 Pol</v>
      </c>
      <c r="Q123">
        <f>INDEX('Lister og genveje'!$E$39:$I$46,MATCH(M123,'Lister og genveje'!$D$39:$D$46,0),MATCH(P123,'Lister og genveje'!$E$38:$I$38,0),1)</f>
        <v>3</v>
      </c>
      <c r="R123">
        <f>HLOOKUP(O123,'Lister og genveje'!$E$50:$G$52,2,0)</f>
        <v>7</v>
      </c>
      <c r="S123">
        <f>HLOOKUP(O123,'Lister og genveje'!$E$50:$G$52,3,0)</f>
        <v>10</v>
      </c>
      <c r="T123">
        <f>VLOOKUP(M123,'Lister og genveje'!$D$39:$J$46,7,0)</f>
        <v>0.75</v>
      </c>
      <c r="Z123" t="s">
        <v>231</v>
      </c>
      <c r="AA123" t="s">
        <v>232</v>
      </c>
      <c r="AB123">
        <v>95</v>
      </c>
      <c r="AC123" t="s">
        <v>246</v>
      </c>
      <c r="AD123">
        <f>VLOOKUP(Tabel3[[#This Row],[Tværsnit]],'Lister og genveje'!$AQ$10:$AS$25,2,0)</f>
        <v>0.19400000000000001</v>
      </c>
      <c r="AE123">
        <f>Tabel3[[#This Row],[R]]</f>
        <v>0.19400000000000001</v>
      </c>
    </row>
    <row r="124" spans="12:36">
      <c r="L124" t="str">
        <f t="shared" si="2"/>
        <v>IEC 947-2</v>
      </c>
      <c r="M124" t="str">
        <f>'Lister og genveje'!$D$39</f>
        <v>C60N</v>
      </c>
      <c r="N124">
        <v>2</v>
      </c>
      <c r="O124" t="s">
        <v>155</v>
      </c>
      <c r="P124" t="str">
        <f>'Lister og genveje'!$F$38</f>
        <v>1 Pol</v>
      </c>
      <c r="Q124">
        <f>INDEX('Lister og genveje'!$E$39:$I$46,MATCH(M124,'Lister og genveje'!$D$39:$D$46,0),MATCH(P124,'Lister og genveje'!$E$38:$I$38,0),1)</f>
        <v>3</v>
      </c>
      <c r="R124">
        <f>HLOOKUP(O124,'Lister og genveje'!$E$50:$G$52,2,0)</f>
        <v>7</v>
      </c>
      <c r="S124">
        <f>HLOOKUP(O124,'Lister og genveje'!$E$50:$G$52,3,0)</f>
        <v>10</v>
      </c>
      <c r="T124">
        <f>VLOOKUP(M124,'Lister og genveje'!$D$39:$J$46,7,0)</f>
        <v>0.75</v>
      </c>
      <c r="Z124" t="s">
        <v>231</v>
      </c>
      <c r="AA124" t="s">
        <v>232</v>
      </c>
      <c r="AB124">
        <v>120</v>
      </c>
      <c r="AC124" t="s">
        <v>246</v>
      </c>
      <c r="AD124">
        <f>VLOOKUP(Tabel3[[#This Row],[Tværsnit]],'Lister og genveje'!$AQ$10:$AS$25,2,0)</f>
        <v>0.155</v>
      </c>
      <c r="AE124">
        <f>Tabel3[[#This Row],[R]]</f>
        <v>0.155</v>
      </c>
    </row>
    <row r="125" spans="12:36">
      <c r="L125" t="str">
        <f t="shared" si="2"/>
        <v>IEC 947-2</v>
      </c>
      <c r="M125" t="str">
        <f>'Lister og genveje'!$D$39</f>
        <v>C60N</v>
      </c>
      <c r="N125">
        <v>3</v>
      </c>
      <c r="O125" t="s">
        <v>155</v>
      </c>
      <c r="P125" t="str">
        <f>'Lister og genveje'!$F$38</f>
        <v>1 Pol</v>
      </c>
      <c r="Q125">
        <f>INDEX('Lister og genveje'!$E$39:$I$46,MATCH(M125,'Lister og genveje'!$D$39:$D$46,0),MATCH(P125,'Lister og genveje'!$E$38:$I$38,0),1)</f>
        <v>3</v>
      </c>
      <c r="R125">
        <f>HLOOKUP(O125,'Lister og genveje'!$E$50:$G$52,2,0)</f>
        <v>7</v>
      </c>
      <c r="S125">
        <f>HLOOKUP(O125,'Lister og genveje'!$E$50:$G$52,3,0)</f>
        <v>10</v>
      </c>
      <c r="T125">
        <f>VLOOKUP(M125,'Lister og genveje'!$D$39:$J$46,7,0)</f>
        <v>0.75</v>
      </c>
      <c r="Z125" t="s">
        <v>231</v>
      </c>
      <c r="AA125" t="s">
        <v>232</v>
      </c>
      <c r="AB125">
        <v>150</v>
      </c>
      <c r="AC125" t="s">
        <v>246</v>
      </c>
      <c r="AD125">
        <f>VLOOKUP(Tabel3[[#This Row],[Tværsnit]],'Lister og genveje'!$AQ$10:$AS$25,2,0)</f>
        <v>0.126</v>
      </c>
      <c r="AE125">
        <f>Tabel3[[#This Row],[R]]</f>
        <v>0.126</v>
      </c>
    </row>
    <row r="126" spans="12:36">
      <c r="L126" t="str">
        <f t="shared" si="2"/>
        <v>IEC 947-2</v>
      </c>
      <c r="M126" t="str">
        <f>'Lister og genveje'!$D$39</f>
        <v>C60N</v>
      </c>
      <c r="N126">
        <v>4</v>
      </c>
      <c r="O126" t="s">
        <v>155</v>
      </c>
      <c r="P126" t="str">
        <f>'Lister og genveje'!$F$38</f>
        <v>1 Pol</v>
      </c>
      <c r="Q126">
        <f>INDEX('Lister og genveje'!$E$39:$I$46,MATCH(M126,'Lister og genveje'!$D$39:$D$46,0),MATCH(P126,'Lister og genveje'!$E$38:$I$38,0),1)</f>
        <v>3</v>
      </c>
      <c r="R126">
        <f>HLOOKUP(O126,'Lister og genveje'!$E$50:$G$52,2,0)</f>
        <v>7</v>
      </c>
      <c r="S126">
        <f>HLOOKUP(O126,'Lister og genveje'!$E$50:$G$52,3,0)</f>
        <v>10</v>
      </c>
      <c r="T126">
        <f>VLOOKUP(M126,'Lister og genveje'!$D$39:$J$46,7,0)</f>
        <v>0.75</v>
      </c>
      <c r="Z126" t="s">
        <v>231</v>
      </c>
      <c r="AA126" t="s">
        <v>232</v>
      </c>
      <c r="AB126">
        <v>240</v>
      </c>
      <c r="AC126" t="s">
        <v>246</v>
      </c>
      <c r="AD126">
        <f>VLOOKUP(Tabel3[[#This Row],[Tværsnit]],'Lister og genveje'!$AQ$10:$AS$25,2,0)</f>
        <v>7.8700000000000006E-2</v>
      </c>
      <c r="AE126">
        <f>Tabel3[[#This Row],[R]]</f>
        <v>7.8700000000000006E-2</v>
      </c>
    </row>
    <row r="127" spans="12:36">
      <c r="L127" t="str">
        <f t="shared" si="2"/>
        <v>IEC 947-2</v>
      </c>
      <c r="M127" t="str">
        <f>'Lister og genveje'!$D$39</f>
        <v>C60N</v>
      </c>
      <c r="N127">
        <v>6</v>
      </c>
      <c r="O127" t="s">
        <v>155</v>
      </c>
      <c r="P127" t="str">
        <f>'Lister og genveje'!$F$38</f>
        <v>1 Pol</v>
      </c>
      <c r="Q127">
        <f>INDEX('Lister og genveje'!$E$39:$I$46,MATCH(M127,'Lister og genveje'!$D$39:$D$46,0),MATCH(P127,'Lister og genveje'!$E$38:$I$38,0),1)</f>
        <v>3</v>
      </c>
      <c r="R127">
        <f>HLOOKUP(O127,'Lister og genveje'!$E$50:$G$52,2,0)</f>
        <v>7</v>
      </c>
      <c r="S127">
        <f>HLOOKUP(O127,'Lister og genveje'!$E$50:$G$52,3,0)</f>
        <v>10</v>
      </c>
      <c r="T127">
        <f>VLOOKUP(M127,'Lister og genveje'!$D$39:$J$46,7,0)</f>
        <v>0.75</v>
      </c>
    </row>
    <row r="128" spans="12:36">
      <c r="L128" t="str">
        <f t="shared" si="2"/>
        <v>IEC 947-2</v>
      </c>
      <c r="M128" t="str">
        <f>'Lister og genveje'!$D$39</f>
        <v>C60N</v>
      </c>
      <c r="N128">
        <v>10</v>
      </c>
      <c r="O128" t="s">
        <v>155</v>
      </c>
      <c r="P128" t="str">
        <f>'Lister og genveje'!$F$38</f>
        <v>1 Pol</v>
      </c>
      <c r="Q128">
        <f>INDEX('Lister og genveje'!$E$39:$I$46,MATCH(M128,'Lister og genveje'!$D$39:$D$46,0),MATCH(P128,'Lister og genveje'!$E$38:$I$38,0),1)</f>
        <v>3</v>
      </c>
      <c r="R128">
        <f>HLOOKUP(O128,'Lister og genveje'!$E$50:$G$52,2,0)</f>
        <v>7</v>
      </c>
      <c r="S128">
        <f>HLOOKUP(O128,'Lister og genveje'!$E$50:$G$52,3,0)</f>
        <v>10</v>
      </c>
      <c r="T128">
        <f>VLOOKUP(M128,'Lister og genveje'!$D$39:$J$46,7,0)</f>
        <v>0.75</v>
      </c>
    </row>
    <row r="129" spans="12:20">
      <c r="L129" t="str">
        <f t="shared" si="2"/>
        <v>IEC 947-2</v>
      </c>
      <c r="M129" t="str">
        <f>'Lister og genveje'!$D$39</f>
        <v>C60N</v>
      </c>
      <c r="N129">
        <v>13</v>
      </c>
      <c r="O129" t="s">
        <v>155</v>
      </c>
      <c r="P129" t="str">
        <f>'Lister og genveje'!$F$38</f>
        <v>1 Pol</v>
      </c>
      <c r="Q129">
        <f>INDEX('Lister og genveje'!$E$39:$I$46,MATCH(M129,'Lister og genveje'!$D$39:$D$46,0),MATCH(P129,'Lister og genveje'!$E$38:$I$38,0),1)</f>
        <v>3</v>
      </c>
      <c r="R129">
        <f>HLOOKUP(O129,'Lister og genveje'!$E$50:$G$52,2,0)</f>
        <v>7</v>
      </c>
      <c r="S129">
        <f>HLOOKUP(O129,'Lister og genveje'!$E$50:$G$52,3,0)</f>
        <v>10</v>
      </c>
      <c r="T129">
        <f>VLOOKUP(M129,'Lister og genveje'!$D$39:$J$46,7,0)</f>
        <v>0.75</v>
      </c>
    </row>
    <row r="130" spans="12:20">
      <c r="L130" t="str">
        <f t="shared" si="2"/>
        <v>IEC 947-2</v>
      </c>
      <c r="M130" t="str">
        <f>'Lister og genveje'!$D$39</f>
        <v>C60N</v>
      </c>
      <c r="N130">
        <v>16</v>
      </c>
      <c r="O130" t="s">
        <v>155</v>
      </c>
      <c r="P130" t="str">
        <f>'Lister og genveje'!$F$38</f>
        <v>1 Pol</v>
      </c>
      <c r="Q130">
        <f>INDEX('Lister og genveje'!$E$39:$I$46,MATCH(M130,'Lister og genveje'!$D$39:$D$46,0),MATCH(P130,'Lister og genveje'!$E$38:$I$38,0),1)</f>
        <v>3</v>
      </c>
      <c r="R130">
        <f>HLOOKUP(O130,'Lister og genveje'!$E$50:$G$52,2,0)</f>
        <v>7</v>
      </c>
      <c r="S130">
        <f>HLOOKUP(O130,'Lister og genveje'!$E$50:$G$52,3,0)</f>
        <v>10</v>
      </c>
      <c r="T130">
        <f>VLOOKUP(M130,'Lister og genveje'!$D$39:$J$46,7,0)</f>
        <v>0.75</v>
      </c>
    </row>
    <row r="131" spans="12:20">
      <c r="L131" t="str">
        <f t="shared" si="2"/>
        <v>IEC 947-2</v>
      </c>
      <c r="M131" t="str">
        <f>'Lister og genveje'!$D$39</f>
        <v>C60N</v>
      </c>
      <c r="N131">
        <v>20</v>
      </c>
      <c r="O131" t="s">
        <v>155</v>
      </c>
      <c r="P131" t="str">
        <f>'Lister og genveje'!$F$38</f>
        <v>1 Pol</v>
      </c>
      <c r="Q131">
        <f>INDEX('Lister og genveje'!$E$39:$I$46,MATCH(M131,'Lister og genveje'!$D$39:$D$46,0),MATCH(P131,'Lister og genveje'!$E$38:$I$38,0),1)</f>
        <v>3</v>
      </c>
      <c r="R131">
        <f>HLOOKUP(O131,'Lister og genveje'!$E$50:$G$52,2,0)</f>
        <v>7</v>
      </c>
      <c r="S131">
        <f>HLOOKUP(O131,'Lister og genveje'!$E$50:$G$52,3,0)</f>
        <v>10</v>
      </c>
      <c r="T131">
        <f>VLOOKUP(M131,'Lister og genveje'!$D$39:$J$46,7,0)</f>
        <v>0.75</v>
      </c>
    </row>
    <row r="132" spans="12:20">
      <c r="L132" t="str">
        <f t="shared" si="2"/>
        <v>IEC 947-2</v>
      </c>
      <c r="M132" t="str">
        <f>'Lister og genveje'!$D$39</f>
        <v>C60N</v>
      </c>
      <c r="N132">
        <v>25</v>
      </c>
      <c r="O132" t="s">
        <v>155</v>
      </c>
      <c r="P132" t="str">
        <f>'Lister og genveje'!$F$38</f>
        <v>1 Pol</v>
      </c>
      <c r="Q132">
        <f>INDEX('Lister og genveje'!$E$39:$I$46,MATCH(M132,'Lister og genveje'!$D$39:$D$46,0),MATCH(P132,'Lister og genveje'!$E$38:$I$38,0),1)</f>
        <v>3</v>
      </c>
      <c r="R132">
        <f>HLOOKUP(O132,'Lister og genveje'!$E$50:$G$52,2,0)</f>
        <v>7</v>
      </c>
      <c r="S132">
        <f>HLOOKUP(O132,'Lister og genveje'!$E$50:$G$52,3,0)</f>
        <v>10</v>
      </c>
      <c r="T132">
        <f>VLOOKUP(M132,'Lister og genveje'!$D$39:$J$46,7,0)</f>
        <v>0.75</v>
      </c>
    </row>
    <row r="133" spans="12:20">
      <c r="L133" t="str">
        <f t="shared" si="2"/>
        <v>IEC 947-2</v>
      </c>
      <c r="M133" t="str">
        <f>'Lister og genveje'!$D$39</f>
        <v>C60N</v>
      </c>
      <c r="N133">
        <v>32</v>
      </c>
      <c r="O133" t="s">
        <v>155</v>
      </c>
      <c r="P133" t="str">
        <f>'Lister og genveje'!$F$38</f>
        <v>1 Pol</v>
      </c>
      <c r="Q133">
        <f>INDEX('Lister og genveje'!$E$39:$I$46,MATCH(M133,'Lister og genveje'!$D$39:$D$46,0),MATCH(P133,'Lister og genveje'!$E$38:$I$38,0),1)</f>
        <v>3</v>
      </c>
      <c r="R133">
        <f>HLOOKUP(O133,'Lister og genveje'!$E$50:$G$52,2,0)</f>
        <v>7</v>
      </c>
      <c r="S133">
        <f>HLOOKUP(O133,'Lister og genveje'!$E$50:$G$52,3,0)</f>
        <v>10</v>
      </c>
      <c r="T133">
        <f>VLOOKUP(M133,'Lister og genveje'!$D$39:$J$46,7,0)</f>
        <v>0.75</v>
      </c>
    </row>
    <row r="134" spans="12:20">
      <c r="L134" t="str">
        <f t="shared" si="2"/>
        <v>IEC 947-2</v>
      </c>
      <c r="M134" t="str">
        <f>'Lister og genveje'!$D$39</f>
        <v>C60N</v>
      </c>
      <c r="N134">
        <v>40</v>
      </c>
      <c r="O134" t="s">
        <v>155</v>
      </c>
      <c r="P134" t="str">
        <f>'Lister og genveje'!$F$38</f>
        <v>1 Pol</v>
      </c>
      <c r="Q134">
        <f>INDEX('Lister og genveje'!$E$39:$I$46,MATCH(M134,'Lister og genveje'!$D$39:$D$46,0),MATCH(P134,'Lister og genveje'!$E$38:$I$38,0),1)</f>
        <v>3</v>
      </c>
      <c r="R134">
        <f>HLOOKUP(O134,'Lister og genveje'!$E$50:$G$52,2,0)</f>
        <v>7</v>
      </c>
      <c r="S134">
        <f>HLOOKUP(O134,'Lister og genveje'!$E$50:$G$52,3,0)</f>
        <v>10</v>
      </c>
      <c r="T134">
        <f>VLOOKUP(M134,'Lister og genveje'!$D$39:$J$46,7,0)</f>
        <v>0.75</v>
      </c>
    </row>
    <row r="135" spans="12:20">
      <c r="L135" t="str">
        <f t="shared" si="2"/>
        <v>IEC 947-2</v>
      </c>
      <c r="M135" t="str">
        <f>'Lister og genveje'!$D$39</f>
        <v>C60N</v>
      </c>
      <c r="N135">
        <v>50</v>
      </c>
      <c r="O135" t="s">
        <v>155</v>
      </c>
      <c r="P135" t="str">
        <f>'Lister og genveje'!$F$38</f>
        <v>1 Pol</v>
      </c>
      <c r="Q135">
        <f>INDEX('Lister og genveje'!$E$39:$I$46,MATCH(M135,'Lister og genveje'!$D$39:$D$46,0),MATCH(P135,'Lister og genveje'!$E$38:$I$38,0),1)</f>
        <v>3</v>
      </c>
      <c r="R135">
        <f>HLOOKUP(O135,'Lister og genveje'!$E$50:$G$52,2,0)</f>
        <v>7</v>
      </c>
      <c r="S135">
        <f>HLOOKUP(O135,'Lister og genveje'!$E$50:$G$52,3,0)</f>
        <v>10</v>
      </c>
      <c r="T135">
        <f>VLOOKUP(M135,'Lister og genveje'!$D$39:$J$46,7,0)</f>
        <v>0.75</v>
      </c>
    </row>
    <row r="136" spans="12:20">
      <c r="L136" t="str">
        <f t="shared" si="2"/>
        <v>IEC 947-2</v>
      </c>
      <c r="M136" t="str">
        <f>'Lister og genveje'!$D$39</f>
        <v>C60N</v>
      </c>
      <c r="N136">
        <v>63</v>
      </c>
      <c r="O136" t="s">
        <v>155</v>
      </c>
      <c r="P136" t="str">
        <f>'Lister og genveje'!$F$38</f>
        <v>1 Pol</v>
      </c>
      <c r="Q136">
        <f>INDEX('Lister og genveje'!$E$39:$I$46,MATCH(M136,'Lister og genveje'!$D$39:$D$46,0),MATCH(P136,'Lister og genveje'!$E$38:$I$38,0),1)</f>
        <v>3</v>
      </c>
      <c r="R136">
        <f>HLOOKUP(O136,'Lister og genveje'!$E$50:$G$52,2,0)</f>
        <v>7</v>
      </c>
      <c r="S136">
        <f>HLOOKUP(O136,'Lister og genveje'!$E$50:$G$52,3,0)</f>
        <v>10</v>
      </c>
      <c r="T136">
        <f>VLOOKUP(M136,'Lister og genveje'!$D$39:$J$46,7,0)</f>
        <v>0.75</v>
      </c>
    </row>
    <row r="137" spans="12:20">
      <c r="L137" t="str">
        <f t="shared" si="2"/>
        <v>IEC 947-2</v>
      </c>
      <c r="M137" t="str">
        <f>'Lister og genveje'!$D$39</f>
        <v>C60N</v>
      </c>
      <c r="N137">
        <v>1</v>
      </c>
      <c r="O137" t="s">
        <v>155</v>
      </c>
      <c r="P137" t="str">
        <f>'Lister og genveje'!$G$38</f>
        <v>Flere poler</v>
      </c>
      <c r="Q137">
        <f>INDEX('Lister og genveje'!$E$39:$I$46,MATCH(M137,'Lister og genveje'!$D$39:$D$46,0),MATCH(P137,'Lister og genveje'!$E$38:$I$38,0),1)</f>
        <v>10</v>
      </c>
      <c r="R137">
        <f>HLOOKUP(O137,'Lister og genveje'!$E$50:$G$52,2,0)</f>
        <v>7</v>
      </c>
      <c r="S137">
        <f>HLOOKUP(O137,'Lister og genveje'!$E$50:$G$52,3,0)</f>
        <v>10</v>
      </c>
      <c r="T137">
        <f>VLOOKUP(M137,'Lister og genveje'!$D$39:$J$46,7,0)</f>
        <v>0.75</v>
      </c>
    </row>
    <row r="138" spans="12:20">
      <c r="L138" t="str">
        <f t="shared" si="2"/>
        <v>IEC 947-2</v>
      </c>
      <c r="M138" t="str">
        <f>'Lister og genveje'!$D$39</f>
        <v>C60N</v>
      </c>
      <c r="N138">
        <v>2</v>
      </c>
      <c r="O138" t="s">
        <v>155</v>
      </c>
      <c r="P138" t="str">
        <f>'Lister og genveje'!$G$38</f>
        <v>Flere poler</v>
      </c>
      <c r="Q138">
        <f>INDEX('Lister og genveje'!$E$39:$I$46,MATCH(M138,'Lister og genveje'!$D$39:$D$46,0),MATCH(P138,'Lister og genveje'!$E$38:$I$38,0),1)</f>
        <v>10</v>
      </c>
      <c r="R138">
        <f>HLOOKUP(O138,'Lister og genveje'!$E$50:$G$52,2,0)</f>
        <v>7</v>
      </c>
      <c r="S138">
        <f>HLOOKUP(O138,'Lister og genveje'!$E$50:$G$52,3,0)</f>
        <v>10</v>
      </c>
      <c r="T138">
        <f>VLOOKUP(M138,'Lister og genveje'!$D$39:$J$46,7,0)</f>
        <v>0.75</v>
      </c>
    </row>
    <row r="139" spans="12:20">
      <c r="L139" t="str">
        <f t="shared" si="2"/>
        <v>IEC 947-2</v>
      </c>
      <c r="M139" t="str">
        <f>'Lister og genveje'!$D$39</f>
        <v>C60N</v>
      </c>
      <c r="N139">
        <v>3</v>
      </c>
      <c r="O139" t="s">
        <v>155</v>
      </c>
      <c r="P139" t="str">
        <f>'Lister og genveje'!$G$38</f>
        <v>Flere poler</v>
      </c>
      <c r="Q139">
        <f>INDEX('Lister og genveje'!$E$39:$I$46,MATCH(M139,'Lister og genveje'!$D$39:$D$46,0),MATCH(P139,'Lister og genveje'!$E$38:$I$38,0),1)</f>
        <v>10</v>
      </c>
      <c r="R139">
        <f>HLOOKUP(O139,'Lister og genveje'!$E$50:$G$52,2,0)</f>
        <v>7</v>
      </c>
      <c r="S139">
        <f>HLOOKUP(O139,'Lister og genveje'!$E$50:$G$52,3,0)</f>
        <v>10</v>
      </c>
      <c r="T139">
        <f>VLOOKUP(M139,'Lister og genveje'!$D$39:$J$46,7,0)</f>
        <v>0.75</v>
      </c>
    </row>
    <row r="140" spans="12:20">
      <c r="L140" t="str">
        <f t="shared" si="2"/>
        <v>IEC 947-2</v>
      </c>
      <c r="M140" t="str">
        <f>'Lister og genveje'!$D$39</f>
        <v>C60N</v>
      </c>
      <c r="N140">
        <v>4</v>
      </c>
      <c r="O140" t="s">
        <v>155</v>
      </c>
      <c r="P140" t="str">
        <f>'Lister og genveje'!$G$38</f>
        <v>Flere poler</v>
      </c>
      <c r="Q140">
        <f>INDEX('Lister og genveje'!$E$39:$I$46,MATCH(M140,'Lister og genveje'!$D$39:$D$46,0),MATCH(P140,'Lister og genveje'!$E$38:$I$38,0),1)</f>
        <v>10</v>
      </c>
      <c r="R140">
        <f>HLOOKUP(O140,'Lister og genveje'!$E$50:$G$52,2,0)</f>
        <v>7</v>
      </c>
      <c r="S140">
        <f>HLOOKUP(O140,'Lister og genveje'!$E$50:$G$52,3,0)</f>
        <v>10</v>
      </c>
      <c r="T140">
        <f>VLOOKUP(M140,'Lister og genveje'!$D$39:$J$46,7,0)</f>
        <v>0.75</v>
      </c>
    </row>
    <row r="141" spans="12:20">
      <c r="L141" t="str">
        <f t="shared" si="2"/>
        <v>IEC 947-2</v>
      </c>
      <c r="M141" t="str">
        <f>'Lister og genveje'!$D$39</f>
        <v>C60N</v>
      </c>
      <c r="N141">
        <v>6</v>
      </c>
      <c r="O141" t="s">
        <v>155</v>
      </c>
      <c r="P141" t="str">
        <f>'Lister og genveje'!$G$38</f>
        <v>Flere poler</v>
      </c>
      <c r="Q141">
        <f>INDEX('Lister og genveje'!$E$39:$I$46,MATCH(M141,'Lister og genveje'!$D$39:$D$46,0),MATCH(P141,'Lister og genveje'!$E$38:$I$38,0),1)</f>
        <v>10</v>
      </c>
      <c r="R141">
        <f>HLOOKUP(O141,'Lister og genveje'!$E$50:$G$52,2,0)</f>
        <v>7</v>
      </c>
      <c r="S141">
        <f>HLOOKUP(O141,'Lister og genveje'!$E$50:$G$52,3,0)</f>
        <v>10</v>
      </c>
      <c r="T141">
        <f>VLOOKUP(M141,'Lister og genveje'!$D$39:$J$46,7,0)</f>
        <v>0.75</v>
      </c>
    </row>
    <row r="142" spans="12:20">
      <c r="L142" t="str">
        <f t="shared" si="2"/>
        <v>IEC 947-2</v>
      </c>
      <c r="M142" t="str">
        <f>'Lister og genveje'!$D$39</f>
        <v>C60N</v>
      </c>
      <c r="N142">
        <v>10</v>
      </c>
      <c r="O142" t="s">
        <v>155</v>
      </c>
      <c r="P142" t="str">
        <f>'Lister og genveje'!$G$38</f>
        <v>Flere poler</v>
      </c>
      <c r="Q142">
        <f>INDEX('Lister og genveje'!$E$39:$I$46,MATCH(M142,'Lister og genveje'!$D$39:$D$46,0),MATCH(P142,'Lister og genveje'!$E$38:$I$38,0),1)</f>
        <v>10</v>
      </c>
      <c r="R142">
        <f>HLOOKUP(O142,'Lister og genveje'!$E$50:$G$52,2,0)</f>
        <v>7</v>
      </c>
      <c r="S142">
        <f>HLOOKUP(O142,'Lister og genveje'!$E$50:$G$52,3,0)</f>
        <v>10</v>
      </c>
      <c r="T142">
        <f>VLOOKUP(M142,'Lister og genveje'!$D$39:$J$46,7,0)</f>
        <v>0.75</v>
      </c>
    </row>
    <row r="143" spans="12:20">
      <c r="L143" t="str">
        <f t="shared" si="2"/>
        <v>IEC 947-2</v>
      </c>
      <c r="M143" t="str">
        <f>'Lister og genveje'!$D$39</f>
        <v>C60N</v>
      </c>
      <c r="N143">
        <v>13</v>
      </c>
      <c r="O143" t="s">
        <v>155</v>
      </c>
      <c r="P143" t="str">
        <f>'Lister og genveje'!$G$38</f>
        <v>Flere poler</v>
      </c>
      <c r="Q143">
        <f>INDEX('Lister og genveje'!$E$39:$I$46,MATCH(M143,'Lister og genveje'!$D$39:$D$46,0),MATCH(P143,'Lister og genveje'!$E$38:$I$38,0),1)</f>
        <v>10</v>
      </c>
      <c r="R143">
        <f>HLOOKUP(O143,'Lister og genveje'!$E$50:$G$52,2,0)</f>
        <v>7</v>
      </c>
      <c r="S143">
        <f>HLOOKUP(O143,'Lister og genveje'!$E$50:$G$52,3,0)</f>
        <v>10</v>
      </c>
      <c r="T143">
        <f>VLOOKUP(M143,'Lister og genveje'!$D$39:$J$46,7,0)</f>
        <v>0.75</v>
      </c>
    </row>
    <row r="144" spans="12:20">
      <c r="L144" t="str">
        <f t="shared" si="2"/>
        <v>IEC 947-2</v>
      </c>
      <c r="M144" t="str">
        <f>'Lister og genveje'!$D$39</f>
        <v>C60N</v>
      </c>
      <c r="N144">
        <v>16</v>
      </c>
      <c r="O144" t="s">
        <v>155</v>
      </c>
      <c r="P144" t="str">
        <f>'Lister og genveje'!$G$38</f>
        <v>Flere poler</v>
      </c>
      <c r="Q144">
        <f>INDEX('Lister og genveje'!$E$39:$I$46,MATCH(M144,'Lister og genveje'!$D$39:$D$46,0),MATCH(P144,'Lister og genveje'!$E$38:$I$38,0),1)</f>
        <v>10</v>
      </c>
      <c r="R144">
        <f>HLOOKUP(O144,'Lister og genveje'!$E$50:$G$52,2,0)</f>
        <v>7</v>
      </c>
      <c r="S144">
        <f>HLOOKUP(O144,'Lister og genveje'!$E$50:$G$52,3,0)</f>
        <v>10</v>
      </c>
      <c r="T144">
        <f>VLOOKUP(M144,'Lister og genveje'!$D$39:$J$46,7,0)</f>
        <v>0.75</v>
      </c>
    </row>
    <row r="145" spans="12:30">
      <c r="L145" t="str">
        <f t="shared" si="2"/>
        <v>IEC 947-2</v>
      </c>
      <c r="M145" t="str">
        <f>'Lister og genveje'!$D$39</f>
        <v>C60N</v>
      </c>
      <c r="N145">
        <v>20</v>
      </c>
      <c r="O145" t="s">
        <v>155</v>
      </c>
      <c r="P145" t="str">
        <f>'Lister og genveje'!$G$38</f>
        <v>Flere poler</v>
      </c>
      <c r="Q145">
        <f>INDEX('Lister og genveje'!$E$39:$I$46,MATCH(M145,'Lister og genveje'!$D$39:$D$46,0),MATCH(P145,'Lister og genveje'!$E$38:$I$38,0),1)</f>
        <v>10</v>
      </c>
      <c r="R145">
        <f>HLOOKUP(O145,'Lister og genveje'!$E$50:$G$52,2,0)</f>
        <v>7</v>
      </c>
      <c r="S145">
        <f>HLOOKUP(O145,'Lister og genveje'!$E$50:$G$52,3,0)</f>
        <v>10</v>
      </c>
      <c r="T145">
        <f>VLOOKUP(M145,'Lister og genveje'!$D$39:$J$46,7,0)</f>
        <v>0.75</v>
      </c>
    </row>
    <row r="146" spans="12:30">
      <c r="L146" t="str">
        <f t="shared" si="2"/>
        <v>IEC 947-2</v>
      </c>
      <c r="M146" t="str">
        <f>'Lister og genveje'!$D$39</f>
        <v>C60N</v>
      </c>
      <c r="N146">
        <v>25</v>
      </c>
      <c r="O146" t="s">
        <v>155</v>
      </c>
      <c r="P146" t="str">
        <f>'Lister og genveje'!$G$38</f>
        <v>Flere poler</v>
      </c>
      <c r="Q146">
        <f>INDEX('Lister og genveje'!$E$39:$I$46,MATCH(M146,'Lister og genveje'!$D$39:$D$46,0),MATCH(P146,'Lister og genveje'!$E$38:$I$38,0),1)</f>
        <v>10</v>
      </c>
      <c r="R146">
        <f>HLOOKUP(O146,'Lister og genveje'!$E$50:$G$52,2,0)</f>
        <v>7</v>
      </c>
      <c r="S146">
        <f>HLOOKUP(O146,'Lister og genveje'!$E$50:$G$52,3,0)</f>
        <v>10</v>
      </c>
      <c r="T146">
        <f>VLOOKUP(M146,'Lister og genveje'!$D$39:$J$46,7,0)</f>
        <v>0.75</v>
      </c>
    </row>
    <row r="147" spans="12:30">
      <c r="L147" t="str">
        <f t="shared" si="2"/>
        <v>IEC 947-2</v>
      </c>
      <c r="M147" t="str">
        <f>'Lister og genveje'!$D$39</f>
        <v>C60N</v>
      </c>
      <c r="N147">
        <v>32</v>
      </c>
      <c r="O147" t="s">
        <v>155</v>
      </c>
      <c r="P147" t="str">
        <f>'Lister og genveje'!$G$38</f>
        <v>Flere poler</v>
      </c>
      <c r="Q147">
        <f>INDEX('Lister og genveje'!$E$39:$I$46,MATCH(M147,'Lister og genveje'!$D$39:$D$46,0),MATCH(P147,'Lister og genveje'!$E$38:$I$38,0),1)</f>
        <v>10</v>
      </c>
      <c r="R147">
        <f>HLOOKUP(O147,'Lister og genveje'!$E$50:$G$52,2,0)</f>
        <v>7</v>
      </c>
      <c r="S147">
        <f>HLOOKUP(O147,'Lister og genveje'!$E$50:$G$52,3,0)</f>
        <v>10</v>
      </c>
      <c r="T147">
        <f>VLOOKUP(M147,'Lister og genveje'!$D$39:$J$46,7,0)</f>
        <v>0.75</v>
      </c>
    </row>
    <row r="148" spans="12:30">
      <c r="L148" t="str">
        <f t="shared" si="2"/>
        <v>IEC 947-2</v>
      </c>
      <c r="M148" t="str">
        <f>'Lister og genveje'!$D$39</f>
        <v>C60N</v>
      </c>
      <c r="N148">
        <v>40</v>
      </c>
      <c r="O148" t="s">
        <v>155</v>
      </c>
      <c r="P148" t="str">
        <f>'Lister og genveje'!$G$38</f>
        <v>Flere poler</v>
      </c>
      <c r="Q148">
        <f>INDEX('Lister og genveje'!$E$39:$I$46,MATCH(M148,'Lister og genveje'!$D$39:$D$46,0),MATCH(P148,'Lister og genveje'!$E$38:$I$38,0),1)</f>
        <v>10</v>
      </c>
      <c r="R148">
        <f>HLOOKUP(O148,'Lister og genveje'!$E$50:$G$52,2,0)</f>
        <v>7</v>
      </c>
      <c r="S148">
        <f>HLOOKUP(O148,'Lister og genveje'!$E$50:$G$52,3,0)</f>
        <v>10</v>
      </c>
      <c r="T148">
        <f>VLOOKUP(M148,'Lister og genveje'!$D$39:$J$46,7,0)</f>
        <v>0.75</v>
      </c>
    </row>
    <row r="149" spans="12:30">
      <c r="L149" t="str">
        <f t="shared" si="2"/>
        <v>IEC 947-2</v>
      </c>
      <c r="M149" t="str">
        <f>'Lister og genveje'!$D$39</f>
        <v>C60N</v>
      </c>
      <c r="N149">
        <v>50</v>
      </c>
      <c r="O149" t="s">
        <v>155</v>
      </c>
      <c r="P149" t="str">
        <f>'Lister og genveje'!$G$38</f>
        <v>Flere poler</v>
      </c>
      <c r="Q149">
        <f>INDEX('Lister og genveje'!$E$39:$I$46,MATCH(M149,'Lister og genveje'!$D$39:$D$46,0),MATCH(P149,'Lister og genveje'!$E$38:$I$38,0),1)</f>
        <v>10</v>
      </c>
      <c r="R149">
        <f>HLOOKUP(O149,'Lister og genveje'!$E$50:$G$52,2,0)</f>
        <v>7</v>
      </c>
      <c r="S149">
        <f>HLOOKUP(O149,'Lister og genveje'!$E$50:$G$52,3,0)</f>
        <v>10</v>
      </c>
      <c r="T149">
        <f>VLOOKUP(M149,'Lister og genveje'!$D$39:$J$46,7,0)</f>
        <v>0.75</v>
      </c>
    </row>
    <row r="150" spans="12:30">
      <c r="L150" t="str">
        <f t="shared" si="2"/>
        <v>IEC 947-2</v>
      </c>
      <c r="M150" t="str">
        <f>'Lister og genveje'!$D$39</f>
        <v>C60N</v>
      </c>
      <c r="N150">
        <v>63</v>
      </c>
      <c r="O150" t="s">
        <v>155</v>
      </c>
      <c r="P150" t="str">
        <f>'Lister og genveje'!$G$38</f>
        <v>Flere poler</v>
      </c>
      <c r="Q150">
        <f>INDEX('Lister og genveje'!$E$39:$I$46,MATCH(M150,'Lister og genveje'!$D$39:$D$46,0),MATCH(P150,'Lister og genveje'!$E$38:$I$38,0),1)</f>
        <v>10</v>
      </c>
      <c r="R150">
        <f>HLOOKUP(O150,'Lister og genveje'!$E$50:$G$52,2,0)</f>
        <v>7</v>
      </c>
      <c r="S150">
        <f>HLOOKUP(O150,'Lister og genveje'!$E$50:$G$52,3,0)</f>
        <v>10</v>
      </c>
      <c r="T150">
        <f>VLOOKUP(M150,'Lister og genveje'!$D$39:$J$46,7,0)</f>
        <v>0.75</v>
      </c>
    </row>
    <row r="151" spans="12:30">
      <c r="L151" t="str">
        <f t="shared" si="2"/>
        <v>IEC 947-2</v>
      </c>
      <c r="M151" t="str">
        <f>'Lister og genveje'!$D$44</f>
        <v>C120N</v>
      </c>
      <c r="N151">
        <v>63</v>
      </c>
      <c r="O151" t="s">
        <v>155</v>
      </c>
      <c r="P151" t="s">
        <v>164</v>
      </c>
      <c r="Q151">
        <f>INDEX('Lister og genveje'!$E$39:$I$46,MATCH(M151,'Lister og genveje'!$D$39:$D$46,0),MATCH(P151,'Lister og genveje'!$E$38:$I$38,0),1)</f>
        <v>3</v>
      </c>
      <c r="R151">
        <f>HLOOKUP(O151,'Lister og genveje'!$E$50:$G$52,2,0)</f>
        <v>7</v>
      </c>
      <c r="S151">
        <f>HLOOKUP(O151,'Lister og genveje'!$E$50:$G$52,3,0)</f>
        <v>10</v>
      </c>
      <c r="T151">
        <f>VLOOKUP(M151,'Lister og genveje'!$D$39:$J$46,7,0)</f>
        <v>0.75</v>
      </c>
    </row>
    <row r="152" spans="12:30">
      <c r="L152" t="str">
        <f t="shared" si="2"/>
        <v>IEC 947-2</v>
      </c>
      <c r="M152" t="str">
        <f>'Lister og genveje'!$D$44</f>
        <v>C120N</v>
      </c>
      <c r="N152">
        <v>80</v>
      </c>
      <c r="O152" t="s">
        <v>155</v>
      </c>
      <c r="P152" t="s">
        <v>164</v>
      </c>
      <c r="Q152">
        <f>INDEX('Lister og genveje'!$E$39:$I$46,MATCH(M152,'Lister og genveje'!$D$39:$D$46,0),MATCH(P152,'Lister og genveje'!$E$38:$I$38,0),1)</f>
        <v>3</v>
      </c>
      <c r="R152">
        <f>HLOOKUP(O152,'Lister og genveje'!$E$50:$G$52,2,0)</f>
        <v>7</v>
      </c>
      <c r="S152">
        <f>HLOOKUP(O152,'Lister og genveje'!$E$50:$G$52,3,0)</f>
        <v>10</v>
      </c>
      <c r="T152">
        <f>VLOOKUP(M152,'Lister og genveje'!$D$39:$J$46,7,0)</f>
        <v>0.75</v>
      </c>
    </row>
    <row r="153" spans="12:30">
      <c r="L153" t="str">
        <f t="shared" si="2"/>
        <v>IEC 947-2</v>
      </c>
      <c r="M153" t="str">
        <f>'Lister og genveje'!$D$44</f>
        <v>C120N</v>
      </c>
      <c r="N153">
        <v>100</v>
      </c>
      <c r="O153" t="s">
        <v>155</v>
      </c>
      <c r="P153" t="s">
        <v>164</v>
      </c>
      <c r="Q153">
        <f>INDEX('Lister og genveje'!$E$39:$I$46,MATCH(M153,'Lister og genveje'!$D$39:$D$46,0),MATCH(P153,'Lister og genveje'!$E$38:$I$38,0),1)</f>
        <v>3</v>
      </c>
      <c r="R153">
        <f>HLOOKUP(O153,'Lister og genveje'!$E$50:$G$52,2,0)</f>
        <v>7</v>
      </c>
      <c r="S153">
        <f>HLOOKUP(O153,'Lister og genveje'!$E$50:$G$52,3,0)</f>
        <v>10</v>
      </c>
      <c r="T153">
        <f>VLOOKUP(M153,'Lister og genveje'!$D$39:$J$46,7,0)</f>
        <v>0.75</v>
      </c>
    </row>
    <row r="154" spans="12:30">
      <c r="L154" t="str">
        <f t="shared" si="2"/>
        <v>IEC 947-2</v>
      </c>
      <c r="M154" t="str">
        <f>'Lister og genveje'!$D$44</f>
        <v>C120N</v>
      </c>
      <c r="N154">
        <v>125</v>
      </c>
      <c r="O154" t="s">
        <v>155</v>
      </c>
      <c r="P154" t="s">
        <v>164</v>
      </c>
      <c r="Q154">
        <f>INDEX('Lister og genveje'!$E$39:$I$46,MATCH(M154,'Lister og genveje'!$D$39:$D$46,0),MATCH(P154,'Lister og genveje'!$E$38:$I$38,0),1)</f>
        <v>3</v>
      </c>
      <c r="R154">
        <f>HLOOKUP(O154,'Lister og genveje'!$E$50:$G$52,2,0)</f>
        <v>7</v>
      </c>
      <c r="S154">
        <f>HLOOKUP(O154,'Lister og genveje'!$E$50:$G$52,3,0)</f>
        <v>10</v>
      </c>
      <c r="T154">
        <f>VLOOKUP(M154,'Lister og genveje'!$D$39:$J$46,7,0)</f>
        <v>0.75</v>
      </c>
    </row>
    <row r="155" spans="12:30">
      <c r="L155" t="str">
        <f t="shared" si="2"/>
        <v>IEC 947-2</v>
      </c>
      <c r="M155" t="str">
        <f>'Lister og genveje'!$D$44</f>
        <v>C120N</v>
      </c>
      <c r="N155">
        <v>63</v>
      </c>
      <c r="O155" t="s">
        <v>155</v>
      </c>
      <c r="P155" t="str">
        <f>'Lister og genveje'!$G$38</f>
        <v>Flere poler</v>
      </c>
      <c r="Q155">
        <f>INDEX('Lister og genveje'!$E$39:$I$46,MATCH(M155,'Lister og genveje'!$D$39:$D$46,0),MATCH(P155,'Lister og genveje'!$E$38:$I$38,0),1)</f>
        <v>10</v>
      </c>
      <c r="R155">
        <f>HLOOKUP(O155,'Lister og genveje'!$E$50:$G$52,2,0)</f>
        <v>7</v>
      </c>
      <c r="S155">
        <f>HLOOKUP(O155,'Lister og genveje'!$E$50:$G$52,3,0)</f>
        <v>10</v>
      </c>
      <c r="T155">
        <f>VLOOKUP(M155,'Lister og genveje'!$D$39:$J$46,7,0)</f>
        <v>0.75</v>
      </c>
    </row>
    <row r="156" spans="12:30" ht="16" thickBot="1">
      <c r="L156" t="str">
        <f t="shared" ref="L156:L219" si="3">$L$27</f>
        <v>IEC 947-2</v>
      </c>
      <c r="M156" t="str">
        <f>'Lister og genveje'!$D$44</f>
        <v>C120N</v>
      </c>
      <c r="N156">
        <v>80</v>
      </c>
      <c r="O156" t="s">
        <v>155</v>
      </c>
      <c r="P156" t="str">
        <f>'Lister og genveje'!$G$38</f>
        <v>Flere poler</v>
      </c>
      <c r="Q156">
        <f>INDEX('Lister og genveje'!$E$39:$I$46,MATCH(M156,'Lister og genveje'!$D$39:$D$46,0),MATCH(P156,'Lister og genveje'!$E$38:$I$38,0),1)</f>
        <v>10</v>
      </c>
      <c r="R156">
        <f>HLOOKUP(O156,'Lister og genveje'!$E$50:$G$52,2,0)</f>
        <v>7</v>
      </c>
      <c r="S156">
        <f>HLOOKUP(O156,'Lister og genveje'!$E$50:$G$52,3,0)</f>
        <v>10</v>
      </c>
      <c r="T156">
        <f>VLOOKUP(M156,'Lister og genveje'!$D$39:$J$46,7,0)</f>
        <v>0.75</v>
      </c>
    </row>
    <row r="157" spans="12:30">
      <c r="L157" t="str">
        <f t="shared" si="3"/>
        <v>IEC 947-2</v>
      </c>
      <c r="M157" t="str">
        <f>'Lister og genveje'!$D$44</f>
        <v>C120N</v>
      </c>
      <c r="N157">
        <v>100</v>
      </c>
      <c r="O157" t="s">
        <v>155</v>
      </c>
      <c r="P157" t="str">
        <f>'Lister og genveje'!$G$38</f>
        <v>Flere poler</v>
      </c>
      <c r="Q157">
        <f>INDEX('Lister og genveje'!$E$39:$I$46,MATCH(M157,'Lister og genveje'!$D$39:$D$46,0),MATCH(P157,'Lister og genveje'!$E$38:$I$38,0),1)</f>
        <v>10</v>
      </c>
      <c r="R157">
        <f>HLOOKUP(O157,'Lister og genveje'!$E$50:$G$52,2,0)</f>
        <v>7</v>
      </c>
      <c r="S157">
        <f>HLOOKUP(O157,'Lister og genveje'!$E$50:$G$52,3,0)</f>
        <v>10</v>
      </c>
      <c r="T157">
        <f>VLOOKUP(M157,'Lister og genveje'!$D$39:$J$46,7,0)</f>
        <v>0.75</v>
      </c>
      <c r="X157" s="26" t="s">
        <v>79</v>
      </c>
      <c r="Y157" s="27" t="s">
        <v>80</v>
      </c>
      <c r="Z157" s="27" t="s">
        <v>76</v>
      </c>
      <c r="AA157" s="27" t="s">
        <v>0</v>
      </c>
      <c r="AB157" s="27" t="s">
        <v>1</v>
      </c>
      <c r="AC157" s="27"/>
      <c r="AD157" s="28"/>
    </row>
    <row r="158" spans="12:30">
      <c r="L158" t="str">
        <f t="shared" si="3"/>
        <v>IEC 947-2</v>
      </c>
      <c r="M158" t="str">
        <f>'Lister og genveje'!$D$44</f>
        <v>C120N</v>
      </c>
      <c r="N158">
        <v>125</v>
      </c>
      <c r="O158" t="s">
        <v>155</v>
      </c>
      <c r="P158" t="str">
        <f>'Lister og genveje'!$G$38</f>
        <v>Flere poler</v>
      </c>
      <c r="Q158">
        <f>INDEX('Lister og genveje'!$E$39:$I$46,MATCH(M158,'Lister og genveje'!$D$39:$D$46,0),MATCH(P158,'Lister og genveje'!$E$38:$I$38,0),1)</f>
        <v>10</v>
      </c>
      <c r="R158">
        <f>HLOOKUP(O158,'Lister og genveje'!$E$50:$G$52,2,0)</f>
        <v>7</v>
      </c>
      <c r="S158">
        <f>HLOOKUP(O158,'Lister og genveje'!$E$50:$G$52,3,0)</f>
        <v>10</v>
      </c>
      <c r="T158">
        <f>VLOOKUP(M158,'Lister og genveje'!$D$39:$J$46,7,0)</f>
        <v>0.75</v>
      </c>
      <c r="X158" s="30">
        <v>2</v>
      </c>
      <c r="Y158" t="s">
        <v>2</v>
      </c>
      <c r="Z158">
        <v>5.2</v>
      </c>
      <c r="AA158" t="str">
        <f t="shared" ref="AA158:AA163" si="4">$W$16</f>
        <v>Gruppe afbryder</v>
      </c>
      <c r="AB158" t="s">
        <v>3</v>
      </c>
    </row>
    <row r="159" spans="12:30">
      <c r="L159" t="str">
        <f t="shared" si="3"/>
        <v>IEC 947-2</v>
      </c>
      <c r="M159" t="s">
        <v>151</v>
      </c>
      <c r="N159">
        <v>1</v>
      </c>
      <c r="O159" t="s">
        <v>155</v>
      </c>
      <c r="P159" t="s">
        <v>164</v>
      </c>
      <c r="Q159">
        <f>INDEX('Lister og genveje'!$E$39:$I$46,MATCH(M159,'Lister og genveje'!$D$39:$D$46,0),MATCH(P159,'Lister og genveje'!$E$38:$I$38,0),1)</f>
        <v>15</v>
      </c>
      <c r="R159">
        <f>HLOOKUP(O159,'Lister og genveje'!$E$50:$G$52,2,0)</f>
        <v>7</v>
      </c>
      <c r="S159">
        <f>HLOOKUP(O159,'Lister og genveje'!$E$50:$G$52,3,0)</f>
        <v>10</v>
      </c>
      <c r="T159">
        <f>VLOOKUP(M159,'Lister og genveje'!$D$39:$J$46,7,0)</f>
        <v>0.5</v>
      </c>
      <c r="X159" s="30">
        <v>4</v>
      </c>
      <c r="Y159" t="s">
        <v>2</v>
      </c>
      <c r="Z159">
        <v>12</v>
      </c>
      <c r="AA159" t="str">
        <f t="shared" si="4"/>
        <v>Gruppe afbryder</v>
      </c>
      <c r="AB159" t="s">
        <v>3</v>
      </c>
    </row>
    <row r="160" spans="12:30">
      <c r="L160" t="str">
        <f t="shared" si="3"/>
        <v>IEC 947-2</v>
      </c>
      <c r="M160" t="s">
        <v>151</v>
      </c>
      <c r="N160">
        <v>2</v>
      </c>
      <c r="O160" t="s">
        <v>155</v>
      </c>
      <c r="P160" t="s">
        <v>164</v>
      </c>
      <c r="Q160">
        <f>INDEX('Lister og genveje'!$E$39:$I$46,MATCH(M160,'Lister og genveje'!$D$39:$D$46,0),MATCH(P160,'Lister og genveje'!$E$38:$I$38,0),1)</f>
        <v>15</v>
      </c>
      <c r="R160">
        <f>HLOOKUP(O160,'Lister og genveje'!$E$50:$G$52,2,0)</f>
        <v>7</v>
      </c>
      <c r="S160">
        <f>HLOOKUP(O160,'Lister og genveje'!$E$50:$G$52,3,0)</f>
        <v>10</v>
      </c>
      <c r="T160">
        <f>VLOOKUP(M160,'Lister og genveje'!$D$39:$J$46,7,0)</f>
        <v>0.5</v>
      </c>
      <c r="X160" s="30">
        <v>6</v>
      </c>
      <c r="Y160" t="s">
        <v>2</v>
      </c>
      <c r="Z160">
        <v>21</v>
      </c>
      <c r="AA160" t="str">
        <f t="shared" si="4"/>
        <v>Gruppe afbryder</v>
      </c>
      <c r="AB160" t="s">
        <v>3</v>
      </c>
    </row>
    <row r="161" spans="12:28">
      <c r="L161" t="str">
        <f t="shared" si="3"/>
        <v>IEC 947-2</v>
      </c>
      <c r="M161" t="s">
        <v>151</v>
      </c>
      <c r="N161">
        <v>3</v>
      </c>
      <c r="O161" t="s">
        <v>155</v>
      </c>
      <c r="P161" t="s">
        <v>164</v>
      </c>
      <c r="Q161">
        <f>INDEX('Lister og genveje'!$E$39:$I$46,MATCH(M161,'Lister og genveje'!$D$39:$D$46,0),MATCH(P161,'Lister og genveje'!$E$38:$I$38,0),1)</f>
        <v>15</v>
      </c>
      <c r="R161">
        <f>HLOOKUP(O161,'Lister og genveje'!$E$50:$G$52,2,0)</f>
        <v>7</v>
      </c>
      <c r="S161">
        <f>HLOOKUP(O161,'Lister og genveje'!$E$50:$G$52,3,0)</f>
        <v>10</v>
      </c>
      <c r="T161">
        <f>VLOOKUP(M161,'Lister og genveje'!$D$39:$J$46,7,0)</f>
        <v>0.5</v>
      </c>
      <c r="X161" s="30">
        <v>10</v>
      </c>
      <c r="Y161" t="s">
        <v>2</v>
      </c>
      <c r="Z161">
        <v>36</v>
      </c>
      <c r="AA161" t="str">
        <f t="shared" si="4"/>
        <v>Gruppe afbryder</v>
      </c>
      <c r="AB161" t="s">
        <v>3</v>
      </c>
    </row>
    <row r="162" spans="12:28">
      <c r="L162" t="str">
        <f t="shared" si="3"/>
        <v>IEC 947-2</v>
      </c>
      <c r="M162" t="s">
        <v>151</v>
      </c>
      <c r="N162">
        <v>4</v>
      </c>
      <c r="O162" t="s">
        <v>155</v>
      </c>
      <c r="P162" t="s">
        <v>164</v>
      </c>
      <c r="Q162">
        <f>INDEX('Lister og genveje'!$E$39:$I$46,MATCH(M162,'Lister og genveje'!$D$39:$D$46,0),MATCH(P162,'Lister og genveje'!$E$38:$I$38,0),1)</f>
        <v>15</v>
      </c>
      <c r="R162">
        <f>HLOOKUP(O162,'Lister og genveje'!$E$50:$G$52,2,0)</f>
        <v>7</v>
      </c>
      <c r="S162">
        <f>HLOOKUP(O162,'Lister og genveje'!$E$50:$G$52,3,0)</f>
        <v>10</v>
      </c>
      <c r="T162">
        <f>VLOOKUP(M162,'Lister og genveje'!$D$39:$J$46,7,0)</f>
        <v>0.5</v>
      </c>
      <c r="X162" s="30">
        <v>13</v>
      </c>
      <c r="Y162" t="s">
        <v>2</v>
      </c>
      <c r="Z162">
        <v>36</v>
      </c>
      <c r="AA162" t="str">
        <f t="shared" si="4"/>
        <v>Gruppe afbryder</v>
      </c>
      <c r="AB162" t="s">
        <v>3</v>
      </c>
    </row>
    <row r="163" spans="12:28">
      <c r="L163" t="str">
        <f t="shared" si="3"/>
        <v>IEC 947-2</v>
      </c>
      <c r="M163" t="s">
        <v>151</v>
      </c>
      <c r="N163">
        <v>6</v>
      </c>
      <c r="O163" t="s">
        <v>155</v>
      </c>
      <c r="P163" t="s">
        <v>164</v>
      </c>
      <c r="Q163">
        <f>INDEX('Lister og genveje'!$E$39:$I$46,MATCH(M163,'Lister og genveje'!$D$39:$D$46,0),MATCH(P163,'Lister og genveje'!$E$38:$I$38,0),1)</f>
        <v>15</v>
      </c>
      <c r="R163">
        <f>HLOOKUP(O163,'Lister og genveje'!$E$50:$G$52,2,0)</f>
        <v>7</v>
      </c>
      <c r="S163">
        <f>HLOOKUP(O163,'Lister og genveje'!$E$50:$G$52,3,0)</f>
        <v>10</v>
      </c>
      <c r="T163">
        <f>VLOOKUP(M163,'Lister og genveje'!$D$39:$J$46,7,0)</f>
        <v>0.5</v>
      </c>
      <c r="X163" s="30">
        <v>16</v>
      </c>
      <c r="Y163" t="s">
        <v>2</v>
      </c>
      <c r="Z163">
        <v>30</v>
      </c>
      <c r="AA163" t="str">
        <f t="shared" si="4"/>
        <v>Gruppe afbryder</v>
      </c>
      <c r="AB163" t="s">
        <v>3</v>
      </c>
    </row>
    <row r="164" spans="12:28">
      <c r="L164" t="str">
        <f t="shared" si="3"/>
        <v>IEC 947-2</v>
      </c>
      <c r="M164" t="s">
        <v>151</v>
      </c>
      <c r="N164">
        <v>10</v>
      </c>
      <c r="O164" t="s">
        <v>155</v>
      </c>
      <c r="P164" t="s">
        <v>164</v>
      </c>
      <c r="Q164">
        <f>INDEX('Lister og genveje'!$E$39:$I$46,MATCH(M164,'Lister og genveje'!$D$39:$D$46,0),MATCH(P164,'Lister og genveje'!$E$38:$I$38,0),1)</f>
        <v>15</v>
      </c>
      <c r="R164">
        <f>HLOOKUP(O164,'Lister og genveje'!$E$50:$G$52,2,0)</f>
        <v>7</v>
      </c>
      <c r="S164">
        <f>HLOOKUP(O164,'Lister og genveje'!$E$50:$G$52,3,0)</f>
        <v>10</v>
      </c>
      <c r="T164">
        <f>VLOOKUP(M164,'Lister og genveje'!$D$39:$J$46,7,0)</f>
        <v>0.5</v>
      </c>
      <c r="X164" s="30">
        <v>20</v>
      </c>
      <c r="Y164" t="s">
        <v>6</v>
      </c>
      <c r="Z164">
        <v>69</v>
      </c>
      <c r="AA164" t="str">
        <f>$W$17</f>
        <v>Tytan afbryder ( 2 )</v>
      </c>
      <c r="AB164" t="s">
        <v>3</v>
      </c>
    </row>
    <row r="165" spans="12:28">
      <c r="L165" t="str">
        <f t="shared" si="3"/>
        <v>IEC 947-2</v>
      </c>
      <c r="M165" t="s">
        <v>151</v>
      </c>
      <c r="N165">
        <v>13</v>
      </c>
      <c r="O165" t="s">
        <v>155</v>
      </c>
      <c r="P165" t="s">
        <v>164</v>
      </c>
      <c r="Q165">
        <f>INDEX('Lister og genveje'!$E$39:$I$46,MATCH(M165,'Lister og genveje'!$D$39:$D$46,0),MATCH(P165,'Lister og genveje'!$E$38:$I$38,0),1)</f>
        <v>15</v>
      </c>
      <c r="R165">
        <f>HLOOKUP(O165,'Lister og genveje'!$E$50:$G$52,2,0)</f>
        <v>7</v>
      </c>
      <c r="S165">
        <f>HLOOKUP(O165,'Lister og genveje'!$E$50:$G$52,3,0)</f>
        <v>10</v>
      </c>
      <c r="T165">
        <f>VLOOKUP(M165,'Lister og genveje'!$D$39:$J$46,7,0)</f>
        <v>0.5</v>
      </c>
      <c r="X165" s="30">
        <v>25</v>
      </c>
      <c r="Y165" t="s">
        <v>6</v>
      </c>
      <c r="Z165">
        <v>91</v>
      </c>
      <c r="AA165" t="str">
        <f>$W$17</f>
        <v>Tytan afbryder ( 2 )</v>
      </c>
      <c r="AB165" t="s">
        <v>3</v>
      </c>
    </row>
    <row r="166" spans="12:28">
      <c r="L166" t="str">
        <f t="shared" si="3"/>
        <v>IEC 947-2</v>
      </c>
      <c r="M166" t="s">
        <v>151</v>
      </c>
      <c r="N166">
        <v>16</v>
      </c>
      <c r="O166" t="s">
        <v>155</v>
      </c>
      <c r="P166" t="s">
        <v>164</v>
      </c>
      <c r="Q166">
        <f>INDEX('Lister og genveje'!$E$39:$I$46,MATCH(M166,'Lister og genveje'!$D$39:$D$46,0),MATCH(P166,'Lister og genveje'!$E$38:$I$38,0),1)</f>
        <v>15</v>
      </c>
      <c r="R166">
        <f>HLOOKUP(O166,'Lister og genveje'!$E$50:$G$52,2,0)</f>
        <v>7</v>
      </c>
      <c r="S166">
        <f>HLOOKUP(O166,'Lister og genveje'!$E$50:$G$52,3,0)</f>
        <v>10</v>
      </c>
      <c r="T166">
        <f>VLOOKUP(M166,'Lister og genveje'!$D$39:$J$46,7,0)</f>
        <v>0.5</v>
      </c>
      <c r="X166" s="30">
        <v>35</v>
      </c>
      <c r="Y166" t="s">
        <v>6</v>
      </c>
      <c r="Z166">
        <v>160</v>
      </c>
      <c r="AA166" t="str">
        <f>$W$17</f>
        <v>Tytan afbryder ( 2 )</v>
      </c>
      <c r="AB166" t="s">
        <v>3</v>
      </c>
    </row>
    <row r="167" spans="12:28">
      <c r="L167" t="str">
        <f t="shared" si="3"/>
        <v>IEC 947-2</v>
      </c>
      <c r="M167" t="s">
        <v>151</v>
      </c>
      <c r="N167">
        <v>20</v>
      </c>
      <c r="O167" t="s">
        <v>155</v>
      </c>
      <c r="P167" t="s">
        <v>164</v>
      </c>
      <c r="Q167">
        <f>INDEX('Lister og genveje'!$E$39:$I$46,MATCH(M167,'Lister og genveje'!$D$39:$D$46,0),MATCH(P167,'Lister og genveje'!$E$38:$I$38,0),1)</f>
        <v>15</v>
      </c>
      <c r="R167">
        <f>HLOOKUP(O167,'Lister og genveje'!$E$50:$G$52,2,0)</f>
        <v>7</v>
      </c>
      <c r="S167">
        <f>HLOOKUP(O167,'Lister og genveje'!$E$50:$G$52,3,0)</f>
        <v>10</v>
      </c>
      <c r="T167">
        <f>VLOOKUP(M167,'Lister og genveje'!$D$39:$J$46,7,0)</f>
        <v>0.5</v>
      </c>
      <c r="X167" s="30">
        <v>50</v>
      </c>
      <c r="Y167" t="s">
        <v>6</v>
      </c>
      <c r="Z167">
        <v>240</v>
      </c>
      <c r="AA167" t="str">
        <f>$W$17</f>
        <v>Tytan afbryder ( 2 )</v>
      </c>
      <c r="AB167" t="s">
        <v>3</v>
      </c>
    </row>
    <row r="168" spans="12:28">
      <c r="L168" t="str">
        <f t="shared" si="3"/>
        <v>IEC 947-2</v>
      </c>
      <c r="M168" t="s">
        <v>151</v>
      </c>
      <c r="N168">
        <v>25</v>
      </c>
      <c r="O168" t="s">
        <v>155</v>
      </c>
      <c r="P168" t="s">
        <v>164</v>
      </c>
      <c r="Q168">
        <f>INDEX('Lister og genveje'!$E$39:$I$46,MATCH(M168,'Lister og genveje'!$D$39:$D$46,0),MATCH(P168,'Lister og genveje'!$E$38:$I$38,0),1)</f>
        <v>15</v>
      </c>
      <c r="R168">
        <f>HLOOKUP(O168,'Lister og genveje'!$E$50:$G$52,2,0)</f>
        <v>7</v>
      </c>
      <c r="S168">
        <f>HLOOKUP(O168,'Lister og genveje'!$E$50:$G$52,3,0)</f>
        <v>10</v>
      </c>
      <c r="T168">
        <f>VLOOKUP(M168,'Lister og genveje'!$D$39:$J$46,7,0)</f>
        <v>0.5</v>
      </c>
      <c r="X168" s="30">
        <v>63</v>
      </c>
      <c r="Y168" t="s">
        <v>6</v>
      </c>
      <c r="Z168">
        <v>280</v>
      </c>
      <c r="AA168" t="str">
        <f>$W$17</f>
        <v>Tytan afbryder ( 2 )</v>
      </c>
      <c r="AB168" t="s">
        <v>3</v>
      </c>
    </row>
    <row r="169" spans="12:28">
      <c r="L169" t="str">
        <f t="shared" si="3"/>
        <v>IEC 947-2</v>
      </c>
      <c r="M169" t="s">
        <v>151</v>
      </c>
      <c r="N169">
        <v>32</v>
      </c>
      <c r="O169" t="s">
        <v>155</v>
      </c>
      <c r="P169" t="s">
        <v>164</v>
      </c>
      <c r="Q169">
        <f>INDEX('Lister og genveje'!$E$39:$I$46,MATCH(M169,'Lister og genveje'!$D$39:$D$46,0),MATCH(P169,'Lister og genveje'!$E$38:$I$38,0),1)</f>
        <v>15</v>
      </c>
      <c r="R169">
        <f>HLOOKUP(O169,'Lister og genveje'!$E$50:$G$52,2,0)</f>
        <v>7</v>
      </c>
      <c r="S169">
        <f>HLOOKUP(O169,'Lister og genveje'!$E$50:$G$52,3,0)</f>
        <v>10</v>
      </c>
      <c r="T169">
        <f>VLOOKUP(M169,'Lister og genveje'!$D$39:$J$46,7,0)</f>
        <v>0.5</v>
      </c>
      <c r="X169" s="30">
        <v>80</v>
      </c>
      <c r="Y169" t="s">
        <v>7</v>
      </c>
      <c r="Z169">
        <v>345</v>
      </c>
      <c r="AA169" t="str">
        <f>$W$18</f>
        <v>INFD 160</v>
      </c>
      <c r="AB169" t="s">
        <v>8</v>
      </c>
    </row>
    <row r="170" spans="12:28">
      <c r="L170" t="str">
        <f t="shared" si="3"/>
        <v>IEC 947-2</v>
      </c>
      <c r="M170" t="s">
        <v>151</v>
      </c>
      <c r="N170">
        <v>40</v>
      </c>
      <c r="O170" t="s">
        <v>155</v>
      </c>
      <c r="P170" t="s">
        <v>164</v>
      </c>
      <c r="Q170">
        <f>INDEX('Lister og genveje'!$E$39:$I$46,MATCH(M170,'Lister og genveje'!$D$39:$D$46,0),MATCH(P170,'Lister og genveje'!$E$38:$I$38,0),1)</f>
        <v>15</v>
      </c>
      <c r="R170">
        <f>HLOOKUP(O170,'Lister og genveje'!$E$50:$G$52,2,0)</f>
        <v>7</v>
      </c>
      <c r="S170">
        <f>HLOOKUP(O170,'Lister og genveje'!$E$50:$G$52,3,0)</f>
        <v>10</v>
      </c>
      <c r="T170">
        <f>VLOOKUP(M170,'Lister og genveje'!$D$39:$J$46,7,0)</f>
        <v>0.5</v>
      </c>
      <c r="X170" s="30">
        <v>100</v>
      </c>
      <c r="Y170" t="s">
        <v>7</v>
      </c>
      <c r="Z170">
        <v>460</v>
      </c>
      <c r="AA170" t="str">
        <f>$W$18</f>
        <v>INFD 160</v>
      </c>
      <c r="AB170" t="s">
        <v>8</v>
      </c>
    </row>
    <row r="171" spans="12:28">
      <c r="L171" t="str">
        <f t="shared" si="3"/>
        <v>IEC 947-2</v>
      </c>
      <c r="M171" t="s">
        <v>151</v>
      </c>
      <c r="N171">
        <v>50</v>
      </c>
      <c r="O171" t="s">
        <v>155</v>
      </c>
      <c r="P171" t="s">
        <v>164</v>
      </c>
      <c r="Q171">
        <f>INDEX('Lister og genveje'!$E$39:$I$46,MATCH(M171,'Lister og genveje'!$D$39:$D$46,0),MATCH(P171,'Lister og genveje'!$E$38:$I$38,0),1)</f>
        <v>15</v>
      </c>
      <c r="R171">
        <f>HLOOKUP(O171,'Lister og genveje'!$E$50:$G$52,2,0)</f>
        <v>7</v>
      </c>
      <c r="S171">
        <f>HLOOKUP(O171,'Lister og genveje'!$E$50:$G$52,3,0)</f>
        <v>10</v>
      </c>
      <c r="T171">
        <f>VLOOKUP(M171,'Lister og genveje'!$D$39:$J$46,7,0)</f>
        <v>0.5</v>
      </c>
      <c r="X171" s="30">
        <v>125</v>
      </c>
      <c r="Y171" t="s">
        <v>7</v>
      </c>
      <c r="Z171">
        <v>590</v>
      </c>
      <c r="AA171" t="str">
        <f>$W$18</f>
        <v>INFD 160</v>
      </c>
      <c r="AB171" t="s">
        <v>8</v>
      </c>
    </row>
    <row r="172" spans="12:28">
      <c r="L172" t="str">
        <f t="shared" si="3"/>
        <v>IEC 947-2</v>
      </c>
      <c r="M172" t="s">
        <v>151</v>
      </c>
      <c r="N172">
        <v>63</v>
      </c>
      <c r="O172" t="s">
        <v>155</v>
      </c>
      <c r="P172" t="s">
        <v>164</v>
      </c>
      <c r="Q172">
        <f>INDEX('Lister og genveje'!$E$39:$I$46,MATCH(M172,'Lister og genveje'!$D$39:$D$46,0),MATCH(P172,'Lister og genveje'!$E$38:$I$38,0),1)</f>
        <v>15</v>
      </c>
      <c r="R172">
        <f>HLOOKUP(O172,'Lister og genveje'!$E$50:$G$52,2,0)</f>
        <v>7</v>
      </c>
      <c r="S172">
        <f>HLOOKUP(O172,'Lister og genveje'!$E$50:$G$52,3,0)</f>
        <v>10</v>
      </c>
      <c r="T172">
        <f>VLOOKUP(M172,'Lister og genveje'!$D$39:$J$46,7,0)</f>
        <v>0.5</v>
      </c>
      <c r="X172" s="30">
        <v>160</v>
      </c>
      <c r="Y172" t="s">
        <v>7</v>
      </c>
      <c r="Z172">
        <v>740</v>
      </c>
      <c r="AA172" t="str">
        <f>$W$18</f>
        <v>INFD 160</v>
      </c>
      <c r="AB172" t="s">
        <v>8</v>
      </c>
    </row>
    <row r="173" spans="12:28">
      <c r="L173" t="str">
        <f t="shared" si="3"/>
        <v>IEC 947-2</v>
      </c>
      <c r="M173" t="s">
        <v>151</v>
      </c>
      <c r="N173">
        <v>80</v>
      </c>
      <c r="O173" t="s">
        <v>155</v>
      </c>
      <c r="P173" t="s">
        <v>164</v>
      </c>
      <c r="Q173">
        <f>INDEX('Lister og genveje'!$E$39:$I$46,MATCH(M173,'Lister og genveje'!$D$39:$D$46,0),MATCH(P173,'Lister og genveje'!$E$38:$I$38,0),1)</f>
        <v>15</v>
      </c>
      <c r="R173">
        <f>HLOOKUP(O173,'Lister og genveje'!$E$50:$G$52,2,0)</f>
        <v>7</v>
      </c>
      <c r="S173">
        <f>HLOOKUP(O173,'Lister og genveje'!$E$50:$G$52,3,0)</f>
        <v>10</v>
      </c>
      <c r="T173">
        <f>VLOOKUP(M173,'Lister og genveje'!$D$39:$J$46,7,0)</f>
        <v>0.5</v>
      </c>
      <c r="X173" s="30">
        <v>200</v>
      </c>
      <c r="Y173" t="s">
        <v>4</v>
      </c>
      <c r="Z173">
        <v>1400</v>
      </c>
      <c r="AA173" t="str">
        <f>$W$19</f>
        <v>INFD 250</v>
      </c>
      <c r="AB173" t="s">
        <v>5</v>
      </c>
    </row>
    <row r="174" spans="12:28">
      <c r="L174" t="str">
        <f t="shared" si="3"/>
        <v>IEC 947-2</v>
      </c>
      <c r="M174" t="s">
        <v>151</v>
      </c>
      <c r="N174">
        <v>100</v>
      </c>
      <c r="O174" t="s">
        <v>155</v>
      </c>
      <c r="P174" t="s">
        <v>164</v>
      </c>
      <c r="Q174">
        <f>INDEX('Lister og genveje'!$E$39:$I$46,MATCH(M174,'Lister og genveje'!$D$39:$D$46,0),MATCH(P174,'Lister og genveje'!$E$38:$I$38,0),1)</f>
        <v>15</v>
      </c>
      <c r="R174">
        <f>HLOOKUP(O174,'Lister og genveje'!$E$50:$G$52,2,0)</f>
        <v>7</v>
      </c>
      <c r="S174">
        <f>HLOOKUP(O174,'Lister og genveje'!$E$50:$G$52,3,0)</f>
        <v>10</v>
      </c>
      <c r="T174">
        <f>VLOOKUP(M174,'Lister og genveje'!$D$39:$J$46,7,0)</f>
        <v>0.5</v>
      </c>
      <c r="X174" s="30">
        <v>224</v>
      </c>
      <c r="Y174" t="s">
        <v>4</v>
      </c>
      <c r="Z174">
        <v>1500</v>
      </c>
      <c r="AA174" t="str">
        <f>$W$19</f>
        <v>INFD 250</v>
      </c>
      <c r="AB174" t="s">
        <v>5</v>
      </c>
    </row>
    <row r="175" spans="12:28">
      <c r="L175" t="str">
        <f t="shared" si="3"/>
        <v>IEC 947-2</v>
      </c>
      <c r="M175" t="s">
        <v>151</v>
      </c>
      <c r="N175">
        <v>125</v>
      </c>
      <c r="O175" t="s">
        <v>155</v>
      </c>
      <c r="P175" t="s">
        <v>164</v>
      </c>
      <c r="Q175">
        <f>INDEX('Lister og genveje'!$E$39:$I$46,MATCH(M175,'Lister og genveje'!$D$39:$D$46,0),MATCH(P175,'Lister og genveje'!$E$38:$I$38,0),1)</f>
        <v>15</v>
      </c>
      <c r="R175">
        <f>HLOOKUP(O175,'Lister og genveje'!$E$50:$G$52,2,0)</f>
        <v>7</v>
      </c>
      <c r="S175">
        <f>HLOOKUP(O175,'Lister og genveje'!$E$50:$G$52,3,0)</f>
        <v>10</v>
      </c>
      <c r="T175">
        <f>VLOOKUP(M175,'Lister og genveje'!$D$39:$J$46,7,0)</f>
        <v>0.5</v>
      </c>
      <c r="X175" s="30">
        <v>250</v>
      </c>
      <c r="Y175" t="s">
        <v>4</v>
      </c>
      <c r="Z175">
        <v>1800</v>
      </c>
      <c r="AA175" t="str">
        <f>$W$19</f>
        <v>INFD 250</v>
      </c>
      <c r="AB175" t="s">
        <v>5</v>
      </c>
    </row>
    <row r="176" spans="12:28">
      <c r="L176" t="str">
        <f t="shared" si="3"/>
        <v>IEC 947-2</v>
      </c>
      <c r="M176" t="s">
        <v>151</v>
      </c>
      <c r="N176">
        <v>1</v>
      </c>
      <c r="O176" t="s">
        <v>155</v>
      </c>
      <c r="P176" t="s">
        <v>166</v>
      </c>
      <c r="Q176">
        <f>INDEX('Lister og genveje'!$E$39:$I$46,MATCH(M176,'Lister og genveje'!$D$39:$D$46,0),MATCH(P176,'Lister og genveje'!$E$38:$I$38,0),1)</f>
        <v>30</v>
      </c>
      <c r="R176">
        <f>HLOOKUP(O176,'Lister og genveje'!$E$50:$G$52,2,0)</f>
        <v>7</v>
      </c>
      <c r="S176">
        <f>HLOOKUP(O176,'Lister og genveje'!$E$50:$G$52,3,0)</f>
        <v>10</v>
      </c>
      <c r="T176">
        <f>VLOOKUP(M176,'Lister og genveje'!$D$39:$J$46,7,0)</f>
        <v>0.5</v>
      </c>
      <c r="X176" s="30">
        <v>300</v>
      </c>
      <c r="Y176" t="s">
        <v>9</v>
      </c>
      <c r="Z176">
        <v>1850</v>
      </c>
      <c r="AA176" t="str">
        <f>$W$20</f>
        <v>INFD 400</v>
      </c>
      <c r="AB176" t="s">
        <v>10</v>
      </c>
    </row>
    <row r="177" spans="12:30">
      <c r="L177" t="str">
        <f t="shared" si="3"/>
        <v>IEC 947-2</v>
      </c>
      <c r="M177" t="s">
        <v>151</v>
      </c>
      <c r="N177">
        <v>2</v>
      </c>
      <c r="O177" t="s">
        <v>155</v>
      </c>
      <c r="P177" t="s">
        <v>166</v>
      </c>
      <c r="Q177">
        <f>INDEX('Lister og genveje'!$E$39:$I$46,MATCH(M177,'Lister og genveje'!$D$39:$D$46,0),MATCH(P177,'Lister og genveje'!$E$38:$I$38,0),1)</f>
        <v>30</v>
      </c>
      <c r="R177">
        <f>HLOOKUP(O177,'Lister og genveje'!$E$50:$G$52,2,0)</f>
        <v>7</v>
      </c>
      <c r="S177">
        <f>HLOOKUP(O177,'Lister og genveje'!$E$50:$G$52,3,0)</f>
        <v>10</v>
      </c>
      <c r="T177">
        <f>VLOOKUP(M177,'Lister og genveje'!$D$39:$J$46,7,0)</f>
        <v>0.5</v>
      </c>
      <c r="X177" s="30">
        <v>315</v>
      </c>
      <c r="Y177" t="s">
        <v>9</v>
      </c>
      <c r="Z177">
        <v>1850</v>
      </c>
      <c r="AA177" t="str">
        <f>$W$20</f>
        <v>INFD 400</v>
      </c>
      <c r="AB177" t="s">
        <v>11</v>
      </c>
    </row>
    <row r="178" spans="12:30">
      <c r="L178" t="str">
        <f t="shared" si="3"/>
        <v>IEC 947-2</v>
      </c>
      <c r="M178" t="s">
        <v>151</v>
      </c>
      <c r="N178">
        <v>3</v>
      </c>
      <c r="O178" t="s">
        <v>155</v>
      </c>
      <c r="P178" t="s">
        <v>166</v>
      </c>
      <c r="Q178">
        <f>INDEX('Lister og genveje'!$E$39:$I$46,MATCH(M178,'Lister og genveje'!$D$39:$D$46,0),MATCH(P178,'Lister og genveje'!$E$38:$I$38,0),1)</f>
        <v>30</v>
      </c>
      <c r="R178">
        <f>HLOOKUP(O178,'Lister og genveje'!$E$50:$G$52,2,0)</f>
        <v>7</v>
      </c>
      <c r="S178">
        <f>HLOOKUP(O178,'Lister og genveje'!$E$50:$G$52,3,0)</f>
        <v>10</v>
      </c>
      <c r="T178">
        <f>VLOOKUP(M178,'Lister og genveje'!$D$39:$J$46,7,0)</f>
        <v>0.5</v>
      </c>
      <c r="X178" s="30">
        <v>355</v>
      </c>
      <c r="Y178" t="s">
        <v>9</v>
      </c>
      <c r="Z178">
        <v>2100</v>
      </c>
      <c r="AA178" t="str">
        <f>$W$20</f>
        <v>INFD 400</v>
      </c>
      <c r="AB178" t="s">
        <v>12</v>
      </c>
    </row>
    <row r="179" spans="12:30">
      <c r="L179" t="str">
        <f t="shared" si="3"/>
        <v>IEC 947-2</v>
      </c>
      <c r="M179" t="s">
        <v>151</v>
      </c>
      <c r="N179">
        <v>4</v>
      </c>
      <c r="O179" t="s">
        <v>155</v>
      </c>
      <c r="P179" t="s">
        <v>166</v>
      </c>
      <c r="Q179">
        <f>INDEX('Lister og genveje'!$E$39:$I$46,MATCH(M179,'Lister og genveje'!$D$39:$D$46,0),MATCH(P179,'Lister og genveje'!$E$38:$I$38,0),1)</f>
        <v>30</v>
      </c>
      <c r="R179">
        <f>HLOOKUP(O179,'Lister og genveje'!$E$50:$G$52,2,0)</f>
        <v>7</v>
      </c>
      <c r="S179">
        <f>HLOOKUP(O179,'Lister og genveje'!$E$50:$G$52,3,0)</f>
        <v>10</v>
      </c>
      <c r="T179">
        <f>VLOOKUP(M179,'Lister og genveje'!$D$39:$J$46,7,0)</f>
        <v>0.5</v>
      </c>
      <c r="X179" s="30">
        <v>400</v>
      </c>
      <c r="Y179" t="s">
        <v>9</v>
      </c>
      <c r="Z179">
        <v>2700</v>
      </c>
      <c r="AA179" t="str">
        <f>$W$20</f>
        <v>INFD 400</v>
      </c>
      <c r="AB179" t="s">
        <v>3</v>
      </c>
    </row>
    <row r="180" spans="12:30">
      <c r="L180" t="str">
        <f t="shared" si="3"/>
        <v>IEC 947-2</v>
      </c>
      <c r="M180" t="s">
        <v>151</v>
      </c>
      <c r="N180">
        <v>6</v>
      </c>
      <c r="O180" t="s">
        <v>155</v>
      </c>
      <c r="P180" t="s">
        <v>166</v>
      </c>
      <c r="Q180">
        <f>INDEX('Lister og genveje'!$E$39:$I$46,MATCH(M180,'Lister og genveje'!$D$39:$D$46,0),MATCH(P180,'Lister og genveje'!$E$38:$I$38,0),1)</f>
        <v>30</v>
      </c>
      <c r="R180">
        <f>HLOOKUP(O180,'Lister og genveje'!$E$50:$G$52,2,0)</f>
        <v>7</v>
      </c>
      <c r="S180">
        <f>HLOOKUP(O180,'Lister og genveje'!$E$50:$G$52,3,0)</f>
        <v>10</v>
      </c>
      <c r="T180">
        <f>VLOOKUP(M180,'Lister og genveje'!$D$39:$J$46,7,0)</f>
        <v>0.5</v>
      </c>
      <c r="X180" s="30">
        <v>425</v>
      </c>
      <c r="Y180" t="s">
        <v>13</v>
      </c>
      <c r="Z180">
        <v>2950</v>
      </c>
      <c r="AA180" t="str">
        <f>$W$21</f>
        <v>INFD 630</v>
      </c>
      <c r="AB180" t="s">
        <v>14</v>
      </c>
    </row>
    <row r="181" spans="12:30" ht="16" thickBot="1">
      <c r="L181" t="str">
        <f t="shared" si="3"/>
        <v>IEC 947-2</v>
      </c>
      <c r="M181" t="s">
        <v>151</v>
      </c>
      <c r="N181">
        <v>10</v>
      </c>
      <c r="O181" t="s">
        <v>155</v>
      </c>
      <c r="P181" t="s">
        <v>166</v>
      </c>
      <c r="Q181">
        <f>INDEX('Lister og genveje'!$E$39:$I$46,MATCH(M181,'Lister og genveje'!$D$39:$D$46,0),MATCH(P181,'Lister og genveje'!$E$38:$I$38,0),1)</f>
        <v>30</v>
      </c>
      <c r="R181">
        <f>HLOOKUP(O181,'Lister og genveje'!$E$50:$G$52,2,0)</f>
        <v>7</v>
      </c>
      <c r="S181">
        <f>HLOOKUP(O181,'Lister og genveje'!$E$50:$G$52,3,0)</f>
        <v>10</v>
      </c>
      <c r="T181">
        <f>VLOOKUP(M181,'Lister og genveje'!$D$39:$J$46,7,0)</f>
        <v>0.5</v>
      </c>
      <c r="X181" s="30">
        <v>500</v>
      </c>
      <c r="Y181" t="s">
        <v>13</v>
      </c>
      <c r="Z181">
        <v>3650</v>
      </c>
      <c r="AA181" t="str">
        <f>$W$21</f>
        <v>INFD 630</v>
      </c>
      <c r="AB181" t="s">
        <v>14</v>
      </c>
      <c r="AD181" s="34"/>
    </row>
    <row r="182" spans="12:30" ht="16" thickBot="1">
      <c r="L182" t="str">
        <f t="shared" si="3"/>
        <v>IEC 947-2</v>
      </c>
      <c r="M182" t="s">
        <v>151</v>
      </c>
      <c r="N182">
        <v>13</v>
      </c>
      <c r="O182" t="s">
        <v>155</v>
      </c>
      <c r="P182" t="s">
        <v>166</v>
      </c>
      <c r="Q182">
        <f>INDEX('Lister og genveje'!$E$39:$I$46,MATCH(M182,'Lister og genveje'!$D$39:$D$46,0),MATCH(P182,'Lister og genveje'!$E$38:$I$38,0),1)</f>
        <v>30</v>
      </c>
      <c r="R182">
        <f>HLOOKUP(O182,'Lister og genveje'!$E$50:$G$52,2,0)</f>
        <v>7</v>
      </c>
      <c r="S182">
        <f>HLOOKUP(O182,'Lister og genveje'!$E$50:$G$52,3,0)</f>
        <v>10</v>
      </c>
      <c r="T182">
        <f>VLOOKUP(M182,'Lister og genveje'!$D$39:$J$46,7,0)</f>
        <v>0.5</v>
      </c>
      <c r="X182" s="33">
        <v>630</v>
      </c>
      <c r="Y182" s="34" t="s">
        <v>13</v>
      </c>
      <c r="Z182" s="34">
        <v>4600</v>
      </c>
      <c r="AA182" s="34" t="str">
        <f>$W$21</f>
        <v>INFD 630</v>
      </c>
      <c r="AB182" s="34" t="s">
        <v>14</v>
      </c>
      <c r="AC182" s="34"/>
    </row>
    <row r="183" spans="12:30">
      <c r="L183" t="str">
        <f t="shared" si="3"/>
        <v>IEC 947-2</v>
      </c>
      <c r="M183" t="s">
        <v>151</v>
      </c>
      <c r="N183">
        <v>16</v>
      </c>
      <c r="O183" t="s">
        <v>155</v>
      </c>
      <c r="P183" t="s">
        <v>166</v>
      </c>
      <c r="Q183">
        <f>INDEX('Lister og genveje'!$E$39:$I$46,MATCH(M183,'Lister og genveje'!$D$39:$D$46,0),MATCH(P183,'Lister og genveje'!$E$38:$I$38,0),1)</f>
        <v>30</v>
      </c>
      <c r="R183">
        <f>HLOOKUP(O183,'Lister og genveje'!$E$50:$G$52,2,0)</f>
        <v>7</v>
      </c>
      <c r="S183">
        <f>HLOOKUP(O183,'Lister og genveje'!$E$50:$G$52,3,0)</f>
        <v>10</v>
      </c>
      <c r="T183">
        <f>VLOOKUP(M183,'Lister og genveje'!$D$39:$J$46,7,0)</f>
        <v>0.5</v>
      </c>
    </row>
    <row r="184" spans="12:30">
      <c r="L184" t="str">
        <f t="shared" si="3"/>
        <v>IEC 947-2</v>
      </c>
      <c r="M184" t="s">
        <v>151</v>
      </c>
      <c r="N184">
        <v>20</v>
      </c>
      <c r="O184" t="s">
        <v>155</v>
      </c>
      <c r="P184" t="s">
        <v>166</v>
      </c>
      <c r="Q184">
        <f>INDEX('Lister og genveje'!$E$39:$I$46,MATCH(M184,'Lister og genveje'!$D$39:$D$46,0),MATCH(P184,'Lister og genveje'!$E$38:$I$38,0),1)</f>
        <v>30</v>
      </c>
      <c r="R184">
        <f>HLOOKUP(O184,'Lister og genveje'!$E$50:$G$52,2,0)</f>
        <v>7</v>
      </c>
      <c r="S184">
        <f>HLOOKUP(O184,'Lister og genveje'!$E$50:$G$52,3,0)</f>
        <v>10</v>
      </c>
      <c r="T184">
        <f>VLOOKUP(M184,'Lister og genveje'!$D$39:$J$46,7,0)</f>
        <v>0.5</v>
      </c>
    </row>
    <row r="185" spans="12:30">
      <c r="L185" t="str">
        <f t="shared" si="3"/>
        <v>IEC 947-2</v>
      </c>
      <c r="M185" t="s">
        <v>151</v>
      </c>
      <c r="N185">
        <v>25</v>
      </c>
      <c r="O185" t="s">
        <v>155</v>
      </c>
      <c r="P185" t="s">
        <v>166</v>
      </c>
      <c r="Q185">
        <f>INDEX('Lister og genveje'!$E$39:$I$46,MATCH(M185,'Lister og genveje'!$D$39:$D$46,0),MATCH(P185,'Lister og genveje'!$E$38:$I$38,0),1)</f>
        <v>30</v>
      </c>
      <c r="R185">
        <f>HLOOKUP(O185,'Lister og genveje'!$E$50:$G$52,2,0)</f>
        <v>7</v>
      </c>
      <c r="S185">
        <f>HLOOKUP(O185,'Lister og genveje'!$E$50:$G$52,3,0)</f>
        <v>10</v>
      </c>
      <c r="T185">
        <f>VLOOKUP(M185,'Lister og genveje'!$D$39:$J$46,7,0)</f>
        <v>0.5</v>
      </c>
    </row>
    <row r="186" spans="12:30">
      <c r="L186" t="str">
        <f t="shared" si="3"/>
        <v>IEC 947-2</v>
      </c>
      <c r="M186" t="s">
        <v>151</v>
      </c>
      <c r="N186">
        <v>32</v>
      </c>
      <c r="O186" t="s">
        <v>155</v>
      </c>
      <c r="P186" t="s">
        <v>166</v>
      </c>
      <c r="Q186">
        <f>INDEX('Lister og genveje'!$E$39:$I$46,MATCH(M186,'Lister og genveje'!$D$39:$D$46,0),MATCH(P186,'Lister og genveje'!$E$38:$I$38,0),1)</f>
        <v>30</v>
      </c>
      <c r="R186">
        <f>HLOOKUP(O186,'Lister og genveje'!$E$50:$G$52,2,0)</f>
        <v>7</v>
      </c>
      <c r="S186">
        <f>HLOOKUP(O186,'Lister og genveje'!$E$50:$G$52,3,0)</f>
        <v>10</v>
      </c>
      <c r="T186">
        <f>VLOOKUP(M186,'Lister og genveje'!$D$39:$J$46,7,0)</f>
        <v>0.5</v>
      </c>
    </row>
    <row r="187" spans="12:30">
      <c r="L187" t="str">
        <f t="shared" si="3"/>
        <v>IEC 947-2</v>
      </c>
      <c r="M187" t="s">
        <v>151</v>
      </c>
      <c r="N187">
        <v>40</v>
      </c>
      <c r="O187" t="s">
        <v>155</v>
      </c>
      <c r="P187" t="s">
        <v>166</v>
      </c>
      <c r="Q187">
        <f>INDEX('Lister og genveje'!$E$39:$I$46,MATCH(M187,'Lister og genveje'!$D$39:$D$46,0),MATCH(P187,'Lister og genveje'!$E$38:$I$38,0),1)</f>
        <v>30</v>
      </c>
      <c r="R187">
        <f>HLOOKUP(O187,'Lister og genveje'!$E$50:$G$52,2,0)</f>
        <v>7</v>
      </c>
      <c r="S187">
        <f>HLOOKUP(O187,'Lister og genveje'!$E$50:$G$52,3,0)</f>
        <v>10</v>
      </c>
      <c r="T187">
        <f>VLOOKUP(M187,'Lister og genveje'!$D$39:$J$46,7,0)</f>
        <v>0.5</v>
      </c>
    </row>
    <row r="188" spans="12:30">
      <c r="L188" t="str">
        <f t="shared" si="3"/>
        <v>IEC 947-2</v>
      </c>
      <c r="M188" t="s">
        <v>151</v>
      </c>
      <c r="N188">
        <v>50</v>
      </c>
      <c r="O188" t="s">
        <v>155</v>
      </c>
      <c r="P188" t="s">
        <v>166</v>
      </c>
      <c r="Q188">
        <f>INDEX('Lister og genveje'!$E$39:$I$46,MATCH(M188,'Lister og genveje'!$D$39:$D$46,0),MATCH(P188,'Lister og genveje'!$E$38:$I$38,0),1)</f>
        <v>30</v>
      </c>
      <c r="R188">
        <f>HLOOKUP(O188,'Lister og genveje'!$E$50:$G$52,2,0)</f>
        <v>7</v>
      </c>
      <c r="S188">
        <f>HLOOKUP(O188,'Lister og genveje'!$E$50:$G$52,3,0)</f>
        <v>10</v>
      </c>
      <c r="T188">
        <f>VLOOKUP(M188,'Lister og genveje'!$D$39:$J$46,7,0)</f>
        <v>0.5</v>
      </c>
    </row>
    <row r="189" spans="12:30">
      <c r="L189" t="str">
        <f t="shared" si="3"/>
        <v>IEC 947-2</v>
      </c>
      <c r="M189" t="s">
        <v>151</v>
      </c>
      <c r="N189">
        <v>63</v>
      </c>
      <c r="O189" t="s">
        <v>155</v>
      </c>
      <c r="P189" t="s">
        <v>166</v>
      </c>
      <c r="Q189">
        <f>INDEX('Lister og genveje'!$E$39:$I$46,MATCH(M189,'Lister og genveje'!$D$39:$D$46,0),MATCH(P189,'Lister og genveje'!$E$38:$I$38,0),1)</f>
        <v>30</v>
      </c>
      <c r="R189">
        <f>HLOOKUP(O189,'Lister og genveje'!$E$50:$G$52,2,0)</f>
        <v>7</v>
      </c>
      <c r="S189">
        <f>HLOOKUP(O189,'Lister og genveje'!$E$50:$G$52,3,0)</f>
        <v>10</v>
      </c>
      <c r="T189">
        <f>VLOOKUP(M189,'Lister og genveje'!$D$39:$J$46,7,0)</f>
        <v>0.5</v>
      </c>
    </row>
    <row r="190" spans="12:30">
      <c r="L190" t="str">
        <f t="shared" si="3"/>
        <v>IEC 947-2</v>
      </c>
      <c r="M190" t="s">
        <v>151</v>
      </c>
      <c r="N190">
        <v>80</v>
      </c>
      <c r="O190" t="s">
        <v>155</v>
      </c>
      <c r="P190" t="s">
        <v>166</v>
      </c>
      <c r="Q190">
        <f>INDEX('Lister og genveje'!$E$39:$I$46,MATCH(M190,'Lister og genveje'!$D$39:$D$46,0),MATCH(P190,'Lister og genveje'!$E$38:$I$38,0),1)</f>
        <v>30</v>
      </c>
      <c r="R190">
        <f>HLOOKUP(O190,'Lister og genveje'!$E$50:$G$52,2,0)</f>
        <v>7</v>
      </c>
      <c r="S190">
        <f>HLOOKUP(O190,'Lister og genveje'!$E$50:$G$52,3,0)</f>
        <v>10</v>
      </c>
      <c r="T190">
        <f>VLOOKUP(M190,'Lister og genveje'!$D$39:$J$46,7,0)</f>
        <v>0.5</v>
      </c>
    </row>
    <row r="191" spans="12:30">
      <c r="L191" t="str">
        <f t="shared" si="3"/>
        <v>IEC 947-2</v>
      </c>
      <c r="M191" t="s">
        <v>151</v>
      </c>
      <c r="N191">
        <v>100</v>
      </c>
      <c r="O191" t="s">
        <v>155</v>
      </c>
      <c r="P191" t="s">
        <v>166</v>
      </c>
      <c r="Q191">
        <f>INDEX('Lister og genveje'!$E$39:$I$46,MATCH(M191,'Lister og genveje'!$D$39:$D$46,0),MATCH(P191,'Lister og genveje'!$E$38:$I$38,0),1)</f>
        <v>30</v>
      </c>
      <c r="R191">
        <f>HLOOKUP(O191,'Lister og genveje'!$E$50:$G$52,2,0)</f>
        <v>7</v>
      </c>
      <c r="S191">
        <f>HLOOKUP(O191,'Lister og genveje'!$E$50:$G$52,3,0)</f>
        <v>10</v>
      </c>
      <c r="T191">
        <f>VLOOKUP(M191,'Lister og genveje'!$D$39:$J$46,7,0)</f>
        <v>0.5</v>
      </c>
    </row>
    <row r="192" spans="12:30">
      <c r="L192" t="str">
        <f t="shared" si="3"/>
        <v>IEC 947-2</v>
      </c>
      <c r="M192" t="s">
        <v>151</v>
      </c>
      <c r="N192">
        <v>125</v>
      </c>
      <c r="O192" t="s">
        <v>155</v>
      </c>
      <c r="P192" t="s">
        <v>166</v>
      </c>
      <c r="Q192">
        <f>INDEX('Lister og genveje'!$E$39:$I$46,MATCH(M192,'Lister og genveje'!$D$39:$D$46,0),MATCH(P192,'Lister og genveje'!$E$38:$I$38,0),1)</f>
        <v>30</v>
      </c>
      <c r="R192">
        <f>HLOOKUP(O192,'Lister og genveje'!$E$50:$G$52,2,0)</f>
        <v>7</v>
      </c>
      <c r="S192">
        <f>HLOOKUP(O192,'Lister og genveje'!$E$50:$G$52,3,0)</f>
        <v>10</v>
      </c>
      <c r="T192">
        <f>VLOOKUP(M192,'Lister og genveje'!$D$39:$J$46,7,0)</f>
        <v>0.5</v>
      </c>
    </row>
    <row r="193" spans="12:20">
      <c r="L193" t="str">
        <f t="shared" si="3"/>
        <v>IEC 947-2</v>
      </c>
      <c r="M193" t="s">
        <v>152</v>
      </c>
      <c r="N193">
        <v>10</v>
      </c>
      <c r="O193" t="s">
        <v>155</v>
      </c>
      <c r="P193" t="s">
        <v>164</v>
      </c>
      <c r="Q193">
        <f>INDEX('Lister og genveje'!$E$39:$I$46,MATCH(M193,'Lister og genveje'!$D$39:$D$46,0),MATCH(P193,'Lister og genveje'!$E$38:$I$38,0),1)</f>
        <v>4.5</v>
      </c>
      <c r="R193">
        <f>HLOOKUP(O193,'Lister og genveje'!$E$50:$G$52,2,0)</f>
        <v>7</v>
      </c>
      <c r="S193">
        <f>HLOOKUP(O193,'Lister og genveje'!$E$50:$G$52,3,0)</f>
        <v>10</v>
      </c>
      <c r="T193">
        <f>VLOOKUP(M193,'Lister og genveje'!$D$39:$J$46,7,0)</f>
        <v>0.75</v>
      </c>
    </row>
    <row r="194" spans="12:20">
      <c r="L194" t="str">
        <f t="shared" si="3"/>
        <v>IEC 947-2</v>
      </c>
      <c r="M194" t="s">
        <v>152</v>
      </c>
      <c r="N194">
        <v>13</v>
      </c>
      <c r="O194" t="s">
        <v>155</v>
      </c>
      <c r="P194" t="s">
        <v>164</v>
      </c>
      <c r="Q194">
        <f>INDEX('Lister og genveje'!$E$39:$I$46,MATCH(M194,'Lister og genveje'!$D$39:$D$46,0),MATCH(P194,'Lister og genveje'!$E$38:$I$38,0),1)</f>
        <v>4.5</v>
      </c>
      <c r="R194">
        <f>HLOOKUP(O194,'Lister og genveje'!$E$50:$G$52,2,0)</f>
        <v>7</v>
      </c>
      <c r="S194">
        <f>HLOOKUP(O194,'Lister og genveje'!$E$50:$G$52,3,0)</f>
        <v>10</v>
      </c>
      <c r="T194">
        <f>VLOOKUP(M194,'Lister og genveje'!$D$39:$J$46,7,0)</f>
        <v>0.75</v>
      </c>
    </row>
    <row r="195" spans="12:20">
      <c r="L195" t="str">
        <f t="shared" si="3"/>
        <v>IEC 947-2</v>
      </c>
      <c r="M195" t="s">
        <v>152</v>
      </c>
      <c r="N195">
        <v>16</v>
      </c>
      <c r="O195" t="s">
        <v>155</v>
      </c>
      <c r="P195" t="s">
        <v>164</v>
      </c>
      <c r="Q195">
        <f>INDEX('Lister og genveje'!$E$39:$I$46,MATCH(M195,'Lister og genveje'!$D$39:$D$46,0),MATCH(P195,'Lister og genveje'!$E$38:$I$38,0),1)</f>
        <v>4.5</v>
      </c>
      <c r="R195">
        <f>HLOOKUP(O195,'Lister og genveje'!$E$50:$G$52,2,0)</f>
        <v>7</v>
      </c>
      <c r="S195">
        <f>HLOOKUP(O195,'Lister og genveje'!$E$50:$G$52,3,0)</f>
        <v>10</v>
      </c>
      <c r="T195">
        <f>VLOOKUP(M195,'Lister og genveje'!$D$39:$J$46,7,0)</f>
        <v>0.75</v>
      </c>
    </row>
    <row r="196" spans="12:20">
      <c r="L196" t="str">
        <f t="shared" si="3"/>
        <v>IEC 947-2</v>
      </c>
      <c r="M196" t="s">
        <v>152</v>
      </c>
      <c r="N196">
        <v>20</v>
      </c>
      <c r="O196" t="s">
        <v>155</v>
      </c>
      <c r="P196" t="s">
        <v>164</v>
      </c>
      <c r="Q196">
        <f>INDEX('Lister og genveje'!$E$39:$I$46,MATCH(M196,'Lister og genveje'!$D$39:$D$46,0),MATCH(P196,'Lister og genveje'!$E$38:$I$38,0),1)</f>
        <v>4.5</v>
      </c>
      <c r="R196">
        <f>HLOOKUP(O196,'Lister og genveje'!$E$50:$G$52,2,0)</f>
        <v>7</v>
      </c>
      <c r="S196">
        <f>HLOOKUP(O196,'Lister og genveje'!$E$50:$G$52,3,0)</f>
        <v>10</v>
      </c>
      <c r="T196">
        <f>VLOOKUP(M196,'Lister og genveje'!$D$39:$J$46,7,0)</f>
        <v>0.75</v>
      </c>
    </row>
    <row r="197" spans="12:20">
      <c r="L197" t="str">
        <f t="shared" si="3"/>
        <v>IEC 947-2</v>
      </c>
      <c r="M197" t="s">
        <v>152</v>
      </c>
      <c r="N197">
        <v>25</v>
      </c>
      <c r="O197" t="s">
        <v>155</v>
      </c>
      <c r="P197" t="s">
        <v>164</v>
      </c>
      <c r="Q197">
        <f>INDEX('Lister og genveje'!$E$39:$I$46,MATCH(M197,'Lister og genveje'!$D$39:$D$46,0),MATCH(P197,'Lister og genveje'!$E$38:$I$38,0),1)</f>
        <v>4.5</v>
      </c>
      <c r="R197">
        <f>HLOOKUP(O197,'Lister og genveje'!$E$50:$G$52,2,0)</f>
        <v>7</v>
      </c>
      <c r="S197">
        <f>HLOOKUP(O197,'Lister og genveje'!$E$50:$G$52,3,0)</f>
        <v>10</v>
      </c>
      <c r="T197">
        <f>VLOOKUP(M197,'Lister og genveje'!$D$39:$J$46,7,0)</f>
        <v>0.75</v>
      </c>
    </row>
    <row r="198" spans="12:20">
      <c r="L198" t="str">
        <f t="shared" si="3"/>
        <v>IEC 947-2</v>
      </c>
      <c r="M198" t="s">
        <v>152</v>
      </c>
      <c r="N198">
        <v>32</v>
      </c>
      <c r="O198" t="s">
        <v>155</v>
      </c>
      <c r="P198" t="s">
        <v>164</v>
      </c>
      <c r="Q198">
        <f>INDEX('Lister og genveje'!$E$39:$I$46,MATCH(M198,'Lister og genveje'!$D$39:$D$46,0),MATCH(P198,'Lister og genveje'!$E$38:$I$38,0),1)</f>
        <v>4.5</v>
      </c>
      <c r="R198">
        <f>HLOOKUP(O198,'Lister og genveje'!$E$50:$G$52,2,0)</f>
        <v>7</v>
      </c>
      <c r="S198">
        <f>HLOOKUP(O198,'Lister og genveje'!$E$50:$G$52,3,0)</f>
        <v>10</v>
      </c>
      <c r="T198">
        <f>VLOOKUP(M198,'Lister og genveje'!$D$39:$J$46,7,0)</f>
        <v>0.75</v>
      </c>
    </row>
    <row r="199" spans="12:20">
      <c r="L199" t="str">
        <f t="shared" si="3"/>
        <v>IEC 947-2</v>
      </c>
      <c r="M199" t="s">
        <v>152</v>
      </c>
      <c r="N199">
        <v>40</v>
      </c>
      <c r="O199" t="s">
        <v>155</v>
      </c>
      <c r="P199" t="s">
        <v>164</v>
      </c>
      <c r="Q199">
        <f>INDEX('Lister og genveje'!$E$39:$I$46,MATCH(M199,'Lister og genveje'!$D$39:$D$46,0),MATCH(P199,'Lister og genveje'!$E$38:$I$38,0),1)</f>
        <v>4.5</v>
      </c>
      <c r="R199">
        <f>HLOOKUP(O199,'Lister og genveje'!$E$50:$G$52,2,0)</f>
        <v>7</v>
      </c>
      <c r="S199">
        <f>HLOOKUP(O199,'Lister og genveje'!$E$50:$G$52,3,0)</f>
        <v>10</v>
      </c>
      <c r="T199">
        <f>VLOOKUP(M199,'Lister og genveje'!$D$39:$J$46,7,0)</f>
        <v>0.75</v>
      </c>
    </row>
    <row r="200" spans="12:20">
      <c r="L200" t="str">
        <f t="shared" si="3"/>
        <v>IEC 947-2</v>
      </c>
      <c r="M200" t="s">
        <v>152</v>
      </c>
      <c r="N200">
        <v>50</v>
      </c>
      <c r="O200" t="s">
        <v>155</v>
      </c>
      <c r="P200" t="s">
        <v>164</v>
      </c>
      <c r="Q200">
        <f>INDEX('Lister og genveje'!$E$39:$I$46,MATCH(M200,'Lister og genveje'!$D$39:$D$46,0),MATCH(P200,'Lister og genveje'!$E$38:$I$38,0),1)</f>
        <v>4.5</v>
      </c>
      <c r="R200">
        <f>HLOOKUP(O200,'Lister og genveje'!$E$50:$G$52,2,0)</f>
        <v>7</v>
      </c>
      <c r="S200">
        <f>HLOOKUP(O200,'Lister og genveje'!$E$50:$G$52,3,0)</f>
        <v>10</v>
      </c>
      <c r="T200">
        <f>VLOOKUP(M200,'Lister og genveje'!$D$39:$J$46,7,0)</f>
        <v>0.75</v>
      </c>
    </row>
    <row r="201" spans="12:20">
      <c r="L201" t="str">
        <f t="shared" si="3"/>
        <v>IEC 947-2</v>
      </c>
      <c r="M201" t="s">
        <v>152</v>
      </c>
      <c r="N201">
        <v>63</v>
      </c>
      <c r="O201" t="s">
        <v>155</v>
      </c>
      <c r="P201" t="s">
        <v>164</v>
      </c>
      <c r="Q201">
        <f>INDEX('Lister og genveje'!$E$39:$I$46,MATCH(M201,'Lister og genveje'!$D$39:$D$46,0),MATCH(P201,'Lister og genveje'!$E$38:$I$38,0),1)</f>
        <v>4.5</v>
      </c>
      <c r="R201">
        <f>HLOOKUP(O201,'Lister og genveje'!$E$50:$G$52,2,0)</f>
        <v>7</v>
      </c>
      <c r="S201">
        <f>HLOOKUP(O201,'Lister og genveje'!$E$50:$G$52,3,0)</f>
        <v>10</v>
      </c>
      <c r="T201">
        <f>VLOOKUP(M201,'Lister og genveje'!$D$39:$J$46,7,0)</f>
        <v>0.75</v>
      </c>
    </row>
    <row r="202" spans="12:20">
      <c r="L202" t="str">
        <f t="shared" si="3"/>
        <v>IEC 947-2</v>
      </c>
      <c r="M202" t="s">
        <v>152</v>
      </c>
      <c r="N202">
        <v>80</v>
      </c>
      <c r="O202" t="s">
        <v>155</v>
      </c>
      <c r="P202" t="s">
        <v>164</v>
      </c>
      <c r="Q202">
        <f>INDEX('Lister og genveje'!$E$39:$I$46,MATCH(M202,'Lister og genveje'!$D$39:$D$46,0),MATCH(P202,'Lister og genveje'!$E$38:$I$38,0),1)</f>
        <v>4.5</v>
      </c>
      <c r="R202">
        <f>HLOOKUP(O202,'Lister og genveje'!$E$50:$G$52,2,0)</f>
        <v>7</v>
      </c>
      <c r="S202">
        <f>HLOOKUP(O202,'Lister og genveje'!$E$50:$G$52,3,0)</f>
        <v>10</v>
      </c>
      <c r="T202">
        <f>VLOOKUP(M202,'Lister og genveje'!$D$39:$J$46,7,0)</f>
        <v>0.75</v>
      </c>
    </row>
    <row r="203" spans="12:20">
      <c r="L203" t="str">
        <f t="shared" si="3"/>
        <v>IEC 947-2</v>
      </c>
      <c r="M203" t="s">
        <v>152</v>
      </c>
      <c r="N203">
        <v>100</v>
      </c>
      <c r="O203" t="s">
        <v>155</v>
      </c>
      <c r="P203" t="s">
        <v>164</v>
      </c>
      <c r="Q203">
        <f>INDEX('Lister og genveje'!$E$39:$I$46,MATCH(M203,'Lister og genveje'!$D$39:$D$46,0),MATCH(P203,'Lister og genveje'!$E$38:$I$38,0),1)</f>
        <v>4.5</v>
      </c>
      <c r="R203">
        <f>HLOOKUP(O203,'Lister og genveje'!$E$50:$G$52,2,0)</f>
        <v>7</v>
      </c>
      <c r="S203">
        <f>HLOOKUP(O203,'Lister og genveje'!$E$50:$G$52,3,0)</f>
        <v>10</v>
      </c>
      <c r="T203">
        <f>VLOOKUP(M203,'Lister og genveje'!$D$39:$J$46,7,0)</f>
        <v>0.75</v>
      </c>
    </row>
    <row r="204" spans="12:20">
      <c r="L204" t="str">
        <f t="shared" si="3"/>
        <v>IEC 947-2</v>
      </c>
      <c r="M204" t="s">
        <v>152</v>
      </c>
      <c r="N204">
        <v>125</v>
      </c>
      <c r="O204" t="s">
        <v>155</v>
      </c>
      <c r="P204" t="s">
        <v>164</v>
      </c>
      <c r="Q204">
        <f>INDEX('Lister og genveje'!$E$39:$I$46,MATCH(M204,'Lister og genveje'!$D$39:$D$46,0),MATCH(P204,'Lister og genveje'!$E$38:$I$38,0),1)</f>
        <v>4.5</v>
      </c>
      <c r="R204">
        <f>HLOOKUP(O204,'Lister og genveje'!$E$50:$G$52,2,0)</f>
        <v>7</v>
      </c>
      <c r="S204">
        <f>HLOOKUP(O204,'Lister og genveje'!$E$50:$G$52,3,0)</f>
        <v>10</v>
      </c>
      <c r="T204">
        <f>VLOOKUP(M204,'Lister og genveje'!$D$39:$J$46,7,0)</f>
        <v>0.75</v>
      </c>
    </row>
    <row r="205" spans="12:20">
      <c r="L205" t="str">
        <f t="shared" si="3"/>
        <v>IEC 947-2</v>
      </c>
      <c r="M205" t="s">
        <v>152</v>
      </c>
      <c r="N205">
        <v>10</v>
      </c>
      <c r="O205" t="s">
        <v>155</v>
      </c>
      <c r="P205" t="s">
        <v>166</v>
      </c>
      <c r="Q205">
        <f>INDEX('Lister og genveje'!$E$39:$I$46,MATCH(M205,'Lister og genveje'!$D$39:$D$46,0),MATCH(P205,'Lister og genveje'!$E$38:$I$38,0),1)</f>
        <v>25</v>
      </c>
      <c r="R205">
        <f>HLOOKUP(O205,'Lister og genveje'!$E$50:$G$52,2,0)</f>
        <v>7</v>
      </c>
      <c r="S205">
        <f>HLOOKUP(O205,'Lister og genveje'!$E$50:$G$52,3,0)</f>
        <v>10</v>
      </c>
      <c r="T205">
        <f>VLOOKUP(M205,'Lister og genveje'!$D$39:$J$46,7,0)</f>
        <v>0.75</v>
      </c>
    </row>
    <row r="206" spans="12:20">
      <c r="L206" t="str">
        <f t="shared" si="3"/>
        <v>IEC 947-2</v>
      </c>
      <c r="M206" t="s">
        <v>152</v>
      </c>
      <c r="N206">
        <v>13</v>
      </c>
      <c r="O206" t="s">
        <v>155</v>
      </c>
      <c r="P206" t="s">
        <v>166</v>
      </c>
      <c r="Q206">
        <f>INDEX('Lister og genveje'!$E$39:$I$46,MATCH(M206,'Lister og genveje'!$D$39:$D$46,0),MATCH(P206,'Lister og genveje'!$E$38:$I$38,0),1)</f>
        <v>25</v>
      </c>
      <c r="R206">
        <f>HLOOKUP(O206,'Lister og genveje'!$E$50:$G$52,2,0)</f>
        <v>7</v>
      </c>
      <c r="S206">
        <f>HLOOKUP(O206,'Lister og genveje'!$E$50:$G$52,3,0)</f>
        <v>10</v>
      </c>
      <c r="T206">
        <f>VLOOKUP(M206,'Lister og genveje'!$D$39:$J$46,7,0)</f>
        <v>0.75</v>
      </c>
    </row>
    <row r="207" spans="12:20">
      <c r="L207" t="str">
        <f t="shared" si="3"/>
        <v>IEC 947-2</v>
      </c>
      <c r="M207" t="s">
        <v>152</v>
      </c>
      <c r="N207">
        <v>16</v>
      </c>
      <c r="O207" t="s">
        <v>155</v>
      </c>
      <c r="P207" t="s">
        <v>166</v>
      </c>
      <c r="Q207">
        <f>INDEX('Lister og genveje'!$E$39:$I$46,MATCH(M207,'Lister og genveje'!$D$39:$D$46,0),MATCH(P207,'Lister og genveje'!$E$38:$I$38,0),1)</f>
        <v>25</v>
      </c>
      <c r="R207">
        <f>HLOOKUP(O207,'Lister og genveje'!$E$50:$G$52,2,0)</f>
        <v>7</v>
      </c>
      <c r="S207">
        <f>HLOOKUP(O207,'Lister og genveje'!$E$50:$G$52,3,0)</f>
        <v>10</v>
      </c>
      <c r="T207">
        <f>VLOOKUP(M207,'Lister og genveje'!$D$39:$J$46,7,0)</f>
        <v>0.75</v>
      </c>
    </row>
    <row r="208" spans="12:20">
      <c r="L208" t="str">
        <f t="shared" si="3"/>
        <v>IEC 947-2</v>
      </c>
      <c r="M208" t="s">
        <v>152</v>
      </c>
      <c r="N208">
        <v>20</v>
      </c>
      <c r="O208" t="s">
        <v>155</v>
      </c>
      <c r="P208" t="s">
        <v>166</v>
      </c>
      <c r="Q208">
        <f>INDEX('Lister og genveje'!$E$39:$I$46,MATCH(M208,'Lister og genveje'!$D$39:$D$46,0),MATCH(P208,'Lister og genveje'!$E$38:$I$38,0),1)</f>
        <v>25</v>
      </c>
      <c r="R208">
        <f>HLOOKUP(O208,'Lister og genveje'!$E$50:$G$52,2,0)</f>
        <v>7</v>
      </c>
      <c r="S208">
        <f>HLOOKUP(O208,'Lister og genveje'!$E$50:$G$52,3,0)</f>
        <v>10</v>
      </c>
      <c r="T208">
        <f>VLOOKUP(M208,'Lister og genveje'!$D$39:$J$46,7,0)</f>
        <v>0.75</v>
      </c>
    </row>
    <row r="209" spans="12:20">
      <c r="L209" t="str">
        <f t="shared" si="3"/>
        <v>IEC 947-2</v>
      </c>
      <c r="M209" t="s">
        <v>152</v>
      </c>
      <c r="N209">
        <v>25</v>
      </c>
      <c r="O209" t="s">
        <v>155</v>
      </c>
      <c r="P209" t="s">
        <v>166</v>
      </c>
      <c r="Q209">
        <f>INDEX('Lister og genveje'!$E$39:$I$46,MATCH(M209,'Lister og genveje'!$D$39:$D$46,0),MATCH(P209,'Lister og genveje'!$E$38:$I$38,0),1)</f>
        <v>25</v>
      </c>
      <c r="R209">
        <f>HLOOKUP(O209,'Lister og genveje'!$E$50:$G$52,2,0)</f>
        <v>7</v>
      </c>
      <c r="S209">
        <f>HLOOKUP(O209,'Lister og genveje'!$E$50:$G$52,3,0)</f>
        <v>10</v>
      </c>
      <c r="T209">
        <f>VLOOKUP(M209,'Lister og genveje'!$D$39:$J$46,7,0)</f>
        <v>0.75</v>
      </c>
    </row>
    <row r="210" spans="12:20">
      <c r="L210" t="str">
        <f t="shared" si="3"/>
        <v>IEC 947-2</v>
      </c>
      <c r="M210" t="s">
        <v>152</v>
      </c>
      <c r="N210">
        <v>32</v>
      </c>
      <c r="O210" t="s">
        <v>155</v>
      </c>
      <c r="P210" t="s">
        <v>166</v>
      </c>
      <c r="Q210">
        <f>INDEX('Lister og genveje'!$E$39:$I$46,MATCH(M210,'Lister og genveje'!$D$39:$D$46,0),MATCH(P210,'Lister og genveje'!$E$38:$I$38,0),1)</f>
        <v>25</v>
      </c>
      <c r="R210">
        <f>HLOOKUP(O210,'Lister og genveje'!$E$50:$G$52,2,0)</f>
        <v>7</v>
      </c>
      <c r="S210">
        <f>HLOOKUP(O210,'Lister og genveje'!$E$50:$G$52,3,0)</f>
        <v>10</v>
      </c>
      <c r="T210">
        <f>VLOOKUP(M210,'Lister og genveje'!$D$39:$J$46,7,0)</f>
        <v>0.75</v>
      </c>
    </row>
    <row r="211" spans="12:20">
      <c r="L211" t="str">
        <f t="shared" si="3"/>
        <v>IEC 947-2</v>
      </c>
      <c r="M211" t="s">
        <v>152</v>
      </c>
      <c r="N211">
        <v>40</v>
      </c>
      <c r="O211" t="s">
        <v>155</v>
      </c>
      <c r="P211" t="s">
        <v>166</v>
      </c>
      <c r="Q211">
        <f>INDEX('Lister og genveje'!$E$39:$I$46,MATCH(M211,'Lister og genveje'!$D$39:$D$46,0),MATCH(P211,'Lister og genveje'!$E$38:$I$38,0),1)</f>
        <v>25</v>
      </c>
      <c r="R211">
        <f>HLOOKUP(O211,'Lister og genveje'!$E$50:$G$52,2,0)</f>
        <v>7</v>
      </c>
      <c r="S211">
        <f>HLOOKUP(O211,'Lister og genveje'!$E$50:$G$52,3,0)</f>
        <v>10</v>
      </c>
      <c r="T211">
        <f>VLOOKUP(M211,'Lister og genveje'!$D$39:$J$46,7,0)</f>
        <v>0.75</v>
      </c>
    </row>
    <row r="212" spans="12:20">
      <c r="L212" t="str">
        <f t="shared" si="3"/>
        <v>IEC 947-2</v>
      </c>
      <c r="M212" t="s">
        <v>152</v>
      </c>
      <c r="N212">
        <v>50</v>
      </c>
      <c r="O212" t="s">
        <v>155</v>
      </c>
      <c r="P212" t="s">
        <v>166</v>
      </c>
      <c r="Q212">
        <f>INDEX('Lister og genveje'!$E$39:$I$46,MATCH(M212,'Lister og genveje'!$D$39:$D$46,0),MATCH(P212,'Lister og genveje'!$E$38:$I$38,0),1)</f>
        <v>25</v>
      </c>
      <c r="R212">
        <f>HLOOKUP(O212,'Lister og genveje'!$E$50:$G$52,2,0)</f>
        <v>7</v>
      </c>
      <c r="S212">
        <f>HLOOKUP(O212,'Lister og genveje'!$E$50:$G$52,3,0)</f>
        <v>10</v>
      </c>
      <c r="T212">
        <f>VLOOKUP(M212,'Lister og genveje'!$D$39:$J$46,7,0)</f>
        <v>0.75</v>
      </c>
    </row>
    <row r="213" spans="12:20">
      <c r="L213" t="str">
        <f t="shared" si="3"/>
        <v>IEC 947-2</v>
      </c>
      <c r="M213" t="s">
        <v>152</v>
      </c>
      <c r="N213">
        <v>63</v>
      </c>
      <c r="O213" t="s">
        <v>155</v>
      </c>
      <c r="P213" t="s">
        <v>166</v>
      </c>
      <c r="Q213">
        <f>INDEX('Lister og genveje'!$E$39:$I$46,MATCH(M213,'Lister og genveje'!$D$39:$D$46,0),MATCH(P213,'Lister og genveje'!$E$38:$I$38,0),1)</f>
        <v>25</v>
      </c>
      <c r="R213">
        <f>HLOOKUP(O213,'Lister og genveje'!$E$50:$G$52,2,0)</f>
        <v>7</v>
      </c>
      <c r="S213">
        <f>HLOOKUP(O213,'Lister og genveje'!$E$50:$G$52,3,0)</f>
        <v>10</v>
      </c>
      <c r="T213">
        <f>VLOOKUP(M213,'Lister og genveje'!$D$39:$J$46,7,0)</f>
        <v>0.75</v>
      </c>
    </row>
    <row r="214" spans="12:20">
      <c r="L214" t="str">
        <f t="shared" si="3"/>
        <v>IEC 947-2</v>
      </c>
      <c r="M214" t="s">
        <v>152</v>
      </c>
      <c r="N214">
        <v>80</v>
      </c>
      <c r="O214" t="s">
        <v>155</v>
      </c>
      <c r="P214" t="s">
        <v>166</v>
      </c>
      <c r="Q214">
        <f>INDEX('Lister og genveje'!$E$39:$I$46,MATCH(M214,'Lister og genveje'!$D$39:$D$46,0),MATCH(P214,'Lister og genveje'!$E$38:$I$38,0),1)</f>
        <v>25</v>
      </c>
      <c r="R214">
        <f>HLOOKUP(O214,'Lister og genveje'!$E$50:$G$52,2,0)</f>
        <v>7</v>
      </c>
      <c r="S214">
        <f>HLOOKUP(O214,'Lister og genveje'!$E$50:$G$52,3,0)</f>
        <v>10</v>
      </c>
      <c r="T214">
        <f>VLOOKUP(M214,'Lister og genveje'!$D$39:$J$46,7,0)</f>
        <v>0.75</v>
      </c>
    </row>
    <row r="215" spans="12:20">
      <c r="L215" t="str">
        <f t="shared" si="3"/>
        <v>IEC 947-2</v>
      </c>
      <c r="M215" t="s">
        <v>152</v>
      </c>
      <c r="N215">
        <v>100</v>
      </c>
      <c r="O215" t="s">
        <v>155</v>
      </c>
      <c r="P215" t="s">
        <v>166</v>
      </c>
      <c r="Q215">
        <f>INDEX('Lister og genveje'!$E$39:$I$46,MATCH(M215,'Lister og genveje'!$D$39:$D$46,0),MATCH(P215,'Lister og genveje'!$E$38:$I$38,0),1)</f>
        <v>25</v>
      </c>
      <c r="R215">
        <f>HLOOKUP(O215,'Lister og genveje'!$E$50:$G$52,2,0)</f>
        <v>7</v>
      </c>
      <c r="S215">
        <f>HLOOKUP(O215,'Lister og genveje'!$E$50:$G$52,3,0)</f>
        <v>10</v>
      </c>
      <c r="T215">
        <f>VLOOKUP(M215,'Lister og genveje'!$D$39:$J$46,7,0)</f>
        <v>0.75</v>
      </c>
    </row>
    <row r="216" spans="12:20">
      <c r="L216" t="str">
        <f t="shared" si="3"/>
        <v>IEC 947-2</v>
      </c>
      <c r="M216" t="s">
        <v>152</v>
      </c>
      <c r="N216">
        <v>125</v>
      </c>
      <c r="O216" t="s">
        <v>155</v>
      </c>
      <c r="P216" t="s">
        <v>166</v>
      </c>
      <c r="Q216">
        <f>INDEX('Lister og genveje'!$E$39:$I$46,MATCH(M216,'Lister og genveje'!$D$39:$D$46,0),MATCH(P216,'Lister og genveje'!$E$38:$I$38,0),1)</f>
        <v>25</v>
      </c>
      <c r="R216">
        <f>HLOOKUP(O216,'Lister og genveje'!$E$50:$G$52,2,0)</f>
        <v>7</v>
      </c>
      <c r="S216">
        <f>HLOOKUP(O216,'Lister og genveje'!$E$50:$G$52,3,0)</f>
        <v>10</v>
      </c>
      <c r="T216">
        <f>VLOOKUP(M216,'Lister og genveje'!$D$39:$J$46,7,0)</f>
        <v>0.75</v>
      </c>
    </row>
    <row r="217" spans="12:20">
      <c r="L217" t="str">
        <f t="shared" si="3"/>
        <v>IEC 947-2</v>
      </c>
      <c r="M217" t="str">
        <f>'Lister og genveje'!$D$39</f>
        <v>C60N</v>
      </c>
      <c r="N217">
        <v>0.5</v>
      </c>
      <c r="O217" t="s">
        <v>165</v>
      </c>
      <c r="P217" t="str">
        <f>'Lister og genveje'!$F$38</f>
        <v>1 Pol</v>
      </c>
      <c r="Q217">
        <f>INDEX('Lister og genveje'!$E$39:$I$46,MATCH(M217,'Lister og genveje'!$D$39:$D$46,0),MATCH(P217,'Lister og genveje'!$E$38:$I$38,0),1)</f>
        <v>3</v>
      </c>
      <c r="R217">
        <f>HLOOKUP(O217,'Lister og genveje'!$E$50:$G$52,2,0)</f>
        <v>10</v>
      </c>
      <c r="S217">
        <f>HLOOKUP(O217,'Lister og genveje'!$E$50:$G$52,3,0)</f>
        <v>14</v>
      </c>
      <c r="T217">
        <f>VLOOKUP(M217,'Lister og genveje'!$D$39:$J$46,7,0)</f>
        <v>0.75</v>
      </c>
    </row>
    <row r="218" spans="12:20">
      <c r="L218" t="str">
        <f t="shared" si="3"/>
        <v>IEC 947-2</v>
      </c>
      <c r="M218" t="str">
        <f>'Lister og genveje'!$D$39</f>
        <v>C60N</v>
      </c>
      <c r="N218">
        <v>1</v>
      </c>
      <c r="O218" t="s">
        <v>165</v>
      </c>
      <c r="P218" t="str">
        <f>'Lister og genveje'!$F$38</f>
        <v>1 Pol</v>
      </c>
      <c r="Q218">
        <f>INDEX('Lister og genveje'!$E$39:$I$46,MATCH(M218,'Lister og genveje'!$D$39:$D$46,0),MATCH(P218,'Lister og genveje'!$E$38:$I$38,0),1)</f>
        <v>3</v>
      </c>
      <c r="R218">
        <f>HLOOKUP(O218,'Lister og genveje'!$E$50:$G$52,2,0)</f>
        <v>10</v>
      </c>
      <c r="S218">
        <f>HLOOKUP(O218,'Lister og genveje'!$E$50:$G$52,3,0)</f>
        <v>14</v>
      </c>
      <c r="T218">
        <f>VLOOKUP(M218,'Lister og genveje'!$D$39:$J$46,7,0)</f>
        <v>0.75</v>
      </c>
    </row>
    <row r="219" spans="12:20">
      <c r="L219" t="str">
        <f t="shared" si="3"/>
        <v>IEC 947-2</v>
      </c>
      <c r="M219" t="str">
        <f>'Lister og genveje'!$D$39</f>
        <v>C60N</v>
      </c>
      <c r="N219">
        <v>2</v>
      </c>
      <c r="O219" t="s">
        <v>165</v>
      </c>
      <c r="P219" t="str">
        <f>'Lister og genveje'!$F$38</f>
        <v>1 Pol</v>
      </c>
      <c r="Q219">
        <f>INDEX('Lister og genveje'!$E$39:$I$46,MATCH(M219,'Lister og genveje'!$D$39:$D$46,0),MATCH(P219,'Lister og genveje'!$E$38:$I$38,0),1)</f>
        <v>3</v>
      </c>
      <c r="R219">
        <f>HLOOKUP(O219,'Lister og genveje'!$E$50:$G$52,2,0)</f>
        <v>10</v>
      </c>
      <c r="S219">
        <f>HLOOKUP(O219,'Lister og genveje'!$E$50:$G$52,3,0)</f>
        <v>14</v>
      </c>
      <c r="T219">
        <f>VLOOKUP(M219,'Lister og genveje'!$D$39:$J$46,7,0)</f>
        <v>0.75</v>
      </c>
    </row>
    <row r="220" spans="12:20">
      <c r="L220" t="str">
        <f t="shared" ref="L220:L283" si="5">$L$27</f>
        <v>IEC 947-2</v>
      </c>
      <c r="M220" t="str">
        <f>'Lister og genveje'!$D$39</f>
        <v>C60N</v>
      </c>
      <c r="N220">
        <v>3</v>
      </c>
      <c r="O220" t="s">
        <v>165</v>
      </c>
      <c r="P220" t="str">
        <f>'Lister og genveje'!$F$38</f>
        <v>1 Pol</v>
      </c>
      <c r="Q220">
        <f>INDEX('Lister og genveje'!$E$39:$I$46,MATCH(M220,'Lister og genveje'!$D$39:$D$46,0),MATCH(P220,'Lister og genveje'!$E$38:$I$38,0),1)</f>
        <v>3</v>
      </c>
      <c r="R220">
        <f>HLOOKUP(O220,'Lister og genveje'!$E$50:$G$52,2,0)</f>
        <v>10</v>
      </c>
      <c r="S220">
        <f>HLOOKUP(O220,'Lister og genveje'!$E$50:$G$52,3,0)</f>
        <v>14</v>
      </c>
      <c r="T220">
        <f>VLOOKUP(M220,'Lister og genveje'!$D$39:$J$46,7,0)</f>
        <v>0.75</v>
      </c>
    </row>
    <row r="221" spans="12:20">
      <c r="L221" t="str">
        <f t="shared" si="5"/>
        <v>IEC 947-2</v>
      </c>
      <c r="M221" t="str">
        <f>'Lister og genveje'!$D$39</f>
        <v>C60N</v>
      </c>
      <c r="N221">
        <v>4</v>
      </c>
      <c r="O221" t="s">
        <v>165</v>
      </c>
      <c r="P221" t="str">
        <f>'Lister og genveje'!$F$38</f>
        <v>1 Pol</v>
      </c>
      <c r="Q221">
        <f>INDEX('Lister og genveje'!$E$39:$I$46,MATCH(M221,'Lister og genveje'!$D$39:$D$46,0),MATCH(P221,'Lister og genveje'!$E$38:$I$38,0),1)</f>
        <v>3</v>
      </c>
      <c r="R221">
        <f>HLOOKUP(O221,'Lister og genveje'!$E$50:$G$52,2,0)</f>
        <v>10</v>
      </c>
      <c r="S221">
        <f>HLOOKUP(O221,'Lister og genveje'!$E$50:$G$52,3,0)</f>
        <v>14</v>
      </c>
      <c r="T221">
        <f>VLOOKUP(M221,'Lister og genveje'!$D$39:$J$46,7,0)</f>
        <v>0.75</v>
      </c>
    </row>
    <row r="222" spans="12:20">
      <c r="L222" t="str">
        <f t="shared" si="5"/>
        <v>IEC 947-2</v>
      </c>
      <c r="M222" t="str">
        <f>'Lister og genveje'!$D$39</f>
        <v>C60N</v>
      </c>
      <c r="N222">
        <v>6</v>
      </c>
      <c r="O222" t="s">
        <v>165</v>
      </c>
      <c r="P222" t="str">
        <f>'Lister og genveje'!$F$38</f>
        <v>1 Pol</v>
      </c>
      <c r="Q222">
        <f>INDEX('Lister og genveje'!$E$39:$I$46,MATCH(M222,'Lister og genveje'!$D$39:$D$46,0),MATCH(P222,'Lister og genveje'!$E$38:$I$38,0),1)</f>
        <v>3</v>
      </c>
      <c r="R222">
        <f>HLOOKUP(O222,'Lister og genveje'!$E$50:$G$52,2,0)</f>
        <v>10</v>
      </c>
      <c r="S222">
        <f>HLOOKUP(O222,'Lister og genveje'!$E$50:$G$52,3,0)</f>
        <v>14</v>
      </c>
      <c r="T222">
        <f>VLOOKUP(M222,'Lister og genveje'!$D$39:$J$46,7,0)</f>
        <v>0.75</v>
      </c>
    </row>
    <row r="223" spans="12:20">
      <c r="L223" t="str">
        <f t="shared" si="5"/>
        <v>IEC 947-2</v>
      </c>
      <c r="M223" t="str">
        <f>'Lister og genveje'!$D$39</f>
        <v>C60N</v>
      </c>
      <c r="N223">
        <v>10</v>
      </c>
      <c r="O223" t="s">
        <v>165</v>
      </c>
      <c r="P223" t="str">
        <f>'Lister og genveje'!$F$38</f>
        <v>1 Pol</v>
      </c>
      <c r="Q223">
        <f>INDEX('Lister og genveje'!$E$39:$I$46,MATCH(M223,'Lister og genveje'!$D$39:$D$46,0),MATCH(P223,'Lister og genveje'!$E$38:$I$38,0),1)</f>
        <v>3</v>
      </c>
      <c r="R223">
        <f>HLOOKUP(O223,'Lister og genveje'!$E$50:$G$52,2,0)</f>
        <v>10</v>
      </c>
      <c r="S223">
        <f>HLOOKUP(O223,'Lister og genveje'!$E$50:$G$52,3,0)</f>
        <v>14</v>
      </c>
      <c r="T223">
        <f>VLOOKUP(M223,'Lister og genveje'!$D$39:$J$46,7,0)</f>
        <v>0.75</v>
      </c>
    </row>
    <row r="224" spans="12:20">
      <c r="L224" t="str">
        <f t="shared" si="5"/>
        <v>IEC 947-2</v>
      </c>
      <c r="M224" t="str">
        <f>'Lister og genveje'!$D$39</f>
        <v>C60N</v>
      </c>
      <c r="N224">
        <v>13</v>
      </c>
      <c r="O224" t="s">
        <v>165</v>
      </c>
      <c r="P224" t="str">
        <f>'Lister og genveje'!$F$38</f>
        <v>1 Pol</v>
      </c>
      <c r="Q224">
        <f>INDEX('Lister og genveje'!$E$39:$I$46,MATCH(M224,'Lister og genveje'!$D$39:$D$46,0),MATCH(P224,'Lister og genveje'!$E$38:$I$38,0),1)</f>
        <v>3</v>
      </c>
      <c r="R224">
        <f>HLOOKUP(O224,'Lister og genveje'!$E$50:$G$52,2,0)</f>
        <v>10</v>
      </c>
      <c r="S224">
        <f>HLOOKUP(O224,'Lister og genveje'!$E$50:$G$52,3,0)</f>
        <v>14</v>
      </c>
      <c r="T224">
        <f>VLOOKUP(M224,'Lister og genveje'!$D$39:$J$46,7,0)</f>
        <v>0.75</v>
      </c>
    </row>
    <row r="225" spans="12:20">
      <c r="L225" t="str">
        <f t="shared" si="5"/>
        <v>IEC 947-2</v>
      </c>
      <c r="M225" t="str">
        <f>'Lister og genveje'!$D$39</f>
        <v>C60N</v>
      </c>
      <c r="N225">
        <v>16</v>
      </c>
      <c r="O225" t="s">
        <v>165</v>
      </c>
      <c r="P225" t="str">
        <f>'Lister og genveje'!$F$38</f>
        <v>1 Pol</v>
      </c>
      <c r="Q225">
        <f>INDEX('Lister og genveje'!$E$39:$I$46,MATCH(M225,'Lister og genveje'!$D$39:$D$46,0),MATCH(P225,'Lister og genveje'!$E$38:$I$38,0),1)</f>
        <v>3</v>
      </c>
      <c r="R225">
        <f>HLOOKUP(O225,'Lister og genveje'!$E$50:$G$52,2,0)</f>
        <v>10</v>
      </c>
      <c r="S225">
        <f>HLOOKUP(O225,'Lister og genveje'!$E$50:$G$52,3,0)</f>
        <v>14</v>
      </c>
      <c r="T225">
        <f>VLOOKUP(M225,'Lister og genveje'!$D$39:$J$46,7,0)</f>
        <v>0.75</v>
      </c>
    </row>
    <row r="226" spans="12:20">
      <c r="L226" t="str">
        <f t="shared" si="5"/>
        <v>IEC 947-2</v>
      </c>
      <c r="M226" t="str">
        <f>'Lister og genveje'!$D$39</f>
        <v>C60N</v>
      </c>
      <c r="N226">
        <v>20</v>
      </c>
      <c r="O226" t="s">
        <v>165</v>
      </c>
      <c r="P226" t="str">
        <f>'Lister og genveje'!$F$38</f>
        <v>1 Pol</v>
      </c>
      <c r="Q226">
        <f>INDEX('Lister og genveje'!$E$39:$I$46,MATCH(M226,'Lister og genveje'!$D$39:$D$46,0),MATCH(P226,'Lister og genveje'!$E$38:$I$38,0),1)</f>
        <v>3</v>
      </c>
      <c r="R226">
        <f>HLOOKUP(O226,'Lister og genveje'!$E$50:$G$52,2,0)</f>
        <v>10</v>
      </c>
      <c r="S226">
        <f>HLOOKUP(O226,'Lister og genveje'!$E$50:$G$52,3,0)</f>
        <v>14</v>
      </c>
      <c r="T226">
        <f>VLOOKUP(M226,'Lister og genveje'!$D$39:$J$46,7,0)</f>
        <v>0.75</v>
      </c>
    </row>
    <row r="227" spans="12:20">
      <c r="L227" t="str">
        <f t="shared" si="5"/>
        <v>IEC 947-2</v>
      </c>
      <c r="M227" t="str">
        <f>'Lister og genveje'!$D$39</f>
        <v>C60N</v>
      </c>
      <c r="N227">
        <v>25</v>
      </c>
      <c r="O227" t="s">
        <v>165</v>
      </c>
      <c r="P227" t="str">
        <f>'Lister og genveje'!$F$38</f>
        <v>1 Pol</v>
      </c>
      <c r="Q227">
        <f>INDEX('Lister og genveje'!$E$39:$I$46,MATCH(M227,'Lister og genveje'!$D$39:$D$46,0),MATCH(P227,'Lister og genveje'!$E$38:$I$38,0),1)</f>
        <v>3</v>
      </c>
      <c r="R227">
        <f>HLOOKUP(O227,'Lister og genveje'!$E$50:$G$52,2,0)</f>
        <v>10</v>
      </c>
      <c r="S227">
        <f>HLOOKUP(O227,'Lister og genveje'!$E$50:$G$52,3,0)</f>
        <v>14</v>
      </c>
      <c r="T227">
        <f>VLOOKUP(M227,'Lister og genveje'!$D$39:$J$46,7,0)</f>
        <v>0.75</v>
      </c>
    </row>
    <row r="228" spans="12:20">
      <c r="L228" t="str">
        <f t="shared" si="5"/>
        <v>IEC 947-2</v>
      </c>
      <c r="M228" t="str">
        <f>'Lister og genveje'!$D$39</f>
        <v>C60N</v>
      </c>
      <c r="N228">
        <v>32</v>
      </c>
      <c r="O228" t="s">
        <v>165</v>
      </c>
      <c r="P228" t="str">
        <f>'Lister og genveje'!$F$38</f>
        <v>1 Pol</v>
      </c>
      <c r="Q228">
        <f>INDEX('Lister og genveje'!$E$39:$I$46,MATCH(M228,'Lister og genveje'!$D$39:$D$46,0),MATCH(P228,'Lister og genveje'!$E$38:$I$38,0),1)</f>
        <v>3</v>
      </c>
      <c r="R228">
        <f>HLOOKUP(O228,'Lister og genveje'!$E$50:$G$52,2,0)</f>
        <v>10</v>
      </c>
      <c r="S228">
        <f>HLOOKUP(O228,'Lister og genveje'!$E$50:$G$52,3,0)</f>
        <v>14</v>
      </c>
      <c r="T228">
        <f>VLOOKUP(M228,'Lister og genveje'!$D$39:$J$46,7,0)</f>
        <v>0.75</v>
      </c>
    </row>
    <row r="229" spans="12:20">
      <c r="L229" t="str">
        <f t="shared" si="5"/>
        <v>IEC 947-2</v>
      </c>
      <c r="M229" t="str">
        <f>'Lister og genveje'!$D$39</f>
        <v>C60N</v>
      </c>
      <c r="N229">
        <v>40</v>
      </c>
      <c r="O229" t="s">
        <v>165</v>
      </c>
      <c r="P229" t="str">
        <f>'Lister og genveje'!$F$38</f>
        <v>1 Pol</v>
      </c>
      <c r="Q229">
        <f>INDEX('Lister og genveje'!$E$39:$I$46,MATCH(M229,'Lister og genveje'!$D$39:$D$46,0),MATCH(P229,'Lister og genveje'!$E$38:$I$38,0),1)</f>
        <v>3</v>
      </c>
      <c r="R229">
        <f>HLOOKUP(O229,'Lister og genveje'!$E$50:$G$52,2,0)</f>
        <v>10</v>
      </c>
      <c r="S229">
        <f>HLOOKUP(O229,'Lister og genveje'!$E$50:$G$52,3,0)</f>
        <v>14</v>
      </c>
      <c r="T229">
        <f>VLOOKUP(M229,'Lister og genveje'!$D$39:$J$46,7,0)</f>
        <v>0.75</v>
      </c>
    </row>
    <row r="230" spans="12:20">
      <c r="L230" t="str">
        <f t="shared" si="5"/>
        <v>IEC 947-2</v>
      </c>
      <c r="M230" t="str">
        <f>'Lister og genveje'!$D$39</f>
        <v>C60N</v>
      </c>
      <c r="N230">
        <v>50</v>
      </c>
      <c r="O230" t="s">
        <v>165</v>
      </c>
      <c r="P230" t="str">
        <f>'Lister og genveje'!$F$38</f>
        <v>1 Pol</v>
      </c>
      <c r="Q230">
        <f>INDEX('Lister og genveje'!$E$39:$I$46,MATCH(M230,'Lister og genveje'!$D$39:$D$46,0),MATCH(P230,'Lister og genveje'!$E$38:$I$38,0),1)</f>
        <v>3</v>
      </c>
      <c r="R230">
        <f>HLOOKUP(O230,'Lister og genveje'!$E$50:$G$52,2,0)</f>
        <v>10</v>
      </c>
      <c r="S230">
        <f>HLOOKUP(O230,'Lister og genveje'!$E$50:$G$52,3,0)</f>
        <v>14</v>
      </c>
      <c r="T230">
        <f>VLOOKUP(M230,'Lister og genveje'!$D$39:$J$46,7,0)</f>
        <v>0.75</v>
      </c>
    </row>
    <row r="231" spans="12:20">
      <c r="L231" t="str">
        <f t="shared" si="5"/>
        <v>IEC 947-2</v>
      </c>
      <c r="M231" t="str">
        <f>'Lister og genveje'!$D$39</f>
        <v>C60N</v>
      </c>
      <c r="N231">
        <v>63</v>
      </c>
      <c r="O231" t="s">
        <v>165</v>
      </c>
      <c r="P231" t="str">
        <f>'Lister og genveje'!$F$38</f>
        <v>1 Pol</v>
      </c>
      <c r="Q231">
        <f>INDEX('Lister og genveje'!$E$39:$I$46,MATCH(M231,'Lister og genveje'!$D$39:$D$46,0),MATCH(P231,'Lister og genveje'!$E$38:$I$38,0),1)</f>
        <v>3</v>
      </c>
      <c r="R231">
        <f>HLOOKUP(O231,'Lister og genveje'!$E$50:$G$52,2,0)</f>
        <v>10</v>
      </c>
      <c r="S231">
        <f>HLOOKUP(O231,'Lister og genveje'!$E$50:$G$52,3,0)</f>
        <v>14</v>
      </c>
      <c r="T231">
        <f>VLOOKUP(M231,'Lister og genveje'!$D$39:$J$46,7,0)</f>
        <v>0.75</v>
      </c>
    </row>
    <row r="232" spans="12:20">
      <c r="L232" t="str">
        <f t="shared" si="5"/>
        <v>IEC 947-2</v>
      </c>
      <c r="M232" t="str">
        <f>'Lister og genveje'!$D$39</f>
        <v>C60N</v>
      </c>
      <c r="N232">
        <v>1</v>
      </c>
      <c r="O232" t="s">
        <v>165</v>
      </c>
      <c r="P232" t="str">
        <f>'Lister og genveje'!$G$38</f>
        <v>Flere poler</v>
      </c>
      <c r="Q232">
        <f>INDEX('Lister og genveje'!$E$39:$I$46,MATCH(M232,'Lister og genveje'!$D$39:$D$46,0),MATCH(P232,'Lister og genveje'!$E$38:$I$38,0),1)</f>
        <v>10</v>
      </c>
      <c r="R232">
        <f>HLOOKUP(O232,'Lister og genveje'!$E$50:$G$52,2,0)</f>
        <v>10</v>
      </c>
      <c r="S232">
        <f>HLOOKUP(O232,'Lister og genveje'!$E$50:$G$52,3,0)</f>
        <v>14</v>
      </c>
      <c r="T232">
        <f>VLOOKUP(M232,'Lister og genveje'!$D$39:$J$46,7,0)</f>
        <v>0.75</v>
      </c>
    </row>
    <row r="233" spans="12:20">
      <c r="L233" t="str">
        <f t="shared" si="5"/>
        <v>IEC 947-2</v>
      </c>
      <c r="M233" t="str">
        <f>'Lister og genveje'!$D$39</f>
        <v>C60N</v>
      </c>
      <c r="N233">
        <v>2</v>
      </c>
      <c r="O233" t="s">
        <v>165</v>
      </c>
      <c r="P233" t="str">
        <f>'Lister og genveje'!$G$38</f>
        <v>Flere poler</v>
      </c>
      <c r="Q233">
        <f>INDEX('Lister og genveje'!$E$39:$I$46,MATCH(M233,'Lister og genveje'!$D$39:$D$46,0),MATCH(P233,'Lister og genveje'!$E$38:$I$38,0),1)</f>
        <v>10</v>
      </c>
      <c r="R233">
        <f>HLOOKUP(O233,'Lister og genveje'!$E$50:$G$52,2,0)</f>
        <v>10</v>
      </c>
      <c r="S233">
        <f>HLOOKUP(O233,'Lister og genveje'!$E$50:$G$52,3,0)</f>
        <v>14</v>
      </c>
      <c r="T233">
        <f>VLOOKUP(M233,'Lister og genveje'!$D$39:$J$46,7,0)</f>
        <v>0.75</v>
      </c>
    </row>
    <row r="234" spans="12:20">
      <c r="L234" t="str">
        <f t="shared" si="5"/>
        <v>IEC 947-2</v>
      </c>
      <c r="M234" t="str">
        <f>'Lister og genveje'!$D$39</f>
        <v>C60N</v>
      </c>
      <c r="N234">
        <v>3</v>
      </c>
      <c r="O234" t="s">
        <v>165</v>
      </c>
      <c r="P234" t="str">
        <f>'Lister og genveje'!$G$38</f>
        <v>Flere poler</v>
      </c>
      <c r="Q234">
        <f>INDEX('Lister og genveje'!$E$39:$I$46,MATCH(M234,'Lister og genveje'!$D$39:$D$46,0),MATCH(P234,'Lister og genveje'!$E$38:$I$38,0),1)</f>
        <v>10</v>
      </c>
      <c r="R234">
        <f>HLOOKUP(O234,'Lister og genveje'!$E$50:$G$52,2,0)</f>
        <v>10</v>
      </c>
      <c r="S234">
        <f>HLOOKUP(O234,'Lister og genveje'!$E$50:$G$52,3,0)</f>
        <v>14</v>
      </c>
      <c r="T234">
        <f>VLOOKUP(M234,'Lister og genveje'!$D$39:$J$46,7,0)</f>
        <v>0.75</v>
      </c>
    </row>
    <row r="235" spans="12:20">
      <c r="L235" t="str">
        <f t="shared" si="5"/>
        <v>IEC 947-2</v>
      </c>
      <c r="M235" t="str">
        <f>'Lister og genveje'!$D$39</f>
        <v>C60N</v>
      </c>
      <c r="N235">
        <v>4</v>
      </c>
      <c r="O235" t="s">
        <v>165</v>
      </c>
      <c r="P235" t="str">
        <f>'Lister og genveje'!$G$38</f>
        <v>Flere poler</v>
      </c>
      <c r="Q235">
        <f>INDEX('Lister og genveje'!$E$39:$I$46,MATCH(M235,'Lister og genveje'!$D$39:$D$46,0),MATCH(P235,'Lister og genveje'!$E$38:$I$38,0),1)</f>
        <v>10</v>
      </c>
      <c r="R235">
        <f>HLOOKUP(O235,'Lister og genveje'!$E$50:$G$52,2,0)</f>
        <v>10</v>
      </c>
      <c r="S235">
        <f>HLOOKUP(O235,'Lister og genveje'!$E$50:$G$52,3,0)</f>
        <v>14</v>
      </c>
      <c r="T235">
        <f>VLOOKUP(M235,'Lister og genveje'!$D$39:$J$46,7,0)</f>
        <v>0.75</v>
      </c>
    </row>
    <row r="236" spans="12:20">
      <c r="L236" t="str">
        <f t="shared" si="5"/>
        <v>IEC 947-2</v>
      </c>
      <c r="M236" t="str">
        <f>'Lister og genveje'!$D$39</f>
        <v>C60N</v>
      </c>
      <c r="N236">
        <v>6</v>
      </c>
      <c r="O236" t="s">
        <v>165</v>
      </c>
      <c r="P236" t="str">
        <f>'Lister og genveje'!$G$38</f>
        <v>Flere poler</v>
      </c>
      <c r="Q236">
        <f>INDEX('Lister og genveje'!$E$39:$I$46,MATCH(M236,'Lister og genveje'!$D$39:$D$46,0),MATCH(P236,'Lister og genveje'!$E$38:$I$38,0),1)</f>
        <v>10</v>
      </c>
      <c r="R236">
        <f>HLOOKUP(O236,'Lister og genveje'!$E$50:$G$52,2,0)</f>
        <v>10</v>
      </c>
      <c r="S236">
        <f>HLOOKUP(O236,'Lister og genveje'!$E$50:$G$52,3,0)</f>
        <v>14</v>
      </c>
      <c r="T236">
        <f>VLOOKUP(M236,'Lister og genveje'!$D$39:$J$46,7,0)</f>
        <v>0.75</v>
      </c>
    </row>
    <row r="237" spans="12:20">
      <c r="L237" t="str">
        <f t="shared" si="5"/>
        <v>IEC 947-2</v>
      </c>
      <c r="M237" t="str">
        <f>'Lister og genveje'!$D$39</f>
        <v>C60N</v>
      </c>
      <c r="N237">
        <v>10</v>
      </c>
      <c r="O237" t="s">
        <v>165</v>
      </c>
      <c r="P237" t="str">
        <f>'Lister og genveje'!$G$38</f>
        <v>Flere poler</v>
      </c>
      <c r="Q237">
        <f>INDEX('Lister og genveje'!$E$39:$I$46,MATCH(M237,'Lister og genveje'!$D$39:$D$46,0),MATCH(P237,'Lister og genveje'!$E$38:$I$38,0),1)</f>
        <v>10</v>
      </c>
      <c r="R237">
        <f>HLOOKUP(O237,'Lister og genveje'!$E$50:$G$52,2,0)</f>
        <v>10</v>
      </c>
      <c r="S237">
        <f>HLOOKUP(O237,'Lister og genveje'!$E$50:$G$52,3,0)</f>
        <v>14</v>
      </c>
      <c r="T237">
        <f>VLOOKUP(M237,'Lister og genveje'!$D$39:$J$46,7,0)</f>
        <v>0.75</v>
      </c>
    </row>
    <row r="238" spans="12:20">
      <c r="L238" t="str">
        <f t="shared" si="5"/>
        <v>IEC 947-2</v>
      </c>
      <c r="M238" t="str">
        <f>'Lister og genveje'!$D$39</f>
        <v>C60N</v>
      </c>
      <c r="N238">
        <v>13</v>
      </c>
      <c r="O238" t="s">
        <v>165</v>
      </c>
      <c r="P238" t="str">
        <f>'Lister og genveje'!$G$38</f>
        <v>Flere poler</v>
      </c>
      <c r="Q238">
        <f>INDEX('Lister og genveje'!$E$39:$I$46,MATCH(M238,'Lister og genveje'!$D$39:$D$46,0),MATCH(P238,'Lister og genveje'!$E$38:$I$38,0),1)</f>
        <v>10</v>
      </c>
      <c r="R238">
        <f>HLOOKUP(O238,'Lister og genveje'!$E$50:$G$52,2,0)</f>
        <v>10</v>
      </c>
      <c r="S238">
        <f>HLOOKUP(O238,'Lister og genveje'!$E$50:$G$52,3,0)</f>
        <v>14</v>
      </c>
      <c r="T238">
        <f>VLOOKUP(M238,'Lister og genveje'!$D$39:$J$46,7,0)</f>
        <v>0.75</v>
      </c>
    </row>
    <row r="239" spans="12:20">
      <c r="L239" t="str">
        <f t="shared" si="5"/>
        <v>IEC 947-2</v>
      </c>
      <c r="M239" t="str">
        <f>'Lister og genveje'!$D$39</f>
        <v>C60N</v>
      </c>
      <c r="N239">
        <v>16</v>
      </c>
      <c r="O239" t="s">
        <v>165</v>
      </c>
      <c r="P239" t="str">
        <f>'Lister og genveje'!$G$38</f>
        <v>Flere poler</v>
      </c>
      <c r="Q239">
        <f>INDEX('Lister og genveje'!$E$39:$I$46,MATCH(M239,'Lister og genveje'!$D$39:$D$46,0),MATCH(P239,'Lister og genveje'!$E$38:$I$38,0),1)</f>
        <v>10</v>
      </c>
      <c r="R239">
        <f>HLOOKUP(O239,'Lister og genveje'!$E$50:$G$52,2,0)</f>
        <v>10</v>
      </c>
      <c r="S239">
        <f>HLOOKUP(O239,'Lister og genveje'!$E$50:$G$52,3,0)</f>
        <v>14</v>
      </c>
      <c r="T239">
        <f>VLOOKUP(M239,'Lister og genveje'!$D$39:$J$46,7,0)</f>
        <v>0.75</v>
      </c>
    </row>
    <row r="240" spans="12:20">
      <c r="L240" t="str">
        <f t="shared" si="5"/>
        <v>IEC 947-2</v>
      </c>
      <c r="M240" t="str">
        <f>'Lister og genveje'!$D$39</f>
        <v>C60N</v>
      </c>
      <c r="N240">
        <v>20</v>
      </c>
      <c r="O240" t="s">
        <v>165</v>
      </c>
      <c r="P240" t="str">
        <f>'Lister og genveje'!$G$38</f>
        <v>Flere poler</v>
      </c>
      <c r="Q240">
        <f>INDEX('Lister og genveje'!$E$39:$I$46,MATCH(M240,'Lister og genveje'!$D$39:$D$46,0),MATCH(P240,'Lister og genveje'!$E$38:$I$38,0),1)</f>
        <v>10</v>
      </c>
      <c r="R240">
        <f>HLOOKUP(O240,'Lister og genveje'!$E$50:$G$52,2,0)</f>
        <v>10</v>
      </c>
      <c r="S240">
        <f>HLOOKUP(O240,'Lister og genveje'!$E$50:$G$52,3,0)</f>
        <v>14</v>
      </c>
      <c r="T240">
        <f>VLOOKUP(M240,'Lister og genveje'!$D$39:$J$46,7,0)</f>
        <v>0.75</v>
      </c>
    </row>
    <row r="241" spans="12:20">
      <c r="L241" t="str">
        <f t="shared" si="5"/>
        <v>IEC 947-2</v>
      </c>
      <c r="M241" t="str">
        <f>'Lister og genveje'!$D$39</f>
        <v>C60N</v>
      </c>
      <c r="N241">
        <v>25</v>
      </c>
      <c r="O241" t="s">
        <v>165</v>
      </c>
      <c r="P241" t="str">
        <f>'Lister og genveje'!$G$38</f>
        <v>Flere poler</v>
      </c>
      <c r="Q241">
        <f>INDEX('Lister og genveje'!$E$39:$I$46,MATCH(M241,'Lister og genveje'!$D$39:$D$46,0),MATCH(P241,'Lister og genveje'!$E$38:$I$38,0),1)</f>
        <v>10</v>
      </c>
      <c r="R241">
        <f>HLOOKUP(O241,'Lister og genveje'!$E$50:$G$52,2,0)</f>
        <v>10</v>
      </c>
      <c r="S241">
        <f>HLOOKUP(O241,'Lister og genveje'!$E$50:$G$52,3,0)</f>
        <v>14</v>
      </c>
      <c r="T241">
        <f>VLOOKUP(M241,'Lister og genveje'!$D$39:$J$46,7,0)</f>
        <v>0.75</v>
      </c>
    </row>
    <row r="242" spans="12:20">
      <c r="L242" t="str">
        <f t="shared" si="5"/>
        <v>IEC 947-2</v>
      </c>
      <c r="M242" t="str">
        <f>'Lister og genveje'!$D$39</f>
        <v>C60N</v>
      </c>
      <c r="N242">
        <v>32</v>
      </c>
      <c r="O242" t="s">
        <v>165</v>
      </c>
      <c r="P242" t="str">
        <f>'Lister og genveje'!$G$38</f>
        <v>Flere poler</v>
      </c>
      <c r="Q242">
        <f>INDEX('Lister og genveje'!$E$39:$I$46,MATCH(M242,'Lister og genveje'!$D$39:$D$46,0),MATCH(P242,'Lister og genveje'!$E$38:$I$38,0),1)</f>
        <v>10</v>
      </c>
      <c r="R242">
        <f>HLOOKUP(O242,'Lister og genveje'!$E$50:$G$52,2,0)</f>
        <v>10</v>
      </c>
      <c r="S242">
        <f>HLOOKUP(O242,'Lister og genveje'!$E$50:$G$52,3,0)</f>
        <v>14</v>
      </c>
      <c r="T242">
        <f>VLOOKUP(M242,'Lister og genveje'!$D$39:$J$46,7,0)</f>
        <v>0.75</v>
      </c>
    </row>
    <row r="243" spans="12:20">
      <c r="L243" t="str">
        <f t="shared" si="5"/>
        <v>IEC 947-2</v>
      </c>
      <c r="M243" t="str">
        <f>'Lister og genveje'!$D$39</f>
        <v>C60N</v>
      </c>
      <c r="N243">
        <v>40</v>
      </c>
      <c r="O243" t="s">
        <v>165</v>
      </c>
      <c r="P243" t="str">
        <f>'Lister og genveje'!$G$38</f>
        <v>Flere poler</v>
      </c>
      <c r="Q243">
        <f>INDEX('Lister og genveje'!$E$39:$I$46,MATCH(M243,'Lister og genveje'!$D$39:$D$46,0),MATCH(P243,'Lister og genveje'!$E$38:$I$38,0),1)</f>
        <v>10</v>
      </c>
      <c r="R243">
        <f>HLOOKUP(O243,'Lister og genveje'!$E$50:$G$52,2,0)</f>
        <v>10</v>
      </c>
      <c r="S243">
        <f>HLOOKUP(O243,'Lister og genveje'!$E$50:$G$52,3,0)</f>
        <v>14</v>
      </c>
      <c r="T243">
        <f>VLOOKUP(M243,'Lister og genveje'!$D$39:$J$46,7,0)</f>
        <v>0.75</v>
      </c>
    </row>
    <row r="244" spans="12:20">
      <c r="L244" t="str">
        <f t="shared" si="5"/>
        <v>IEC 947-2</v>
      </c>
      <c r="M244" t="str">
        <f>'Lister og genveje'!$D$39</f>
        <v>C60N</v>
      </c>
      <c r="N244">
        <v>50</v>
      </c>
      <c r="O244" t="s">
        <v>165</v>
      </c>
      <c r="P244" t="str">
        <f>'Lister og genveje'!$G$38</f>
        <v>Flere poler</v>
      </c>
      <c r="Q244">
        <f>INDEX('Lister og genveje'!$E$39:$I$46,MATCH(M244,'Lister og genveje'!$D$39:$D$46,0),MATCH(P244,'Lister og genveje'!$E$38:$I$38,0),1)</f>
        <v>10</v>
      </c>
      <c r="R244">
        <f>HLOOKUP(O244,'Lister og genveje'!$E$50:$G$52,2,0)</f>
        <v>10</v>
      </c>
      <c r="S244">
        <f>HLOOKUP(O244,'Lister og genveje'!$E$50:$G$52,3,0)</f>
        <v>14</v>
      </c>
      <c r="T244">
        <f>VLOOKUP(M244,'Lister og genveje'!$D$39:$J$46,7,0)</f>
        <v>0.75</v>
      </c>
    </row>
    <row r="245" spans="12:20">
      <c r="L245" t="str">
        <f t="shared" si="5"/>
        <v>IEC 947-2</v>
      </c>
      <c r="M245" t="str">
        <f>'Lister og genveje'!$D$39</f>
        <v>C60N</v>
      </c>
      <c r="N245">
        <v>63</v>
      </c>
      <c r="O245" t="s">
        <v>165</v>
      </c>
      <c r="P245" t="str">
        <f>'Lister og genveje'!$G$38</f>
        <v>Flere poler</v>
      </c>
      <c r="Q245">
        <f>INDEX('Lister og genveje'!$E$39:$I$46,MATCH(M245,'Lister og genveje'!$D$39:$D$46,0),MATCH(P245,'Lister og genveje'!$E$38:$I$38,0),1)</f>
        <v>10</v>
      </c>
      <c r="R245">
        <f>HLOOKUP(O245,'Lister og genveje'!$E$50:$G$52,2,0)</f>
        <v>10</v>
      </c>
      <c r="S245">
        <f>HLOOKUP(O245,'Lister og genveje'!$E$50:$G$52,3,0)</f>
        <v>14</v>
      </c>
      <c r="T245">
        <f>VLOOKUP(M245,'Lister og genveje'!$D$39:$J$46,7,0)</f>
        <v>0.75</v>
      </c>
    </row>
    <row r="246" spans="12:20">
      <c r="L246" t="str">
        <f t="shared" si="5"/>
        <v>IEC 947-2</v>
      </c>
      <c r="M246" t="str">
        <f>'Lister og genveje'!$D$44</f>
        <v>C120N</v>
      </c>
      <c r="N246">
        <v>63</v>
      </c>
      <c r="O246" t="s">
        <v>165</v>
      </c>
      <c r="P246" t="s">
        <v>164</v>
      </c>
      <c r="Q246">
        <f>INDEX('Lister og genveje'!$E$39:$I$46,MATCH(M246,'Lister og genveje'!$D$39:$D$46,0),MATCH(P246,'Lister og genveje'!$E$38:$I$38,0),1)</f>
        <v>3</v>
      </c>
      <c r="R246">
        <f>HLOOKUP(O246,'Lister og genveje'!$E$50:$G$52,2,0)</f>
        <v>10</v>
      </c>
      <c r="S246">
        <f>HLOOKUP(O246,'Lister og genveje'!$E$50:$G$52,3,0)</f>
        <v>14</v>
      </c>
      <c r="T246">
        <f>VLOOKUP(M246,'Lister og genveje'!$D$39:$J$46,7,0)</f>
        <v>0.75</v>
      </c>
    </row>
    <row r="247" spans="12:20">
      <c r="L247" t="str">
        <f t="shared" si="5"/>
        <v>IEC 947-2</v>
      </c>
      <c r="M247" t="str">
        <f>'Lister og genveje'!$D$44</f>
        <v>C120N</v>
      </c>
      <c r="N247">
        <v>80</v>
      </c>
      <c r="O247" t="s">
        <v>165</v>
      </c>
      <c r="P247" t="s">
        <v>164</v>
      </c>
      <c r="Q247">
        <f>INDEX('Lister og genveje'!$E$39:$I$46,MATCH(M247,'Lister og genveje'!$D$39:$D$46,0),MATCH(P247,'Lister og genveje'!$E$38:$I$38,0),1)</f>
        <v>3</v>
      </c>
      <c r="R247">
        <f>HLOOKUP(O247,'Lister og genveje'!$E$50:$G$52,2,0)</f>
        <v>10</v>
      </c>
      <c r="S247">
        <f>HLOOKUP(O247,'Lister og genveje'!$E$50:$G$52,3,0)</f>
        <v>14</v>
      </c>
      <c r="T247">
        <f>VLOOKUP(M247,'Lister og genveje'!$D$39:$J$46,7,0)</f>
        <v>0.75</v>
      </c>
    </row>
    <row r="248" spans="12:20">
      <c r="L248" t="str">
        <f t="shared" si="5"/>
        <v>IEC 947-2</v>
      </c>
      <c r="M248" t="str">
        <f>'Lister og genveje'!$D$44</f>
        <v>C120N</v>
      </c>
      <c r="N248">
        <v>100</v>
      </c>
      <c r="O248" t="s">
        <v>165</v>
      </c>
      <c r="P248" t="s">
        <v>164</v>
      </c>
      <c r="Q248">
        <f>INDEX('Lister og genveje'!$E$39:$I$46,MATCH(M248,'Lister og genveje'!$D$39:$D$46,0),MATCH(P248,'Lister og genveje'!$E$38:$I$38,0),1)</f>
        <v>3</v>
      </c>
      <c r="R248">
        <f>HLOOKUP(O248,'Lister og genveje'!$E$50:$G$52,2,0)</f>
        <v>10</v>
      </c>
      <c r="S248">
        <f>HLOOKUP(O248,'Lister og genveje'!$E$50:$G$52,3,0)</f>
        <v>14</v>
      </c>
      <c r="T248">
        <f>VLOOKUP(M248,'Lister og genveje'!$D$39:$J$46,7,0)</f>
        <v>0.75</v>
      </c>
    </row>
    <row r="249" spans="12:20">
      <c r="L249" t="str">
        <f t="shared" si="5"/>
        <v>IEC 947-2</v>
      </c>
      <c r="M249" t="str">
        <f>'Lister og genveje'!$D$44</f>
        <v>C120N</v>
      </c>
      <c r="N249">
        <v>125</v>
      </c>
      <c r="O249" t="s">
        <v>165</v>
      </c>
      <c r="P249" t="s">
        <v>164</v>
      </c>
      <c r="Q249">
        <f>INDEX('Lister og genveje'!$E$39:$I$46,MATCH(M249,'Lister og genveje'!$D$39:$D$46,0),MATCH(P249,'Lister og genveje'!$E$38:$I$38,0),1)</f>
        <v>3</v>
      </c>
      <c r="R249">
        <f>HLOOKUP(O249,'Lister og genveje'!$E$50:$G$52,2,0)</f>
        <v>10</v>
      </c>
      <c r="S249">
        <f>HLOOKUP(O249,'Lister og genveje'!$E$50:$G$52,3,0)</f>
        <v>14</v>
      </c>
      <c r="T249">
        <f>VLOOKUP(M249,'Lister og genveje'!$D$39:$J$46,7,0)</f>
        <v>0.75</v>
      </c>
    </row>
    <row r="250" spans="12:20">
      <c r="L250" t="str">
        <f t="shared" si="5"/>
        <v>IEC 947-2</v>
      </c>
      <c r="M250" t="str">
        <f>'Lister og genveje'!$D$44</f>
        <v>C120N</v>
      </c>
      <c r="N250">
        <v>63</v>
      </c>
      <c r="O250" t="s">
        <v>165</v>
      </c>
      <c r="P250" t="str">
        <f>'Lister og genveje'!$G$38</f>
        <v>Flere poler</v>
      </c>
      <c r="Q250">
        <f>INDEX('Lister og genveje'!$E$39:$I$46,MATCH(M250,'Lister og genveje'!$D$39:$D$46,0),MATCH(P250,'Lister og genveje'!$E$38:$I$38,0),1)</f>
        <v>10</v>
      </c>
      <c r="R250">
        <f>HLOOKUP(O250,'Lister og genveje'!$E$50:$G$52,2,0)</f>
        <v>10</v>
      </c>
      <c r="S250">
        <f>HLOOKUP(O250,'Lister og genveje'!$E$50:$G$52,3,0)</f>
        <v>14</v>
      </c>
      <c r="T250">
        <f>VLOOKUP(M250,'Lister og genveje'!$D$39:$J$46,7,0)</f>
        <v>0.75</v>
      </c>
    </row>
    <row r="251" spans="12:20">
      <c r="L251" t="str">
        <f t="shared" si="5"/>
        <v>IEC 947-2</v>
      </c>
      <c r="M251" t="str">
        <f>'Lister og genveje'!$D$44</f>
        <v>C120N</v>
      </c>
      <c r="N251">
        <v>80</v>
      </c>
      <c r="O251" t="s">
        <v>165</v>
      </c>
      <c r="P251" t="str">
        <f>'Lister og genveje'!$G$38</f>
        <v>Flere poler</v>
      </c>
      <c r="Q251">
        <f>INDEX('Lister og genveje'!$E$39:$I$46,MATCH(M251,'Lister og genveje'!$D$39:$D$46,0),MATCH(P251,'Lister og genveje'!$E$38:$I$38,0),1)</f>
        <v>10</v>
      </c>
      <c r="R251">
        <f>HLOOKUP(O251,'Lister og genveje'!$E$50:$G$52,2,0)</f>
        <v>10</v>
      </c>
      <c r="S251">
        <f>HLOOKUP(O251,'Lister og genveje'!$E$50:$G$52,3,0)</f>
        <v>14</v>
      </c>
      <c r="T251">
        <f>VLOOKUP(M251,'Lister og genveje'!$D$39:$J$46,7,0)</f>
        <v>0.75</v>
      </c>
    </row>
    <row r="252" spans="12:20">
      <c r="L252" t="str">
        <f t="shared" si="5"/>
        <v>IEC 947-2</v>
      </c>
      <c r="M252" t="str">
        <f>'Lister og genveje'!$D$44</f>
        <v>C120N</v>
      </c>
      <c r="N252">
        <v>100</v>
      </c>
      <c r="O252" t="s">
        <v>165</v>
      </c>
      <c r="P252" t="str">
        <f>'Lister og genveje'!$G$38</f>
        <v>Flere poler</v>
      </c>
      <c r="Q252">
        <f>INDEX('Lister og genveje'!$E$39:$I$46,MATCH(M252,'Lister og genveje'!$D$39:$D$46,0),MATCH(P252,'Lister og genveje'!$E$38:$I$38,0),1)</f>
        <v>10</v>
      </c>
      <c r="R252">
        <f>HLOOKUP(O252,'Lister og genveje'!$E$50:$G$52,2,0)</f>
        <v>10</v>
      </c>
      <c r="S252">
        <f>HLOOKUP(O252,'Lister og genveje'!$E$50:$G$52,3,0)</f>
        <v>14</v>
      </c>
      <c r="T252">
        <f>VLOOKUP(M252,'Lister og genveje'!$D$39:$J$46,7,0)</f>
        <v>0.75</v>
      </c>
    </row>
    <row r="253" spans="12:20">
      <c r="L253" t="str">
        <f t="shared" si="5"/>
        <v>IEC 947-2</v>
      </c>
      <c r="M253" t="str">
        <f>'Lister og genveje'!$D$44</f>
        <v>C120N</v>
      </c>
      <c r="N253">
        <v>125</v>
      </c>
      <c r="O253" t="s">
        <v>165</v>
      </c>
      <c r="P253" t="str">
        <f>'Lister og genveje'!$G$38</f>
        <v>Flere poler</v>
      </c>
      <c r="Q253">
        <f>INDEX('Lister og genveje'!$E$39:$I$46,MATCH(M253,'Lister og genveje'!$D$39:$D$46,0),MATCH(P253,'Lister og genveje'!$E$38:$I$38,0),1)</f>
        <v>10</v>
      </c>
      <c r="R253">
        <f>HLOOKUP(O253,'Lister og genveje'!$E$50:$G$52,2,0)</f>
        <v>10</v>
      </c>
      <c r="S253">
        <f>HLOOKUP(O253,'Lister og genveje'!$E$50:$G$52,3,0)</f>
        <v>14</v>
      </c>
      <c r="T253">
        <f>VLOOKUP(M253,'Lister og genveje'!$D$39:$J$46,7,0)</f>
        <v>0.75</v>
      </c>
    </row>
    <row r="254" spans="12:20">
      <c r="L254" t="str">
        <f t="shared" si="5"/>
        <v>IEC 947-2</v>
      </c>
      <c r="M254" t="s">
        <v>151</v>
      </c>
      <c r="N254">
        <v>1</v>
      </c>
      <c r="O254" t="s">
        <v>165</v>
      </c>
      <c r="P254" t="s">
        <v>164</v>
      </c>
      <c r="Q254">
        <f>INDEX('Lister og genveje'!$E$39:$I$46,MATCH(M254,'Lister og genveje'!$D$39:$D$46,0),MATCH(P254,'Lister og genveje'!$E$38:$I$38,0),1)</f>
        <v>15</v>
      </c>
      <c r="R254">
        <f>HLOOKUP(O254,'Lister og genveje'!$E$50:$G$52,2,0)</f>
        <v>10</v>
      </c>
      <c r="S254">
        <f>HLOOKUP(O254,'Lister og genveje'!$E$50:$G$52,3,0)</f>
        <v>14</v>
      </c>
      <c r="T254">
        <f>VLOOKUP(M254,'Lister og genveje'!$D$39:$J$46,7,0)</f>
        <v>0.5</v>
      </c>
    </row>
    <row r="255" spans="12:20">
      <c r="L255" t="str">
        <f t="shared" si="5"/>
        <v>IEC 947-2</v>
      </c>
      <c r="M255" t="s">
        <v>151</v>
      </c>
      <c r="N255">
        <v>2</v>
      </c>
      <c r="O255" t="s">
        <v>165</v>
      </c>
      <c r="P255" t="s">
        <v>164</v>
      </c>
      <c r="Q255">
        <f>INDEX('Lister og genveje'!$E$39:$I$46,MATCH(M255,'Lister og genveje'!$D$39:$D$46,0),MATCH(P255,'Lister og genveje'!$E$38:$I$38,0),1)</f>
        <v>15</v>
      </c>
      <c r="R255">
        <f>HLOOKUP(O255,'Lister og genveje'!$E$50:$G$52,2,0)</f>
        <v>10</v>
      </c>
      <c r="S255">
        <f>HLOOKUP(O255,'Lister og genveje'!$E$50:$G$52,3,0)</f>
        <v>14</v>
      </c>
      <c r="T255">
        <f>VLOOKUP(M255,'Lister og genveje'!$D$39:$J$46,7,0)</f>
        <v>0.5</v>
      </c>
    </row>
    <row r="256" spans="12:20">
      <c r="L256" t="str">
        <f t="shared" si="5"/>
        <v>IEC 947-2</v>
      </c>
      <c r="M256" t="s">
        <v>151</v>
      </c>
      <c r="N256">
        <v>3</v>
      </c>
      <c r="O256" t="s">
        <v>165</v>
      </c>
      <c r="P256" t="s">
        <v>164</v>
      </c>
      <c r="Q256">
        <f>INDEX('Lister og genveje'!$E$39:$I$46,MATCH(M256,'Lister og genveje'!$D$39:$D$46,0),MATCH(P256,'Lister og genveje'!$E$38:$I$38,0),1)</f>
        <v>15</v>
      </c>
      <c r="R256">
        <f>HLOOKUP(O256,'Lister og genveje'!$E$50:$G$52,2,0)</f>
        <v>10</v>
      </c>
      <c r="S256">
        <f>HLOOKUP(O256,'Lister og genveje'!$E$50:$G$52,3,0)</f>
        <v>14</v>
      </c>
      <c r="T256">
        <f>VLOOKUP(M256,'Lister og genveje'!$D$39:$J$46,7,0)</f>
        <v>0.5</v>
      </c>
    </row>
    <row r="257" spans="12:20">
      <c r="L257" t="str">
        <f t="shared" si="5"/>
        <v>IEC 947-2</v>
      </c>
      <c r="M257" t="s">
        <v>151</v>
      </c>
      <c r="N257">
        <v>4</v>
      </c>
      <c r="O257" t="s">
        <v>165</v>
      </c>
      <c r="P257" t="s">
        <v>164</v>
      </c>
      <c r="Q257">
        <f>INDEX('Lister og genveje'!$E$39:$I$46,MATCH(M257,'Lister og genveje'!$D$39:$D$46,0),MATCH(P257,'Lister og genveje'!$E$38:$I$38,0),1)</f>
        <v>15</v>
      </c>
      <c r="R257">
        <f>HLOOKUP(O257,'Lister og genveje'!$E$50:$G$52,2,0)</f>
        <v>10</v>
      </c>
      <c r="S257">
        <f>HLOOKUP(O257,'Lister og genveje'!$E$50:$G$52,3,0)</f>
        <v>14</v>
      </c>
      <c r="T257">
        <f>VLOOKUP(M257,'Lister og genveje'!$D$39:$J$46,7,0)</f>
        <v>0.5</v>
      </c>
    </row>
    <row r="258" spans="12:20">
      <c r="L258" t="str">
        <f t="shared" si="5"/>
        <v>IEC 947-2</v>
      </c>
      <c r="M258" t="s">
        <v>151</v>
      </c>
      <c r="N258">
        <v>6</v>
      </c>
      <c r="O258" t="s">
        <v>165</v>
      </c>
      <c r="P258" t="s">
        <v>164</v>
      </c>
      <c r="Q258">
        <f>INDEX('Lister og genveje'!$E$39:$I$46,MATCH(M258,'Lister og genveje'!$D$39:$D$46,0),MATCH(P258,'Lister og genveje'!$E$38:$I$38,0),1)</f>
        <v>15</v>
      </c>
      <c r="R258">
        <f>HLOOKUP(O258,'Lister og genveje'!$E$50:$G$52,2,0)</f>
        <v>10</v>
      </c>
      <c r="S258">
        <f>HLOOKUP(O258,'Lister og genveje'!$E$50:$G$52,3,0)</f>
        <v>14</v>
      </c>
      <c r="T258">
        <f>VLOOKUP(M258,'Lister og genveje'!$D$39:$J$46,7,0)</f>
        <v>0.5</v>
      </c>
    </row>
    <row r="259" spans="12:20">
      <c r="L259" t="str">
        <f t="shared" si="5"/>
        <v>IEC 947-2</v>
      </c>
      <c r="M259" t="s">
        <v>151</v>
      </c>
      <c r="N259">
        <v>10</v>
      </c>
      <c r="O259" t="s">
        <v>165</v>
      </c>
      <c r="P259" t="s">
        <v>164</v>
      </c>
      <c r="Q259">
        <f>INDEX('Lister og genveje'!$E$39:$I$46,MATCH(M259,'Lister og genveje'!$D$39:$D$46,0),MATCH(P259,'Lister og genveje'!$E$38:$I$38,0),1)</f>
        <v>15</v>
      </c>
      <c r="R259">
        <f>HLOOKUP(O259,'Lister og genveje'!$E$50:$G$52,2,0)</f>
        <v>10</v>
      </c>
      <c r="S259">
        <f>HLOOKUP(O259,'Lister og genveje'!$E$50:$G$52,3,0)</f>
        <v>14</v>
      </c>
      <c r="T259">
        <f>VLOOKUP(M259,'Lister og genveje'!$D$39:$J$46,7,0)</f>
        <v>0.5</v>
      </c>
    </row>
    <row r="260" spans="12:20">
      <c r="L260" t="str">
        <f t="shared" si="5"/>
        <v>IEC 947-2</v>
      </c>
      <c r="M260" t="s">
        <v>151</v>
      </c>
      <c r="N260">
        <v>13</v>
      </c>
      <c r="O260" t="s">
        <v>165</v>
      </c>
      <c r="P260" t="s">
        <v>164</v>
      </c>
      <c r="Q260">
        <f>INDEX('Lister og genveje'!$E$39:$I$46,MATCH(M260,'Lister og genveje'!$D$39:$D$46,0),MATCH(P260,'Lister og genveje'!$E$38:$I$38,0),1)</f>
        <v>15</v>
      </c>
      <c r="R260">
        <f>HLOOKUP(O260,'Lister og genveje'!$E$50:$G$52,2,0)</f>
        <v>10</v>
      </c>
      <c r="S260">
        <f>HLOOKUP(O260,'Lister og genveje'!$E$50:$G$52,3,0)</f>
        <v>14</v>
      </c>
      <c r="T260">
        <f>VLOOKUP(M260,'Lister og genveje'!$D$39:$J$46,7,0)</f>
        <v>0.5</v>
      </c>
    </row>
    <row r="261" spans="12:20">
      <c r="L261" t="str">
        <f t="shared" si="5"/>
        <v>IEC 947-2</v>
      </c>
      <c r="M261" t="s">
        <v>151</v>
      </c>
      <c r="N261">
        <v>16</v>
      </c>
      <c r="O261" t="s">
        <v>165</v>
      </c>
      <c r="P261" t="s">
        <v>164</v>
      </c>
      <c r="Q261">
        <f>INDEX('Lister og genveje'!$E$39:$I$46,MATCH(M261,'Lister og genveje'!$D$39:$D$46,0),MATCH(P261,'Lister og genveje'!$E$38:$I$38,0),1)</f>
        <v>15</v>
      </c>
      <c r="R261">
        <f>HLOOKUP(O261,'Lister og genveje'!$E$50:$G$52,2,0)</f>
        <v>10</v>
      </c>
      <c r="S261">
        <f>HLOOKUP(O261,'Lister og genveje'!$E$50:$G$52,3,0)</f>
        <v>14</v>
      </c>
      <c r="T261">
        <f>VLOOKUP(M261,'Lister og genveje'!$D$39:$J$46,7,0)</f>
        <v>0.5</v>
      </c>
    </row>
    <row r="262" spans="12:20">
      <c r="L262" t="str">
        <f t="shared" si="5"/>
        <v>IEC 947-2</v>
      </c>
      <c r="M262" t="s">
        <v>151</v>
      </c>
      <c r="N262">
        <v>20</v>
      </c>
      <c r="O262" t="s">
        <v>165</v>
      </c>
      <c r="P262" t="s">
        <v>164</v>
      </c>
      <c r="Q262">
        <f>INDEX('Lister og genveje'!$E$39:$I$46,MATCH(M262,'Lister og genveje'!$D$39:$D$46,0),MATCH(P262,'Lister og genveje'!$E$38:$I$38,0),1)</f>
        <v>15</v>
      </c>
      <c r="R262">
        <f>HLOOKUP(O262,'Lister og genveje'!$E$50:$G$52,2,0)</f>
        <v>10</v>
      </c>
      <c r="S262">
        <f>HLOOKUP(O262,'Lister og genveje'!$E$50:$G$52,3,0)</f>
        <v>14</v>
      </c>
      <c r="T262">
        <f>VLOOKUP(M262,'Lister og genveje'!$D$39:$J$46,7,0)</f>
        <v>0.5</v>
      </c>
    </row>
    <row r="263" spans="12:20">
      <c r="L263" t="str">
        <f t="shared" si="5"/>
        <v>IEC 947-2</v>
      </c>
      <c r="M263" t="s">
        <v>151</v>
      </c>
      <c r="N263">
        <v>25</v>
      </c>
      <c r="O263" t="s">
        <v>165</v>
      </c>
      <c r="P263" t="s">
        <v>164</v>
      </c>
      <c r="Q263">
        <f>INDEX('Lister og genveje'!$E$39:$I$46,MATCH(M263,'Lister og genveje'!$D$39:$D$46,0),MATCH(P263,'Lister og genveje'!$E$38:$I$38,0),1)</f>
        <v>15</v>
      </c>
      <c r="R263">
        <f>HLOOKUP(O263,'Lister og genveje'!$E$50:$G$52,2,0)</f>
        <v>10</v>
      </c>
      <c r="S263">
        <f>HLOOKUP(O263,'Lister og genveje'!$E$50:$G$52,3,0)</f>
        <v>14</v>
      </c>
      <c r="T263">
        <f>VLOOKUP(M263,'Lister og genveje'!$D$39:$J$46,7,0)</f>
        <v>0.5</v>
      </c>
    </row>
    <row r="264" spans="12:20">
      <c r="L264" t="str">
        <f t="shared" si="5"/>
        <v>IEC 947-2</v>
      </c>
      <c r="M264" t="s">
        <v>151</v>
      </c>
      <c r="N264">
        <v>32</v>
      </c>
      <c r="O264" t="s">
        <v>165</v>
      </c>
      <c r="P264" t="s">
        <v>164</v>
      </c>
      <c r="Q264">
        <f>INDEX('Lister og genveje'!$E$39:$I$46,MATCH(M264,'Lister og genveje'!$D$39:$D$46,0),MATCH(P264,'Lister og genveje'!$E$38:$I$38,0),1)</f>
        <v>15</v>
      </c>
      <c r="R264">
        <f>HLOOKUP(O264,'Lister og genveje'!$E$50:$G$52,2,0)</f>
        <v>10</v>
      </c>
      <c r="S264">
        <f>HLOOKUP(O264,'Lister og genveje'!$E$50:$G$52,3,0)</f>
        <v>14</v>
      </c>
      <c r="T264">
        <f>VLOOKUP(M264,'Lister og genveje'!$D$39:$J$46,7,0)</f>
        <v>0.5</v>
      </c>
    </row>
    <row r="265" spans="12:20">
      <c r="L265" t="str">
        <f t="shared" si="5"/>
        <v>IEC 947-2</v>
      </c>
      <c r="M265" t="s">
        <v>151</v>
      </c>
      <c r="N265">
        <v>40</v>
      </c>
      <c r="O265" t="s">
        <v>165</v>
      </c>
      <c r="P265" t="s">
        <v>164</v>
      </c>
      <c r="Q265">
        <f>INDEX('Lister og genveje'!$E$39:$I$46,MATCH(M265,'Lister og genveje'!$D$39:$D$46,0),MATCH(P265,'Lister og genveje'!$E$38:$I$38,0),1)</f>
        <v>15</v>
      </c>
      <c r="R265">
        <f>HLOOKUP(O265,'Lister og genveje'!$E$50:$G$52,2,0)</f>
        <v>10</v>
      </c>
      <c r="S265">
        <f>HLOOKUP(O265,'Lister og genveje'!$E$50:$G$52,3,0)</f>
        <v>14</v>
      </c>
      <c r="T265">
        <f>VLOOKUP(M265,'Lister og genveje'!$D$39:$J$46,7,0)</f>
        <v>0.5</v>
      </c>
    </row>
    <row r="266" spans="12:20">
      <c r="L266" t="str">
        <f t="shared" si="5"/>
        <v>IEC 947-2</v>
      </c>
      <c r="M266" t="s">
        <v>151</v>
      </c>
      <c r="N266">
        <v>50</v>
      </c>
      <c r="O266" t="s">
        <v>165</v>
      </c>
      <c r="P266" t="s">
        <v>164</v>
      </c>
      <c r="Q266">
        <f>INDEX('Lister og genveje'!$E$39:$I$46,MATCH(M266,'Lister og genveje'!$D$39:$D$46,0),MATCH(P266,'Lister og genveje'!$E$38:$I$38,0),1)</f>
        <v>15</v>
      </c>
      <c r="R266">
        <f>HLOOKUP(O266,'Lister og genveje'!$E$50:$G$52,2,0)</f>
        <v>10</v>
      </c>
      <c r="S266">
        <f>HLOOKUP(O266,'Lister og genveje'!$E$50:$G$52,3,0)</f>
        <v>14</v>
      </c>
      <c r="T266">
        <f>VLOOKUP(M266,'Lister og genveje'!$D$39:$J$46,7,0)</f>
        <v>0.5</v>
      </c>
    </row>
    <row r="267" spans="12:20">
      <c r="L267" t="str">
        <f t="shared" si="5"/>
        <v>IEC 947-2</v>
      </c>
      <c r="M267" t="s">
        <v>151</v>
      </c>
      <c r="N267">
        <v>63</v>
      </c>
      <c r="O267" t="s">
        <v>165</v>
      </c>
      <c r="P267" t="s">
        <v>164</v>
      </c>
      <c r="Q267">
        <f>INDEX('Lister og genveje'!$E$39:$I$46,MATCH(M267,'Lister og genveje'!$D$39:$D$46,0),MATCH(P267,'Lister og genveje'!$E$38:$I$38,0),1)</f>
        <v>15</v>
      </c>
      <c r="R267">
        <f>HLOOKUP(O267,'Lister og genveje'!$E$50:$G$52,2,0)</f>
        <v>10</v>
      </c>
      <c r="S267">
        <f>HLOOKUP(O267,'Lister og genveje'!$E$50:$G$52,3,0)</f>
        <v>14</v>
      </c>
      <c r="T267">
        <f>VLOOKUP(M267,'Lister og genveje'!$D$39:$J$46,7,0)</f>
        <v>0.5</v>
      </c>
    </row>
    <row r="268" spans="12:20">
      <c r="L268" t="str">
        <f t="shared" si="5"/>
        <v>IEC 947-2</v>
      </c>
      <c r="M268" t="s">
        <v>151</v>
      </c>
      <c r="N268">
        <v>80</v>
      </c>
      <c r="O268" t="s">
        <v>165</v>
      </c>
      <c r="P268" t="s">
        <v>164</v>
      </c>
      <c r="Q268">
        <f>INDEX('Lister og genveje'!$E$39:$I$46,MATCH(M268,'Lister og genveje'!$D$39:$D$46,0),MATCH(P268,'Lister og genveje'!$E$38:$I$38,0),1)</f>
        <v>15</v>
      </c>
      <c r="R268">
        <f>HLOOKUP(O268,'Lister og genveje'!$E$50:$G$52,2,0)</f>
        <v>10</v>
      </c>
      <c r="S268">
        <f>HLOOKUP(O268,'Lister og genveje'!$E$50:$G$52,3,0)</f>
        <v>14</v>
      </c>
      <c r="T268">
        <f>VLOOKUP(M268,'Lister og genveje'!$D$39:$J$46,7,0)</f>
        <v>0.5</v>
      </c>
    </row>
    <row r="269" spans="12:20">
      <c r="L269" t="str">
        <f t="shared" si="5"/>
        <v>IEC 947-2</v>
      </c>
      <c r="M269" t="s">
        <v>151</v>
      </c>
      <c r="N269">
        <v>100</v>
      </c>
      <c r="O269" t="s">
        <v>165</v>
      </c>
      <c r="P269" t="s">
        <v>164</v>
      </c>
      <c r="Q269">
        <f>INDEX('Lister og genveje'!$E$39:$I$46,MATCH(M269,'Lister og genveje'!$D$39:$D$46,0),MATCH(P269,'Lister og genveje'!$E$38:$I$38,0),1)</f>
        <v>15</v>
      </c>
      <c r="R269">
        <f>HLOOKUP(O269,'Lister og genveje'!$E$50:$G$52,2,0)</f>
        <v>10</v>
      </c>
      <c r="S269">
        <f>HLOOKUP(O269,'Lister og genveje'!$E$50:$G$52,3,0)</f>
        <v>14</v>
      </c>
      <c r="T269">
        <f>VLOOKUP(M269,'Lister og genveje'!$D$39:$J$46,7,0)</f>
        <v>0.5</v>
      </c>
    </row>
    <row r="270" spans="12:20">
      <c r="L270" t="str">
        <f t="shared" si="5"/>
        <v>IEC 947-2</v>
      </c>
      <c r="M270" t="s">
        <v>151</v>
      </c>
      <c r="N270">
        <v>125</v>
      </c>
      <c r="O270" t="s">
        <v>165</v>
      </c>
      <c r="P270" t="s">
        <v>164</v>
      </c>
      <c r="Q270">
        <f>INDEX('Lister og genveje'!$E$39:$I$46,MATCH(M270,'Lister og genveje'!$D$39:$D$46,0),MATCH(P270,'Lister og genveje'!$E$38:$I$38,0),1)</f>
        <v>15</v>
      </c>
      <c r="R270">
        <f>HLOOKUP(O270,'Lister og genveje'!$E$50:$G$52,2,0)</f>
        <v>10</v>
      </c>
      <c r="S270">
        <f>HLOOKUP(O270,'Lister og genveje'!$E$50:$G$52,3,0)</f>
        <v>14</v>
      </c>
      <c r="T270">
        <f>VLOOKUP(M270,'Lister og genveje'!$D$39:$J$46,7,0)</f>
        <v>0.5</v>
      </c>
    </row>
    <row r="271" spans="12:20">
      <c r="L271" t="str">
        <f t="shared" si="5"/>
        <v>IEC 947-2</v>
      </c>
      <c r="M271" t="s">
        <v>151</v>
      </c>
      <c r="N271">
        <v>1</v>
      </c>
      <c r="O271" t="s">
        <v>165</v>
      </c>
      <c r="P271" t="s">
        <v>166</v>
      </c>
      <c r="Q271">
        <f>INDEX('Lister og genveje'!$E$39:$I$46,MATCH(M271,'Lister og genveje'!$D$39:$D$46,0),MATCH(P271,'Lister og genveje'!$E$38:$I$38,0),1)</f>
        <v>30</v>
      </c>
      <c r="R271">
        <f>HLOOKUP(O271,'Lister og genveje'!$E$50:$G$52,2,0)</f>
        <v>10</v>
      </c>
      <c r="S271">
        <f>HLOOKUP(O271,'Lister og genveje'!$E$50:$G$52,3,0)</f>
        <v>14</v>
      </c>
      <c r="T271">
        <f>VLOOKUP(M271,'Lister og genveje'!$D$39:$J$46,7,0)</f>
        <v>0.5</v>
      </c>
    </row>
    <row r="272" spans="12:20">
      <c r="L272" t="str">
        <f t="shared" si="5"/>
        <v>IEC 947-2</v>
      </c>
      <c r="M272" t="s">
        <v>151</v>
      </c>
      <c r="N272">
        <v>2</v>
      </c>
      <c r="O272" t="s">
        <v>165</v>
      </c>
      <c r="P272" t="s">
        <v>166</v>
      </c>
      <c r="Q272">
        <f>INDEX('Lister og genveje'!$E$39:$I$46,MATCH(M272,'Lister og genveje'!$D$39:$D$46,0),MATCH(P272,'Lister og genveje'!$E$38:$I$38,0),1)</f>
        <v>30</v>
      </c>
      <c r="R272">
        <f>HLOOKUP(O272,'Lister og genveje'!$E$50:$G$52,2,0)</f>
        <v>10</v>
      </c>
      <c r="S272">
        <f>HLOOKUP(O272,'Lister og genveje'!$E$50:$G$52,3,0)</f>
        <v>14</v>
      </c>
      <c r="T272">
        <f>VLOOKUP(M272,'Lister og genveje'!$D$39:$J$46,7,0)</f>
        <v>0.5</v>
      </c>
    </row>
    <row r="273" spans="12:20">
      <c r="L273" t="str">
        <f t="shared" si="5"/>
        <v>IEC 947-2</v>
      </c>
      <c r="M273" t="s">
        <v>151</v>
      </c>
      <c r="N273">
        <v>3</v>
      </c>
      <c r="O273" t="s">
        <v>165</v>
      </c>
      <c r="P273" t="s">
        <v>166</v>
      </c>
      <c r="Q273">
        <f>INDEX('Lister og genveje'!$E$39:$I$46,MATCH(M273,'Lister og genveje'!$D$39:$D$46,0),MATCH(P273,'Lister og genveje'!$E$38:$I$38,0),1)</f>
        <v>30</v>
      </c>
      <c r="R273">
        <f>HLOOKUP(O273,'Lister og genveje'!$E$50:$G$52,2,0)</f>
        <v>10</v>
      </c>
      <c r="S273">
        <f>HLOOKUP(O273,'Lister og genveje'!$E$50:$G$52,3,0)</f>
        <v>14</v>
      </c>
      <c r="T273">
        <f>VLOOKUP(M273,'Lister og genveje'!$D$39:$J$46,7,0)</f>
        <v>0.5</v>
      </c>
    </row>
    <row r="274" spans="12:20">
      <c r="L274" t="str">
        <f t="shared" si="5"/>
        <v>IEC 947-2</v>
      </c>
      <c r="M274" t="s">
        <v>151</v>
      </c>
      <c r="N274">
        <v>4</v>
      </c>
      <c r="O274" t="s">
        <v>165</v>
      </c>
      <c r="P274" t="s">
        <v>166</v>
      </c>
      <c r="Q274">
        <f>INDEX('Lister og genveje'!$E$39:$I$46,MATCH(M274,'Lister og genveje'!$D$39:$D$46,0),MATCH(P274,'Lister og genveje'!$E$38:$I$38,0),1)</f>
        <v>30</v>
      </c>
      <c r="R274">
        <f>HLOOKUP(O274,'Lister og genveje'!$E$50:$G$52,2,0)</f>
        <v>10</v>
      </c>
      <c r="S274">
        <f>HLOOKUP(O274,'Lister og genveje'!$E$50:$G$52,3,0)</f>
        <v>14</v>
      </c>
      <c r="T274">
        <f>VLOOKUP(M274,'Lister og genveje'!$D$39:$J$46,7,0)</f>
        <v>0.5</v>
      </c>
    </row>
    <row r="275" spans="12:20">
      <c r="L275" t="str">
        <f t="shared" si="5"/>
        <v>IEC 947-2</v>
      </c>
      <c r="M275" t="s">
        <v>151</v>
      </c>
      <c r="N275">
        <v>6</v>
      </c>
      <c r="O275" t="s">
        <v>165</v>
      </c>
      <c r="P275" t="s">
        <v>166</v>
      </c>
      <c r="Q275">
        <f>INDEX('Lister og genveje'!$E$39:$I$46,MATCH(M275,'Lister og genveje'!$D$39:$D$46,0),MATCH(P275,'Lister og genveje'!$E$38:$I$38,0),1)</f>
        <v>30</v>
      </c>
      <c r="R275">
        <f>HLOOKUP(O275,'Lister og genveje'!$E$50:$G$52,2,0)</f>
        <v>10</v>
      </c>
      <c r="S275">
        <f>HLOOKUP(O275,'Lister og genveje'!$E$50:$G$52,3,0)</f>
        <v>14</v>
      </c>
      <c r="T275">
        <f>VLOOKUP(M275,'Lister og genveje'!$D$39:$J$46,7,0)</f>
        <v>0.5</v>
      </c>
    </row>
    <row r="276" spans="12:20">
      <c r="L276" t="str">
        <f t="shared" si="5"/>
        <v>IEC 947-2</v>
      </c>
      <c r="M276" t="s">
        <v>151</v>
      </c>
      <c r="N276">
        <v>10</v>
      </c>
      <c r="O276" t="s">
        <v>165</v>
      </c>
      <c r="P276" t="s">
        <v>166</v>
      </c>
      <c r="Q276">
        <f>INDEX('Lister og genveje'!$E$39:$I$46,MATCH(M276,'Lister og genveje'!$D$39:$D$46,0),MATCH(P276,'Lister og genveje'!$E$38:$I$38,0),1)</f>
        <v>30</v>
      </c>
      <c r="R276">
        <f>HLOOKUP(O276,'Lister og genveje'!$E$50:$G$52,2,0)</f>
        <v>10</v>
      </c>
      <c r="S276">
        <f>HLOOKUP(O276,'Lister og genveje'!$E$50:$G$52,3,0)</f>
        <v>14</v>
      </c>
      <c r="T276">
        <f>VLOOKUP(M276,'Lister og genveje'!$D$39:$J$46,7,0)</f>
        <v>0.5</v>
      </c>
    </row>
    <row r="277" spans="12:20">
      <c r="L277" t="str">
        <f t="shared" si="5"/>
        <v>IEC 947-2</v>
      </c>
      <c r="M277" t="s">
        <v>151</v>
      </c>
      <c r="N277">
        <v>13</v>
      </c>
      <c r="O277" t="s">
        <v>165</v>
      </c>
      <c r="P277" t="s">
        <v>166</v>
      </c>
      <c r="Q277">
        <f>INDEX('Lister og genveje'!$E$39:$I$46,MATCH(M277,'Lister og genveje'!$D$39:$D$46,0),MATCH(P277,'Lister og genveje'!$E$38:$I$38,0),1)</f>
        <v>30</v>
      </c>
      <c r="R277">
        <f>HLOOKUP(O277,'Lister og genveje'!$E$50:$G$52,2,0)</f>
        <v>10</v>
      </c>
      <c r="S277">
        <f>HLOOKUP(O277,'Lister og genveje'!$E$50:$G$52,3,0)</f>
        <v>14</v>
      </c>
      <c r="T277">
        <f>VLOOKUP(M277,'Lister og genveje'!$D$39:$J$46,7,0)</f>
        <v>0.5</v>
      </c>
    </row>
    <row r="278" spans="12:20">
      <c r="L278" t="str">
        <f t="shared" si="5"/>
        <v>IEC 947-2</v>
      </c>
      <c r="M278" t="s">
        <v>151</v>
      </c>
      <c r="N278">
        <v>16</v>
      </c>
      <c r="O278" t="s">
        <v>165</v>
      </c>
      <c r="P278" t="s">
        <v>166</v>
      </c>
      <c r="Q278">
        <f>INDEX('Lister og genveje'!$E$39:$I$46,MATCH(M278,'Lister og genveje'!$D$39:$D$46,0),MATCH(P278,'Lister og genveje'!$E$38:$I$38,0),1)</f>
        <v>30</v>
      </c>
      <c r="R278">
        <f>HLOOKUP(O278,'Lister og genveje'!$E$50:$G$52,2,0)</f>
        <v>10</v>
      </c>
      <c r="S278">
        <f>HLOOKUP(O278,'Lister og genveje'!$E$50:$G$52,3,0)</f>
        <v>14</v>
      </c>
      <c r="T278">
        <f>VLOOKUP(M278,'Lister og genveje'!$D$39:$J$46,7,0)</f>
        <v>0.5</v>
      </c>
    </row>
    <row r="279" spans="12:20">
      <c r="L279" t="str">
        <f t="shared" si="5"/>
        <v>IEC 947-2</v>
      </c>
      <c r="M279" t="s">
        <v>151</v>
      </c>
      <c r="N279">
        <v>20</v>
      </c>
      <c r="O279" t="s">
        <v>165</v>
      </c>
      <c r="P279" t="s">
        <v>166</v>
      </c>
      <c r="Q279">
        <f>INDEX('Lister og genveje'!$E$39:$I$46,MATCH(M279,'Lister og genveje'!$D$39:$D$46,0),MATCH(P279,'Lister og genveje'!$E$38:$I$38,0),1)</f>
        <v>30</v>
      </c>
      <c r="R279">
        <f>HLOOKUP(O279,'Lister og genveje'!$E$50:$G$52,2,0)</f>
        <v>10</v>
      </c>
      <c r="S279">
        <f>HLOOKUP(O279,'Lister og genveje'!$E$50:$G$52,3,0)</f>
        <v>14</v>
      </c>
      <c r="T279">
        <f>VLOOKUP(M279,'Lister og genveje'!$D$39:$J$46,7,0)</f>
        <v>0.5</v>
      </c>
    </row>
    <row r="280" spans="12:20">
      <c r="L280" t="str">
        <f t="shared" si="5"/>
        <v>IEC 947-2</v>
      </c>
      <c r="M280" t="s">
        <v>151</v>
      </c>
      <c r="N280">
        <v>25</v>
      </c>
      <c r="O280" t="s">
        <v>165</v>
      </c>
      <c r="P280" t="s">
        <v>166</v>
      </c>
      <c r="Q280">
        <f>INDEX('Lister og genveje'!$E$39:$I$46,MATCH(M280,'Lister og genveje'!$D$39:$D$46,0),MATCH(P280,'Lister og genveje'!$E$38:$I$38,0),1)</f>
        <v>30</v>
      </c>
      <c r="R280">
        <f>HLOOKUP(O280,'Lister og genveje'!$E$50:$G$52,2,0)</f>
        <v>10</v>
      </c>
      <c r="S280">
        <f>HLOOKUP(O280,'Lister og genveje'!$E$50:$G$52,3,0)</f>
        <v>14</v>
      </c>
      <c r="T280">
        <f>VLOOKUP(M280,'Lister og genveje'!$D$39:$J$46,7,0)</f>
        <v>0.5</v>
      </c>
    </row>
    <row r="281" spans="12:20">
      <c r="L281" t="str">
        <f t="shared" si="5"/>
        <v>IEC 947-2</v>
      </c>
      <c r="M281" t="s">
        <v>151</v>
      </c>
      <c r="N281">
        <v>32</v>
      </c>
      <c r="O281" t="s">
        <v>165</v>
      </c>
      <c r="P281" t="s">
        <v>166</v>
      </c>
      <c r="Q281">
        <f>INDEX('Lister og genveje'!$E$39:$I$46,MATCH(M281,'Lister og genveje'!$D$39:$D$46,0),MATCH(P281,'Lister og genveje'!$E$38:$I$38,0),1)</f>
        <v>30</v>
      </c>
      <c r="R281">
        <f>HLOOKUP(O281,'Lister og genveje'!$E$50:$G$52,2,0)</f>
        <v>10</v>
      </c>
      <c r="S281">
        <f>HLOOKUP(O281,'Lister og genveje'!$E$50:$G$52,3,0)</f>
        <v>14</v>
      </c>
      <c r="T281">
        <f>VLOOKUP(M281,'Lister og genveje'!$D$39:$J$46,7,0)</f>
        <v>0.5</v>
      </c>
    </row>
    <row r="282" spans="12:20">
      <c r="L282" t="str">
        <f t="shared" si="5"/>
        <v>IEC 947-2</v>
      </c>
      <c r="M282" t="s">
        <v>151</v>
      </c>
      <c r="N282">
        <v>40</v>
      </c>
      <c r="O282" t="s">
        <v>165</v>
      </c>
      <c r="P282" t="s">
        <v>166</v>
      </c>
      <c r="Q282">
        <f>INDEX('Lister og genveje'!$E$39:$I$46,MATCH(M282,'Lister og genveje'!$D$39:$D$46,0),MATCH(P282,'Lister og genveje'!$E$38:$I$38,0),1)</f>
        <v>30</v>
      </c>
      <c r="R282">
        <f>HLOOKUP(O282,'Lister og genveje'!$E$50:$G$52,2,0)</f>
        <v>10</v>
      </c>
      <c r="S282">
        <f>HLOOKUP(O282,'Lister og genveje'!$E$50:$G$52,3,0)</f>
        <v>14</v>
      </c>
      <c r="T282">
        <f>VLOOKUP(M282,'Lister og genveje'!$D$39:$J$46,7,0)</f>
        <v>0.5</v>
      </c>
    </row>
    <row r="283" spans="12:20">
      <c r="L283" t="str">
        <f t="shared" si="5"/>
        <v>IEC 947-2</v>
      </c>
      <c r="M283" t="s">
        <v>151</v>
      </c>
      <c r="N283">
        <v>50</v>
      </c>
      <c r="O283" t="s">
        <v>165</v>
      </c>
      <c r="P283" t="s">
        <v>166</v>
      </c>
      <c r="Q283">
        <f>INDEX('Lister og genveje'!$E$39:$I$46,MATCH(M283,'Lister og genveje'!$D$39:$D$46,0),MATCH(P283,'Lister og genveje'!$E$38:$I$38,0),1)</f>
        <v>30</v>
      </c>
      <c r="R283">
        <f>HLOOKUP(O283,'Lister og genveje'!$E$50:$G$52,2,0)</f>
        <v>10</v>
      </c>
      <c r="S283">
        <f>HLOOKUP(O283,'Lister og genveje'!$E$50:$G$52,3,0)</f>
        <v>14</v>
      </c>
      <c r="T283">
        <f>VLOOKUP(M283,'Lister og genveje'!$D$39:$J$46,7,0)</f>
        <v>0.5</v>
      </c>
    </row>
    <row r="284" spans="12:20">
      <c r="L284" t="str">
        <f t="shared" ref="L284:L311" si="6">$L$27</f>
        <v>IEC 947-2</v>
      </c>
      <c r="M284" t="s">
        <v>151</v>
      </c>
      <c r="N284">
        <v>63</v>
      </c>
      <c r="O284" t="s">
        <v>165</v>
      </c>
      <c r="P284" t="s">
        <v>166</v>
      </c>
      <c r="Q284">
        <f>INDEX('Lister og genveje'!$E$39:$I$46,MATCH(M284,'Lister og genveje'!$D$39:$D$46,0),MATCH(P284,'Lister og genveje'!$E$38:$I$38,0),1)</f>
        <v>30</v>
      </c>
      <c r="R284">
        <f>HLOOKUP(O284,'Lister og genveje'!$E$50:$G$52,2,0)</f>
        <v>10</v>
      </c>
      <c r="S284">
        <f>HLOOKUP(O284,'Lister og genveje'!$E$50:$G$52,3,0)</f>
        <v>14</v>
      </c>
      <c r="T284">
        <f>VLOOKUP(M284,'Lister og genveje'!$D$39:$J$46,7,0)</f>
        <v>0.5</v>
      </c>
    </row>
    <row r="285" spans="12:20">
      <c r="L285" t="str">
        <f t="shared" si="6"/>
        <v>IEC 947-2</v>
      </c>
      <c r="M285" t="s">
        <v>151</v>
      </c>
      <c r="N285">
        <v>80</v>
      </c>
      <c r="O285" t="s">
        <v>165</v>
      </c>
      <c r="P285" t="s">
        <v>166</v>
      </c>
      <c r="Q285">
        <f>INDEX('Lister og genveje'!$E$39:$I$46,MATCH(M285,'Lister og genveje'!$D$39:$D$46,0),MATCH(P285,'Lister og genveje'!$E$38:$I$38,0),1)</f>
        <v>30</v>
      </c>
      <c r="R285">
        <f>HLOOKUP(O285,'Lister og genveje'!$E$50:$G$52,2,0)</f>
        <v>10</v>
      </c>
      <c r="S285">
        <f>HLOOKUP(O285,'Lister og genveje'!$E$50:$G$52,3,0)</f>
        <v>14</v>
      </c>
      <c r="T285">
        <f>VLOOKUP(M285,'Lister og genveje'!$D$39:$J$46,7,0)</f>
        <v>0.5</v>
      </c>
    </row>
    <row r="286" spans="12:20">
      <c r="L286" t="str">
        <f t="shared" si="6"/>
        <v>IEC 947-2</v>
      </c>
      <c r="M286" t="s">
        <v>151</v>
      </c>
      <c r="N286">
        <v>100</v>
      </c>
      <c r="O286" t="s">
        <v>165</v>
      </c>
      <c r="P286" t="s">
        <v>166</v>
      </c>
      <c r="Q286">
        <f>INDEX('Lister og genveje'!$E$39:$I$46,MATCH(M286,'Lister og genveje'!$D$39:$D$46,0),MATCH(P286,'Lister og genveje'!$E$38:$I$38,0),1)</f>
        <v>30</v>
      </c>
      <c r="R286">
        <f>HLOOKUP(O286,'Lister og genveje'!$E$50:$G$52,2,0)</f>
        <v>10</v>
      </c>
      <c r="S286">
        <f>HLOOKUP(O286,'Lister og genveje'!$E$50:$G$52,3,0)</f>
        <v>14</v>
      </c>
      <c r="T286">
        <f>VLOOKUP(M286,'Lister og genveje'!$D$39:$J$46,7,0)</f>
        <v>0.5</v>
      </c>
    </row>
    <row r="287" spans="12:20">
      <c r="L287" t="str">
        <f t="shared" si="6"/>
        <v>IEC 947-2</v>
      </c>
      <c r="M287" t="s">
        <v>151</v>
      </c>
      <c r="N287">
        <v>125</v>
      </c>
      <c r="O287" t="s">
        <v>165</v>
      </c>
      <c r="P287" t="s">
        <v>166</v>
      </c>
      <c r="Q287">
        <f>INDEX('Lister og genveje'!$E$39:$I$46,MATCH(M287,'Lister og genveje'!$D$39:$D$46,0),MATCH(P287,'Lister og genveje'!$E$38:$I$38,0),1)</f>
        <v>30</v>
      </c>
      <c r="R287">
        <f>HLOOKUP(O287,'Lister og genveje'!$E$50:$G$52,2,0)</f>
        <v>10</v>
      </c>
      <c r="S287">
        <f>HLOOKUP(O287,'Lister og genveje'!$E$50:$G$52,3,0)</f>
        <v>14</v>
      </c>
      <c r="T287">
        <f>VLOOKUP(M287,'Lister og genveje'!$D$39:$J$46,7,0)</f>
        <v>0.5</v>
      </c>
    </row>
    <row r="288" spans="12:20">
      <c r="L288" t="str">
        <f t="shared" si="6"/>
        <v>IEC 947-2</v>
      </c>
      <c r="M288" t="s">
        <v>152</v>
      </c>
      <c r="N288">
        <v>10</v>
      </c>
      <c r="O288" t="s">
        <v>165</v>
      </c>
      <c r="P288" t="s">
        <v>164</v>
      </c>
      <c r="Q288">
        <f>INDEX('Lister og genveje'!$E$39:$I$46,MATCH(M288,'Lister og genveje'!$D$39:$D$46,0),MATCH(P288,'Lister og genveje'!$E$38:$I$38,0),1)</f>
        <v>4.5</v>
      </c>
      <c r="R288">
        <f>HLOOKUP(O288,'Lister og genveje'!$E$50:$G$52,2,0)</f>
        <v>10</v>
      </c>
      <c r="S288">
        <f>HLOOKUP(O288,'Lister og genveje'!$E$50:$G$52,3,0)</f>
        <v>14</v>
      </c>
      <c r="T288">
        <f>VLOOKUP(M288,'Lister og genveje'!$D$39:$J$46,7,0)</f>
        <v>0.75</v>
      </c>
    </row>
    <row r="289" spans="12:20">
      <c r="L289" t="str">
        <f t="shared" si="6"/>
        <v>IEC 947-2</v>
      </c>
      <c r="M289" t="s">
        <v>152</v>
      </c>
      <c r="N289">
        <v>13</v>
      </c>
      <c r="O289" t="s">
        <v>165</v>
      </c>
      <c r="P289" t="s">
        <v>164</v>
      </c>
      <c r="Q289">
        <f>INDEX('Lister og genveje'!$E$39:$I$46,MATCH(M289,'Lister og genveje'!$D$39:$D$46,0),MATCH(P289,'Lister og genveje'!$E$38:$I$38,0),1)</f>
        <v>4.5</v>
      </c>
      <c r="R289">
        <f>HLOOKUP(O289,'Lister og genveje'!$E$50:$G$52,2,0)</f>
        <v>10</v>
      </c>
      <c r="S289">
        <f>HLOOKUP(O289,'Lister og genveje'!$E$50:$G$52,3,0)</f>
        <v>14</v>
      </c>
      <c r="T289">
        <f>VLOOKUP(M289,'Lister og genveje'!$D$39:$J$46,7,0)</f>
        <v>0.75</v>
      </c>
    </row>
    <row r="290" spans="12:20">
      <c r="L290" t="str">
        <f t="shared" si="6"/>
        <v>IEC 947-2</v>
      </c>
      <c r="M290" t="s">
        <v>152</v>
      </c>
      <c r="N290">
        <v>16</v>
      </c>
      <c r="O290" t="s">
        <v>165</v>
      </c>
      <c r="P290" t="s">
        <v>164</v>
      </c>
      <c r="Q290">
        <f>INDEX('Lister og genveje'!$E$39:$I$46,MATCH(M290,'Lister og genveje'!$D$39:$D$46,0),MATCH(P290,'Lister og genveje'!$E$38:$I$38,0),1)</f>
        <v>4.5</v>
      </c>
      <c r="R290">
        <f>HLOOKUP(O290,'Lister og genveje'!$E$50:$G$52,2,0)</f>
        <v>10</v>
      </c>
      <c r="S290">
        <f>HLOOKUP(O290,'Lister og genveje'!$E$50:$G$52,3,0)</f>
        <v>14</v>
      </c>
      <c r="T290">
        <f>VLOOKUP(M290,'Lister og genveje'!$D$39:$J$46,7,0)</f>
        <v>0.75</v>
      </c>
    </row>
    <row r="291" spans="12:20">
      <c r="L291" t="str">
        <f t="shared" si="6"/>
        <v>IEC 947-2</v>
      </c>
      <c r="M291" t="s">
        <v>152</v>
      </c>
      <c r="N291">
        <v>20</v>
      </c>
      <c r="O291" t="s">
        <v>165</v>
      </c>
      <c r="P291" t="s">
        <v>164</v>
      </c>
      <c r="Q291">
        <f>INDEX('Lister og genveje'!$E$39:$I$46,MATCH(M291,'Lister og genveje'!$D$39:$D$46,0),MATCH(P291,'Lister og genveje'!$E$38:$I$38,0),1)</f>
        <v>4.5</v>
      </c>
      <c r="R291">
        <f>HLOOKUP(O291,'Lister og genveje'!$E$50:$G$52,2,0)</f>
        <v>10</v>
      </c>
      <c r="S291">
        <f>HLOOKUP(O291,'Lister og genveje'!$E$50:$G$52,3,0)</f>
        <v>14</v>
      </c>
      <c r="T291">
        <f>VLOOKUP(M291,'Lister og genveje'!$D$39:$J$46,7,0)</f>
        <v>0.75</v>
      </c>
    </row>
    <row r="292" spans="12:20">
      <c r="L292" t="str">
        <f t="shared" si="6"/>
        <v>IEC 947-2</v>
      </c>
      <c r="M292" t="s">
        <v>152</v>
      </c>
      <c r="N292">
        <v>25</v>
      </c>
      <c r="O292" t="s">
        <v>165</v>
      </c>
      <c r="P292" t="s">
        <v>164</v>
      </c>
      <c r="Q292">
        <f>INDEX('Lister og genveje'!$E$39:$I$46,MATCH(M292,'Lister og genveje'!$D$39:$D$46,0),MATCH(P292,'Lister og genveje'!$E$38:$I$38,0),1)</f>
        <v>4.5</v>
      </c>
      <c r="R292">
        <f>HLOOKUP(O292,'Lister og genveje'!$E$50:$G$52,2,0)</f>
        <v>10</v>
      </c>
      <c r="S292">
        <f>HLOOKUP(O292,'Lister og genveje'!$E$50:$G$52,3,0)</f>
        <v>14</v>
      </c>
      <c r="T292">
        <f>VLOOKUP(M292,'Lister og genveje'!$D$39:$J$46,7,0)</f>
        <v>0.75</v>
      </c>
    </row>
    <row r="293" spans="12:20">
      <c r="L293" t="str">
        <f t="shared" si="6"/>
        <v>IEC 947-2</v>
      </c>
      <c r="M293" t="s">
        <v>152</v>
      </c>
      <c r="N293">
        <v>32</v>
      </c>
      <c r="O293" t="s">
        <v>165</v>
      </c>
      <c r="P293" t="s">
        <v>164</v>
      </c>
      <c r="Q293">
        <f>INDEX('Lister og genveje'!$E$39:$I$46,MATCH(M293,'Lister og genveje'!$D$39:$D$46,0),MATCH(P293,'Lister og genveje'!$E$38:$I$38,0),1)</f>
        <v>4.5</v>
      </c>
      <c r="R293">
        <f>HLOOKUP(O293,'Lister og genveje'!$E$50:$G$52,2,0)</f>
        <v>10</v>
      </c>
      <c r="S293">
        <f>HLOOKUP(O293,'Lister og genveje'!$E$50:$G$52,3,0)</f>
        <v>14</v>
      </c>
      <c r="T293">
        <f>VLOOKUP(M293,'Lister og genveje'!$D$39:$J$46,7,0)</f>
        <v>0.75</v>
      </c>
    </row>
    <row r="294" spans="12:20">
      <c r="L294" t="str">
        <f t="shared" si="6"/>
        <v>IEC 947-2</v>
      </c>
      <c r="M294" t="s">
        <v>152</v>
      </c>
      <c r="N294">
        <v>40</v>
      </c>
      <c r="O294" t="s">
        <v>165</v>
      </c>
      <c r="P294" t="s">
        <v>164</v>
      </c>
      <c r="Q294">
        <f>INDEX('Lister og genveje'!$E$39:$I$46,MATCH(M294,'Lister og genveje'!$D$39:$D$46,0),MATCH(P294,'Lister og genveje'!$E$38:$I$38,0),1)</f>
        <v>4.5</v>
      </c>
      <c r="R294">
        <f>HLOOKUP(O294,'Lister og genveje'!$E$50:$G$52,2,0)</f>
        <v>10</v>
      </c>
      <c r="S294">
        <f>HLOOKUP(O294,'Lister og genveje'!$E$50:$G$52,3,0)</f>
        <v>14</v>
      </c>
      <c r="T294">
        <f>VLOOKUP(M294,'Lister og genveje'!$D$39:$J$46,7,0)</f>
        <v>0.75</v>
      </c>
    </row>
    <row r="295" spans="12:20">
      <c r="L295" t="str">
        <f t="shared" si="6"/>
        <v>IEC 947-2</v>
      </c>
      <c r="M295" t="s">
        <v>152</v>
      </c>
      <c r="N295">
        <v>50</v>
      </c>
      <c r="O295" t="s">
        <v>165</v>
      </c>
      <c r="P295" t="s">
        <v>164</v>
      </c>
      <c r="Q295">
        <f>INDEX('Lister og genveje'!$E$39:$I$46,MATCH(M295,'Lister og genveje'!$D$39:$D$46,0),MATCH(P295,'Lister og genveje'!$E$38:$I$38,0),1)</f>
        <v>4.5</v>
      </c>
      <c r="R295">
        <f>HLOOKUP(O295,'Lister og genveje'!$E$50:$G$52,2,0)</f>
        <v>10</v>
      </c>
      <c r="S295">
        <f>HLOOKUP(O295,'Lister og genveje'!$E$50:$G$52,3,0)</f>
        <v>14</v>
      </c>
      <c r="T295">
        <f>VLOOKUP(M295,'Lister og genveje'!$D$39:$J$46,7,0)</f>
        <v>0.75</v>
      </c>
    </row>
    <row r="296" spans="12:20">
      <c r="L296" t="str">
        <f t="shared" si="6"/>
        <v>IEC 947-2</v>
      </c>
      <c r="M296" t="s">
        <v>152</v>
      </c>
      <c r="N296">
        <v>63</v>
      </c>
      <c r="O296" t="s">
        <v>165</v>
      </c>
      <c r="P296" t="s">
        <v>164</v>
      </c>
      <c r="Q296">
        <f>INDEX('Lister og genveje'!$E$39:$I$46,MATCH(M296,'Lister og genveje'!$D$39:$D$46,0),MATCH(P296,'Lister og genveje'!$E$38:$I$38,0),1)</f>
        <v>4.5</v>
      </c>
      <c r="R296">
        <f>HLOOKUP(O296,'Lister og genveje'!$E$50:$G$52,2,0)</f>
        <v>10</v>
      </c>
      <c r="S296">
        <f>HLOOKUP(O296,'Lister og genveje'!$E$50:$G$52,3,0)</f>
        <v>14</v>
      </c>
      <c r="T296">
        <f>VLOOKUP(M296,'Lister og genveje'!$D$39:$J$46,7,0)</f>
        <v>0.75</v>
      </c>
    </row>
    <row r="297" spans="12:20">
      <c r="L297" t="str">
        <f t="shared" si="6"/>
        <v>IEC 947-2</v>
      </c>
      <c r="M297" t="s">
        <v>152</v>
      </c>
      <c r="N297">
        <v>80</v>
      </c>
      <c r="O297" t="s">
        <v>165</v>
      </c>
      <c r="P297" t="s">
        <v>164</v>
      </c>
      <c r="Q297">
        <f>INDEX('Lister og genveje'!$E$39:$I$46,MATCH(M297,'Lister og genveje'!$D$39:$D$46,0),MATCH(P297,'Lister og genveje'!$E$38:$I$38,0),1)</f>
        <v>4.5</v>
      </c>
      <c r="R297">
        <f>HLOOKUP(O297,'Lister og genveje'!$E$50:$G$52,2,0)</f>
        <v>10</v>
      </c>
      <c r="S297">
        <f>HLOOKUP(O297,'Lister og genveje'!$E$50:$G$52,3,0)</f>
        <v>14</v>
      </c>
      <c r="T297">
        <f>VLOOKUP(M297,'Lister og genveje'!$D$39:$J$46,7,0)</f>
        <v>0.75</v>
      </c>
    </row>
    <row r="298" spans="12:20">
      <c r="L298" t="str">
        <f t="shared" si="6"/>
        <v>IEC 947-2</v>
      </c>
      <c r="M298" t="s">
        <v>152</v>
      </c>
      <c r="N298">
        <v>100</v>
      </c>
      <c r="O298" t="s">
        <v>165</v>
      </c>
      <c r="P298" t="s">
        <v>164</v>
      </c>
      <c r="Q298">
        <f>INDEX('Lister og genveje'!$E$39:$I$46,MATCH(M298,'Lister og genveje'!$D$39:$D$46,0),MATCH(P298,'Lister og genveje'!$E$38:$I$38,0),1)</f>
        <v>4.5</v>
      </c>
      <c r="R298">
        <f>HLOOKUP(O298,'Lister og genveje'!$E$50:$G$52,2,0)</f>
        <v>10</v>
      </c>
      <c r="S298">
        <f>HLOOKUP(O298,'Lister og genveje'!$E$50:$G$52,3,0)</f>
        <v>14</v>
      </c>
      <c r="T298">
        <f>VLOOKUP(M298,'Lister og genveje'!$D$39:$J$46,7,0)</f>
        <v>0.75</v>
      </c>
    </row>
    <row r="299" spans="12:20">
      <c r="L299" t="str">
        <f t="shared" si="6"/>
        <v>IEC 947-2</v>
      </c>
      <c r="M299" t="s">
        <v>152</v>
      </c>
      <c r="N299">
        <v>125</v>
      </c>
      <c r="O299" t="s">
        <v>165</v>
      </c>
      <c r="P299" t="s">
        <v>164</v>
      </c>
      <c r="Q299">
        <f>INDEX('Lister og genveje'!$E$39:$I$46,MATCH(M299,'Lister og genveje'!$D$39:$D$46,0),MATCH(P299,'Lister og genveje'!$E$38:$I$38,0),1)</f>
        <v>4.5</v>
      </c>
      <c r="R299">
        <f>HLOOKUP(O299,'Lister og genveje'!$E$50:$G$52,2,0)</f>
        <v>10</v>
      </c>
      <c r="S299">
        <f>HLOOKUP(O299,'Lister og genveje'!$E$50:$G$52,3,0)</f>
        <v>14</v>
      </c>
      <c r="T299">
        <f>VLOOKUP(M299,'Lister og genveje'!$D$39:$J$46,7,0)</f>
        <v>0.75</v>
      </c>
    </row>
    <row r="300" spans="12:20">
      <c r="L300" t="str">
        <f t="shared" si="6"/>
        <v>IEC 947-2</v>
      </c>
      <c r="M300" t="s">
        <v>152</v>
      </c>
      <c r="N300">
        <v>10</v>
      </c>
      <c r="O300" t="s">
        <v>165</v>
      </c>
      <c r="P300" t="s">
        <v>166</v>
      </c>
      <c r="Q300">
        <f>INDEX('Lister og genveje'!$E$39:$I$46,MATCH(M300,'Lister og genveje'!$D$39:$D$46,0),MATCH(P300,'Lister og genveje'!$E$38:$I$38,0),1)</f>
        <v>25</v>
      </c>
      <c r="R300">
        <f>HLOOKUP(O300,'Lister og genveje'!$E$50:$G$52,2,0)</f>
        <v>10</v>
      </c>
      <c r="S300">
        <f>HLOOKUP(O300,'Lister og genveje'!$E$50:$G$52,3,0)</f>
        <v>14</v>
      </c>
      <c r="T300">
        <f>VLOOKUP(M300,'Lister og genveje'!$D$39:$J$46,7,0)</f>
        <v>0.75</v>
      </c>
    </row>
    <row r="301" spans="12:20">
      <c r="L301" t="str">
        <f t="shared" si="6"/>
        <v>IEC 947-2</v>
      </c>
      <c r="M301" t="s">
        <v>152</v>
      </c>
      <c r="N301">
        <v>13</v>
      </c>
      <c r="O301" t="s">
        <v>165</v>
      </c>
      <c r="P301" t="s">
        <v>166</v>
      </c>
      <c r="Q301">
        <f>INDEX('Lister og genveje'!$E$39:$I$46,MATCH(M301,'Lister og genveje'!$D$39:$D$46,0),MATCH(P301,'Lister og genveje'!$E$38:$I$38,0),1)</f>
        <v>25</v>
      </c>
      <c r="R301">
        <f>HLOOKUP(O301,'Lister og genveje'!$E$50:$G$52,2,0)</f>
        <v>10</v>
      </c>
      <c r="S301">
        <f>HLOOKUP(O301,'Lister og genveje'!$E$50:$G$52,3,0)</f>
        <v>14</v>
      </c>
      <c r="T301">
        <f>VLOOKUP(M301,'Lister og genveje'!$D$39:$J$46,7,0)</f>
        <v>0.75</v>
      </c>
    </row>
    <row r="302" spans="12:20">
      <c r="L302" t="str">
        <f t="shared" si="6"/>
        <v>IEC 947-2</v>
      </c>
      <c r="M302" t="s">
        <v>152</v>
      </c>
      <c r="N302">
        <v>16</v>
      </c>
      <c r="O302" t="s">
        <v>165</v>
      </c>
      <c r="P302" t="s">
        <v>166</v>
      </c>
      <c r="Q302">
        <f>INDEX('Lister og genveje'!$E$39:$I$46,MATCH(M302,'Lister og genveje'!$D$39:$D$46,0),MATCH(P302,'Lister og genveje'!$E$38:$I$38,0),1)</f>
        <v>25</v>
      </c>
      <c r="R302">
        <f>HLOOKUP(O302,'Lister og genveje'!$E$50:$G$52,2,0)</f>
        <v>10</v>
      </c>
      <c r="S302">
        <f>HLOOKUP(O302,'Lister og genveje'!$E$50:$G$52,3,0)</f>
        <v>14</v>
      </c>
      <c r="T302">
        <f>VLOOKUP(M302,'Lister og genveje'!$D$39:$J$46,7,0)</f>
        <v>0.75</v>
      </c>
    </row>
    <row r="303" spans="12:20">
      <c r="L303" t="str">
        <f t="shared" si="6"/>
        <v>IEC 947-2</v>
      </c>
      <c r="M303" t="s">
        <v>152</v>
      </c>
      <c r="N303">
        <v>20</v>
      </c>
      <c r="O303" t="s">
        <v>165</v>
      </c>
      <c r="P303" t="s">
        <v>166</v>
      </c>
      <c r="Q303">
        <f>INDEX('Lister og genveje'!$E$39:$I$46,MATCH(M303,'Lister og genveje'!$D$39:$D$46,0),MATCH(P303,'Lister og genveje'!$E$38:$I$38,0),1)</f>
        <v>25</v>
      </c>
      <c r="R303">
        <f>HLOOKUP(O303,'Lister og genveje'!$E$50:$G$52,2,0)</f>
        <v>10</v>
      </c>
      <c r="S303">
        <f>HLOOKUP(O303,'Lister og genveje'!$E$50:$G$52,3,0)</f>
        <v>14</v>
      </c>
      <c r="T303">
        <f>VLOOKUP(M303,'Lister og genveje'!$D$39:$J$46,7,0)</f>
        <v>0.75</v>
      </c>
    </row>
    <row r="304" spans="12:20">
      <c r="L304" t="str">
        <f t="shared" si="6"/>
        <v>IEC 947-2</v>
      </c>
      <c r="M304" t="s">
        <v>152</v>
      </c>
      <c r="N304">
        <v>25</v>
      </c>
      <c r="O304" t="s">
        <v>165</v>
      </c>
      <c r="P304" t="s">
        <v>166</v>
      </c>
      <c r="Q304">
        <f>INDEX('Lister og genveje'!$E$39:$I$46,MATCH(M304,'Lister og genveje'!$D$39:$D$46,0),MATCH(P304,'Lister og genveje'!$E$38:$I$38,0),1)</f>
        <v>25</v>
      </c>
      <c r="R304">
        <f>HLOOKUP(O304,'Lister og genveje'!$E$50:$G$52,2,0)</f>
        <v>10</v>
      </c>
      <c r="S304">
        <f>HLOOKUP(O304,'Lister og genveje'!$E$50:$G$52,3,0)</f>
        <v>14</v>
      </c>
      <c r="T304">
        <f>VLOOKUP(M304,'Lister og genveje'!$D$39:$J$46,7,0)</f>
        <v>0.75</v>
      </c>
    </row>
    <row r="305" spans="12:20">
      <c r="L305" t="str">
        <f t="shared" si="6"/>
        <v>IEC 947-2</v>
      </c>
      <c r="M305" t="s">
        <v>152</v>
      </c>
      <c r="N305">
        <v>32</v>
      </c>
      <c r="O305" t="s">
        <v>165</v>
      </c>
      <c r="P305" t="s">
        <v>166</v>
      </c>
      <c r="Q305">
        <f>INDEX('Lister og genveje'!$E$39:$I$46,MATCH(M305,'Lister og genveje'!$D$39:$D$46,0),MATCH(P305,'Lister og genveje'!$E$38:$I$38,0),1)</f>
        <v>25</v>
      </c>
      <c r="R305">
        <f>HLOOKUP(O305,'Lister og genveje'!$E$50:$G$52,2,0)</f>
        <v>10</v>
      </c>
      <c r="S305">
        <f>HLOOKUP(O305,'Lister og genveje'!$E$50:$G$52,3,0)</f>
        <v>14</v>
      </c>
      <c r="T305">
        <f>VLOOKUP(M305,'Lister og genveje'!$D$39:$J$46,7,0)</f>
        <v>0.75</v>
      </c>
    </row>
    <row r="306" spans="12:20">
      <c r="L306" t="str">
        <f t="shared" si="6"/>
        <v>IEC 947-2</v>
      </c>
      <c r="M306" t="s">
        <v>152</v>
      </c>
      <c r="N306">
        <v>40</v>
      </c>
      <c r="O306" t="s">
        <v>165</v>
      </c>
      <c r="P306" t="s">
        <v>166</v>
      </c>
      <c r="Q306">
        <f>INDEX('Lister og genveje'!$E$39:$I$46,MATCH(M306,'Lister og genveje'!$D$39:$D$46,0),MATCH(P306,'Lister og genveje'!$E$38:$I$38,0),1)</f>
        <v>25</v>
      </c>
      <c r="R306">
        <f>HLOOKUP(O306,'Lister og genveje'!$E$50:$G$52,2,0)</f>
        <v>10</v>
      </c>
      <c r="S306">
        <f>HLOOKUP(O306,'Lister og genveje'!$E$50:$G$52,3,0)</f>
        <v>14</v>
      </c>
      <c r="T306">
        <f>VLOOKUP(M306,'Lister og genveje'!$D$39:$J$46,7,0)</f>
        <v>0.75</v>
      </c>
    </row>
    <row r="307" spans="12:20">
      <c r="L307" t="str">
        <f t="shared" si="6"/>
        <v>IEC 947-2</v>
      </c>
      <c r="M307" t="s">
        <v>152</v>
      </c>
      <c r="N307">
        <v>50</v>
      </c>
      <c r="O307" t="s">
        <v>165</v>
      </c>
      <c r="P307" t="s">
        <v>166</v>
      </c>
      <c r="Q307">
        <f>INDEX('Lister og genveje'!$E$39:$I$46,MATCH(M307,'Lister og genveje'!$D$39:$D$46,0),MATCH(P307,'Lister og genveje'!$E$38:$I$38,0),1)</f>
        <v>25</v>
      </c>
      <c r="R307">
        <f>HLOOKUP(O307,'Lister og genveje'!$E$50:$G$52,2,0)</f>
        <v>10</v>
      </c>
      <c r="S307">
        <f>HLOOKUP(O307,'Lister og genveje'!$E$50:$G$52,3,0)</f>
        <v>14</v>
      </c>
      <c r="T307">
        <f>VLOOKUP(M307,'Lister og genveje'!$D$39:$J$46,7,0)</f>
        <v>0.75</v>
      </c>
    </row>
    <row r="308" spans="12:20">
      <c r="L308" t="str">
        <f t="shared" si="6"/>
        <v>IEC 947-2</v>
      </c>
      <c r="M308" t="s">
        <v>152</v>
      </c>
      <c r="N308">
        <v>63</v>
      </c>
      <c r="O308" t="s">
        <v>165</v>
      </c>
      <c r="P308" t="s">
        <v>166</v>
      </c>
      <c r="Q308">
        <f>INDEX('Lister og genveje'!$E$39:$I$46,MATCH(M308,'Lister og genveje'!$D$39:$D$46,0),MATCH(P308,'Lister og genveje'!$E$38:$I$38,0),1)</f>
        <v>25</v>
      </c>
      <c r="R308">
        <f>HLOOKUP(O308,'Lister og genveje'!$E$50:$G$52,2,0)</f>
        <v>10</v>
      </c>
      <c r="S308">
        <f>HLOOKUP(O308,'Lister og genveje'!$E$50:$G$52,3,0)</f>
        <v>14</v>
      </c>
      <c r="T308">
        <f>VLOOKUP(M308,'Lister og genveje'!$D$39:$J$46,7,0)</f>
        <v>0.75</v>
      </c>
    </row>
    <row r="309" spans="12:20">
      <c r="L309" t="str">
        <f t="shared" si="6"/>
        <v>IEC 947-2</v>
      </c>
      <c r="M309" t="s">
        <v>152</v>
      </c>
      <c r="N309">
        <v>80</v>
      </c>
      <c r="O309" t="s">
        <v>165</v>
      </c>
      <c r="P309" t="s">
        <v>166</v>
      </c>
      <c r="Q309">
        <f>INDEX('Lister og genveje'!$E$39:$I$46,MATCH(M309,'Lister og genveje'!$D$39:$D$46,0),MATCH(P309,'Lister og genveje'!$E$38:$I$38,0),1)</f>
        <v>25</v>
      </c>
      <c r="R309">
        <f>HLOOKUP(O309,'Lister og genveje'!$E$50:$G$52,2,0)</f>
        <v>10</v>
      </c>
      <c r="S309">
        <f>HLOOKUP(O309,'Lister og genveje'!$E$50:$G$52,3,0)</f>
        <v>14</v>
      </c>
      <c r="T309">
        <f>VLOOKUP(M309,'Lister og genveje'!$D$39:$J$46,7,0)</f>
        <v>0.75</v>
      </c>
    </row>
    <row r="310" spans="12:20">
      <c r="L310" t="str">
        <f t="shared" si="6"/>
        <v>IEC 947-2</v>
      </c>
      <c r="M310" t="s">
        <v>152</v>
      </c>
      <c r="N310">
        <v>100</v>
      </c>
      <c r="O310" t="s">
        <v>165</v>
      </c>
      <c r="P310" t="s">
        <v>166</v>
      </c>
      <c r="Q310">
        <f>INDEX('Lister og genveje'!$E$39:$I$46,MATCH(M310,'Lister og genveje'!$D$39:$D$46,0),MATCH(P310,'Lister og genveje'!$E$38:$I$38,0),1)</f>
        <v>25</v>
      </c>
      <c r="R310">
        <f>HLOOKUP(O310,'Lister og genveje'!$E$50:$G$52,2,0)</f>
        <v>10</v>
      </c>
      <c r="S310">
        <f>HLOOKUP(O310,'Lister og genveje'!$E$50:$G$52,3,0)</f>
        <v>14</v>
      </c>
      <c r="T310">
        <f>VLOOKUP(M310,'Lister og genveje'!$D$39:$J$46,7,0)</f>
        <v>0.75</v>
      </c>
    </row>
    <row r="311" spans="12:20" ht="16" thickBot="1">
      <c r="L311" t="str">
        <f t="shared" si="6"/>
        <v>IEC 947-2</v>
      </c>
      <c r="M311" t="s">
        <v>152</v>
      </c>
      <c r="N311">
        <v>125</v>
      </c>
      <c r="O311" t="s">
        <v>165</v>
      </c>
      <c r="P311" t="s">
        <v>166</v>
      </c>
      <c r="Q311">
        <f>INDEX('Lister og genveje'!$E$39:$I$46,MATCH(M311,'Lister og genveje'!$D$39:$D$46,0),MATCH(P311,'Lister og genveje'!$E$38:$I$38,0),1)</f>
        <v>25</v>
      </c>
      <c r="R311">
        <f>HLOOKUP(O311,'Lister og genveje'!$E$50:$G$52,2,0)</f>
        <v>10</v>
      </c>
      <c r="S311">
        <f>HLOOKUP(O311,'Lister og genveje'!$E$50:$G$52,3,0)</f>
        <v>14</v>
      </c>
      <c r="T311">
        <f>VLOOKUP(M311,'Lister og genveje'!$D$39:$J$46,7,0)</f>
        <v>0.75</v>
      </c>
    </row>
    <row r="312" spans="12:20" ht="16" thickBot="1">
      <c r="L312" s="26" t="str">
        <f t="shared" ref="L312:L375" si="7">$E$54</f>
        <v>EN60898</v>
      </c>
      <c r="M312" s="27" t="str">
        <f>'Lister og genveje'!$D$39</f>
        <v>C60N</v>
      </c>
      <c r="N312" s="27">
        <v>0.5</v>
      </c>
      <c r="O312" s="27" t="s">
        <v>38</v>
      </c>
      <c r="P312" s="27" t="str">
        <f>'Lister og genveje'!$F$38</f>
        <v>1 Pol</v>
      </c>
      <c r="Q312" s="27">
        <f>INDEX('Lister og genveje'!$E$39:$I$46,MATCH(M312,'Lister og genveje'!$D$39:$D$46,0),MATCH(P312,'Lister og genveje'!$E$38:$I$38,0),1)</f>
        <v>3</v>
      </c>
      <c r="R312" s="27">
        <f t="shared" ref="R312:R375" si="8">VLOOKUP(O312,$F$54:$H$56,2,FALSE)</f>
        <v>3</v>
      </c>
      <c r="S312" s="27">
        <f t="shared" ref="S312:S375" si="9">VLOOKUP(O312,$F$54:$H$56,3,FALSE)</f>
        <v>5</v>
      </c>
      <c r="T312" s="29">
        <f>VLOOKUP(M312,'Lister og genveje'!$D$39:$J$46,7,0)</f>
        <v>0.75</v>
      </c>
    </row>
    <row r="313" spans="12:20" ht="16" thickBot="1">
      <c r="L313" s="30" t="str">
        <f t="shared" si="7"/>
        <v>EN60898</v>
      </c>
      <c r="M313" t="str">
        <f>'Lister og genveje'!$D$39</f>
        <v>C60N</v>
      </c>
      <c r="N313">
        <v>1</v>
      </c>
      <c r="O313" t="s">
        <v>38</v>
      </c>
      <c r="P313" t="str">
        <f>'Lister og genveje'!$F$38</f>
        <v>1 Pol</v>
      </c>
      <c r="Q313">
        <f>INDEX('Lister og genveje'!$E$39:$I$46,MATCH(M313,'Lister og genveje'!$D$39:$D$46,0),MATCH(P313,'Lister og genveje'!$E$38:$I$38,0),1)</f>
        <v>3</v>
      </c>
      <c r="R313" s="27">
        <f t="shared" si="8"/>
        <v>3</v>
      </c>
      <c r="S313" s="27">
        <f t="shared" si="9"/>
        <v>5</v>
      </c>
      <c r="T313" s="31">
        <f>VLOOKUP(M313,'Lister og genveje'!$D$39:$J$46,7,0)</f>
        <v>0.75</v>
      </c>
    </row>
    <row r="314" spans="12:20" ht="16" thickBot="1">
      <c r="L314" s="30" t="str">
        <f t="shared" si="7"/>
        <v>EN60898</v>
      </c>
      <c r="M314" t="str">
        <f>'Lister og genveje'!$D$39</f>
        <v>C60N</v>
      </c>
      <c r="N314">
        <v>2</v>
      </c>
      <c r="O314" t="s">
        <v>38</v>
      </c>
      <c r="P314" t="str">
        <f>'Lister og genveje'!$F$38</f>
        <v>1 Pol</v>
      </c>
      <c r="Q314">
        <f>INDEX('Lister og genveje'!$E$39:$I$46,MATCH(M314,'Lister og genveje'!$D$39:$D$46,0),MATCH(P314,'Lister og genveje'!$E$38:$I$38,0),1)</f>
        <v>3</v>
      </c>
      <c r="R314" s="27">
        <f t="shared" si="8"/>
        <v>3</v>
      </c>
      <c r="S314" s="27">
        <f t="shared" si="9"/>
        <v>5</v>
      </c>
      <c r="T314" s="31">
        <f>VLOOKUP(M314,'Lister og genveje'!$D$39:$J$46,7,0)</f>
        <v>0.75</v>
      </c>
    </row>
    <row r="315" spans="12:20" ht="16" thickBot="1">
      <c r="L315" s="30" t="str">
        <f t="shared" si="7"/>
        <v>EN60898</v>
      </c>
      <c r="M315" t="str">
        <f>'Lister og genveje'!$D$39</f>
        <v>C60N</v>
      </c>
      <c r="N315">
        <v>3</v>
      </c>
      <c r="O315" t="s">
        <v>38</v>
      </c>
      <c r="P315" t="str">
        <f>'Lister og genveje'!$F$38</f>
        <v>1 Pol</v>
      </c>
      <c r="Q315">
        <f>INDEX('Lister og genveje'!$E$39:$I$46,MATCH(M315,'Lister og genveje'!$D$39:$D$46,0),MATCH(P315,'Lister og genveje'!$E$38:$I$38,0),1)</f>
        <v>3</v>
      </c>
      <c r="R315" s="27">
        <f t="shared" si="8"/>
        <v>3</v>
      </c>
      <c r="S315" s="27">
        <f t="shared" si="9"/>
        <v>5</v>
      </c>
      <c r="T315" s="31">
        <f>VLOOKUP(M315,'Lister og genveje'!$D$39:$J$46,7,0)</f>
        <v>0.75</v>
      </c>
    </row>
    <row r="316" spans="12:20" ht="16" thickBot="1">
      <c r="L316" s="30" t="str">
        <f t="shared" si="7"/>
        <v>EN60898</v>
      </c>
      <c r="M316" t="str">
        <f>'Lister og genveje'!$D$39</f>
        <v>C60N</v>
      </c>
      <c r="N316">
        <v>4</v>
      </c>
      <c r="O316" t="s">
        <v>38</v>
      </c>
      <c r="P316" t="str">
        <f>'Lister og genveje'!$F$38</f>
        <v>1 Pol</v>
      </c>
      <c r="Q316">
        <f>INDEX('Lister og genveje'!$E$39:$I$46,MATCH(M316,'Lister og genveje'!$D$39:$D$46,0),MATCH(P316,'Lister og genveje'!$E$38:$I$38,0),1)</f>
        <v>3</v>
      </c>
      <c r="R316" s="27">
        <f t="shared" si="8"/>
        <v>3</v>
      </c>
      <c r="S316" s="27">
        <f t="shared" si="9"/>
        <v>5</v>
      </c>
      <c r="T316" s="31">
        <f>VLOOKUP(M316,'Lister og genveje'!$D$39:$J$46,7,0)</f>
        <v>0.75</v>
      </c>
    </row>
    <row r="317" spans="12:20" ht="16" thickBot="1">
      <c r="L317" s="30" t="str">
        <f t="shared" si="7"/>
        <v>EN60898</v>
      </c>
      <c r="M317" t="str">
        <f>'Lister og genveje'!$D$39</f>
        <v>C60N</v>
      </c>
      <c r="N317">
        <v>6</v>
      </c>
      <c r="O317" t="s">
        <v>38</v>
      </c>
      <c r="P317" t="str">
        <f>'Lister og genveje'!$F$38</f>
        <v>1 Pol</v>
      </c>
      <c r="Q317">
        <f>INDEX('Lister og genveje'!$E$39:$I$46,MATCH(M317,'Lister og genveje'!$D$39:$D$46,0),MATCH(P317,'Lister og genveje'!$E$38:$I$38,0),1)</f>
        <v>3</v>
      </c>
      <c r="R317" s="27">
        <f t="shared" si="8"/>
        <v>3</v>
      </c>
      <c r="S317" s="27">
        <f t="shared" si="9"/>
        <v>5</v>
      </c>
      <c r="T317" s="31">
        <f>VLOOKUP(M317,'Lister og genveje'!$D$39:$J$46,7,0)</f>
        <v>0.75</v>
      </c>
    </row>
    <row r="318" spans="12:20" ht="16" thickBot="1">
      <c r="L318" s="30" t="str">
        <f t="shared" si="7"/>
        <v>EN60898</v>
      </c>
      <c r="M318" t="str">
        <f>'Lister og genveje'!$D$39</f>
        <v>C60N</v>
      </c>
      <c r="N318">
        <v>10</v>
      </c>
      <c r="O318" t="s">
        <v>38</v>
      </c>
      <c r="P318" t="str">
        <f>'Lister og genveje'!$F$38</f>
        <v>1 Pol</v>
      </c>
      <c r="Q318">
        <f>INDEX('Lister og genveje'!$E$39:$I$46,MATCH(M318,'Lister og genveje'!$D$39:$D$46,0),MATCH(P318,'Lister og genveje'!$E$38:$I$38,0),1)</f>
        <v>3</v>
      </c>
      <c r="R318" s="27">
        <f t="shared" si="8"/>
        <v>3</v>
      </c>
      <c r="S318" s="27">
        <f t="shared" si="9"/>
        <v>5</v>
      </c>
      <c r="T318" s="31">
        <f>VLOOKUP(M318,'Lister og genveje'!$D$39:$J$46,7,0)</f>
        <v>0.75</v>
      </c>
    </row>
    <row r="319" spans="12:20" ht="16" thickBot="1">
      <c r="L319" s="30" t="str">
        <f t="shared" si="7"/>
        <v>EN60898</v>
      </c>
      <c r="M319" t="str">
        <f>'Lister og genveje'!$D$39</f>
        <v>C60N</v>
      </c>
      <c r="N319">
        <v>13</v>
      </c>
      <c r="O319" t="s">
        <v>38</v>
      </c>
      <c r="P319" t="str">
        <f>'Lister og genveje'!$F$38</f>
        <v>1 Pol</v>
      </c>
      <c r="Q319">
        <f>INDEX('Lister og genveje'!$E$39:$I$46,MATCH(M319,'Lister og genveje'!$D$39:$D$46,0),MATCH(P319,'Lister og genveje'!$E$38:$I$38,0),1)</f>
        <v>3</v>
      </c>
      <c r="R319" s="27">
        <f t="shared" si="8"/>
        <v>3</v>
      </c>
      <c r="S319" s="27">
        <f t="shared" si="9"/>
        <v>5</v>
      </c>
      <c r="T319" s="31">
        <f>VLOOKUP(M319,'Lister og genveje'!$D$39:$J$46,7,0)</f>
        <v>0.75</v>
      </c>
    </row>
    <row r="320" spans="12:20" ht="16" thickBot="1">
      <c r="L320" s="30" t="str">
        <f t="shared" si="7"/>
        <v>EN60898</v>
      </c>
      <c r="M320" t="str">
        <f>'Lister og genveje'!$D$39</f>
        <v>C60N</v>
      </c>
      <c r="N320">
        <v>16</v>
      </c>
      <c r="O320" t="s">
        <v>38</v>
      </c>
      <c r="P320" t="str">
        <f>'Lister og genveje'!$F$38</f>
        <v>1 Pol</v>
      </c>
      <c r="Q320">
        <f>INDEX('Lister og genveje'!$E$39:$I$46,MATCH(M320,'Lister og genveje'!$D$39:$D$46,0),MATCH(P320,'Lister og genveje'!$E$38:$I$38,0),1)</f>
        <v>3</v>
      </c>
      <c r="R320" s="27">
        <f t="shared" si="8"/>
        <v>3</v>
      </c>
      <c r="S320" s="27">
        <f t="shared" si="9"/>
        <v>5</v>
      </c>
      <c r="T320" s="31">
        <f>VLOOKUP(M320,'Lister og genveje'!$D$39:$J$46,7,0)</f>
        <v>0.75</v>
      </c>
    </row>
    <row r="321" spans="12:20" ht="16" thickBot="1">
      <c r="L321" s="30" t="str">
        <f t="shared" si="7"/>
        <v>EN60898</v>
      </c>
      <c r="M321" t="str">
        <f>'Lister og genveje'!$D$39</f>
        <v>C60N</v>
      </c>
      <c r="N321">
        <v>20</v>
      </c>
      <c r="O321" t="s">
        <v>38</v>
      </c>
      <c r="P321" t="str">
        <f>'Lister og genveje'!$F$38</f>
        <v>1 Pol</v>
      </c>
      <c r="Q321">
        <f>INDEX('Lister og genveje'!$E$39:$I$46,MATCH(M321,'Lister og genveje'!$D$39:$D$46,0),MATCH(P321,'Lister og genveje'!$E$38:$I$38,0),1)</f>
        <v>3</v>
      </c>
      <c r="R321" s="27">
        <f t="shared" si="8"/>
        <v>3</v>
      </c>
      <c r="S321" s="27">
        <f t="shared" si="9"/>
        <v>5</v>
      </c>
      <c r="T321" s="31">
        <f>VLOOKUP(M321,'Lister og genveje'!$D$39:$J$46,7,0)</f>
        <v>0.75</v>
      </c>
    </row>
    <row r="322" spans="12:20" ht="16" thickBot="1">
      <c r="L322" s="30" t="str">
        <f t="shared" si="7"/>
        <v>EN60898</v>
      </c>
      <c r="M322" t="str">
        <f>'Lister og genveje'!$D$39</f>
        <v>C60N</v>
      </c>
      <c r="N322">
        <v>25</v>
      </c>
      <c r="O322" t="s">
        <v>38</v>
      </c>
      <c r="P322" t="str">
        <f>'Lister og genveje'!$F$38</f>
        <v>1 Pol</v>
      </c>
      <c r="Q322">
        <f>INDEX('Lister og genveje'!$E$39:$I$46,MATCH(M322,'Lister og genveje'!$D$39:$D$46,0),MATCH(P322,'Lister og genveje'!$E$38:$I$38,0),1)</f>
        <v>3</v>
      </c>
      <c r="R322" s="27">
        <f t="shared" si="8"/>
        <v>3</v>
      </c>
      <c r="S322" s="27">
        <f t="shared" si="9"/>
        <v>5</v>
      </c>
      <c r="T322" s="31">
        <f>VLOOKUP(M322,'Lister og genveje'!$D$39:$J$46,7,0)</f>
        <v>0.75</v>
      </c>
    </row>
    <row r="323" spans="12:20" ht="16" thickBot="1">
      <c r="L323" s="30" t="str">
        <f t="shared" si="7"/>
        <v>EN60898</v>
      </c>
      <c r="M323" t="str">
        <f>'Lister og genveje'!$D$39</f>
        <v>C60N</v>
      </c>
      <c r="N323">
        <v>32</v>
      </c>
      <c r="O323" t="s">
        <v>38</v>
      </c>
      <c r="P323" t="str">
        <f>'Lister og genveje'!$F$38</f>
        <v>1 Pol</v>
      </c>
      <c r="Q323">
        <f>INDEX('Lister og genveje'!$E$39:$I$46,MATCH(M323,'Lister og genveje'!$D$39:$D$46,0),MATCH(P323,'Lister og genveje'!$E$38:$I$38,0),1)</f>
        <v>3</v>
      </c>
      <c r="R323" s="27">
        <f t="shared" si="8"/>
        <v>3</v>
      </c>
      <c r="S323" s="27">
        <f t="shared" si="9"/>
        <v>5</v>
      </c>
      <c r="T323" s="31">
        <f>VLOOKUP(M323,'Lister og genveje'!$D$39:$J$46,7,0)</f>
        <v>0.75</v>
      </c>
    </row>
    <row r="324" spans="12:20" ht="16" thickBot="1">
      <c r="L324" s="30" t="str">
        <f t="shared" si="7"/>
        <v>EN60898</v>
      </c>
      <c r="M324" t="str">
        <f>'Lister og genveje'!$D$39</f>
        <v>C60N</v>
      </c>
      <c r="N324">
        <v>40</v>
      </c>
      <c r="O324" t="s">
        <v>38</v>
      </c>
      <c r="P324" t="str">
        <f>'Lister og genveje'!$F$38</f>
        <v>1 Pol</v>
      </c>
      <c r="Q324">
        <f>INDEX('Lister og genveje'!$E$39:$I$46,MATCH(M324,'Lister og genveje'!$D$39:$D$46,0),MATCH(P324,'Lister og genveje'!$E$38:$I$38,0),1)</f>
        <v>3</v>
      </c>
      <c r="R324" s="27">
        <f t="shared" si="8"/>
        <v>3</v>
      </c>
      <c r="S324" s="27">
        <f t="shared" si="9"/>
        <v>5</v>
      </c>
      <c r="T324" s="31">
        <f>VLOOKUP(M324,'Lister og genveje'!$D$39:$J$46,7,0)</f>
        <v>0.75</v>
      </c>
    </row>
    <row r="325" spans="12:20" ht="16" thickBot="1">
      <c r="L325" s="30" t="str">
        <f t="shared" si="7"/>
        <v>EN60898</v>
      </c>
      <c r="M325" t="str">
        <f>'Lister og genveje'!$D$39</f>
        <v>C60N</v>
      </c>
      <c r="N325">
        <v>50</v>
      </c>
      <c r="O325" t="s">
        <v>38</v>
      </c>
      <c r="P325" t="str">
        <f>'Lister og genveje'!$F$38</f>
        <v>1 Pol</v>
      </c>
      <c r="Q325">
        <f>INDEX('Lister og genveje'!$E$39:$I$46,MATCH(M325,'Lister og genveje'!$D$39:$D$46,0),MATCH(P325,'Lister og genveje'!$E$38:$I$38,0),1)</f>
        <v>3</v>
      </c>
      <c r="R325" s="27">
        <f t="shared" si="8"/>
        <v>3</v>
      </c>
      <c r="S325" s="27">
        <f t="shared" si="9"/>
        <v>5</v>
      </c>
      <c r="T325" s="31">
        <f>VLOOKUP(M325,'Lister og genveje'!$D$39:$J$46,7,0)</f>
        <v>0.75</v>
      </c>
    </row>
    <row r="326" spans="12:20" ht="16" thickBot="1">
      <c r="L326" s="30" t="str">
        <f t="shared" si="7"/>
        <v>EN60898</v>
      </c>
      <c r="M326" t="str">
        <f>'Lister og genveje'!$D$39</f>
        <v>C60N</v>
      </c>
      <c r="N326">
        <v>63</v>
      </c>
      <c r="O326" t="s">
        <v>38</v>
      </c>
      <c r="P326" t="str">
        <f>'Lister og genveje'!$F$38</f>
        <v>1 Pol</v>
      </c>
      <c r="Q326">
        <f>INDEX('Lister og genveje'!$E$39:$I$46,MATCH(M326,'Lister og genveje'!$D$39:$D$46,0),MATCH(P326,'Lister og genveje'!$E$38:$I$38,0),1)</f>
        <v>3</v>
      </c>
      <c r="R326" s="27">
        <f t="shared" si="8"/>
        <v>3</v>
      </c>
      <c r="S326" s="27">
        <f t="shared" si="9"/>
        <v>5</v>
      </c>
      <c r="T326" s="31">
        <f>VLOOKUP(M326,'Lister og genveje'!$D$39:$J$46,7,0)</f>
        <v>0.75</v>
      </c>
    </row>
    <row r="327" spans="12:20" ht="16" thickBot="1">
      <c r="L327" s="30" t="str">
        <f t="shared" si="7"/>
        <v>EN60898</v>
      </c>
      <c r="M327" t="str">
        <f>'Lister og genveje'!$D$39</f>
        <v>C60N</v>
      </c>
      <c r="N327">
        <v>1</v>
      </c>
      <c r="O327" t="s">
        <v>38</v>
      </c>
      <c r="P327" t="str">
        <f>'Lister og genveje'!$G$38</f>
        <v>Flere poler</v>
      </c>
      <c r="Q327">
        <f>INDEX('Lister og genveje'!$E$39:$I$46,MATCH(M327,'Lister og genveje'!$D$39:$D$46,0),MATCH(P327,'Lister og genveje'!$E$38:$I$38,0),1)</f>
        <v>10</v>
      </c>
      <c r="R327" s="27">
        <f t="shared" si="8"/>
        <v>3</v>
      </c>
      <c r="S327" s="27">
        <f t="shared" si="9"/>
        <v>5</v>
      </c>
      <c r="T327" s="31">
        <f>VLOOKUP(M327,'Lister og genveje'!$D$39:$J$46,7,0)</f>
        <v>0.75</v>
      </c>
    </row>
    <row r="328" spans="12:20" ht="16" thickBot="1">
      <c r="L328" s="30" t="str">
        <f t="shared" si="7"/>
        <v>EN60898</v>
      </c>
      <c r="M328" t="str">
        <f>'Lister og genveje'!$D$39</f>
        <v>C60N</v>
      </c>
      <c r="N328">
        <v>2</v>
      </c>
      <c r="O328" t="s">
        <v>38</v>
      </c>
      <c r="P328" t="str">
        <f>'Lister og genveje'!$G$38</f>
        <v>Flere poler</v>
      </c>
      <c r="Q328">
        <f>INDEX('Lister og genveje'!$E$39:$I$46,MATCH(M328,'Lister og genveje'!$D$39:$D$46,0),MATCH(P328,'Lister og genveje'!$E$38:$I$38,0),1)</f>
        <v>10</v>
      </c>
      <c r="R328" s="27">
        <f t="shared" si="8"/>
        <v>3</v>
      </c>
      <c r="S328" s="27">
        <f t="shared" si="9"/>
        <v>5</v>
      </c>
      <c r="T328" s="31">
        <f>VLOOKUP(M328,'Lister og genveje'!$D$39:$J$46,7,0)</f>
        <v>0.75</v>
      </c>
    </row>
    <row r="329" spans="12:20" ht="16" thickBot="1">
      <c r="L329" s="30" t="str">
        <f t="shared" si="7"/>
        <v>EN60898</v>
      </c>
      <c r="M329" t="str">
        <f>'Lister og genveje'!$D$39</f>
        <v>C60N</v>
      </c>
      <c r="N329">
        <v>3</v>
      </c>
      <c r="O329" t="s">
        <v>38</v>
      </c>
      <c r="P329" t="str">
        <f>'Lister og genveje'!$G$38</f>
        <v>Flere poler</v>
      </c>
      <c r="Q329">
        <f>INDEX('Lister og genveje'!$E$39:$I$46,MATCH(M329,'Lister og genveje'!$D$39:$D$46,0),MATCH(P329,'Lister og genveje'!$E$38:$I$38,0),1)</f>
        <v>10</v>
      </c>
      <c r="R329" s="27">
        <f t="shared" si="8"/>
        <v>3</v>
      </c>
      <c r="S329" s="27">
        <f t="shared" si="9"/>
        <v>5</v>
      </c>
      <c r="T329" s="31">
        <f>VLOOKUP(M329,'Lister og genveje'!$D$39:$J$46,7,0)</f>
        <v>0.75</v>
      </c>
    </row>
    <row r="330" spans="12:20" ht="16" thickBot="1">
      <c r="L330" s="30" t="str">
        <f t="shared" si="7"/>
        <v>EN60898</v>
      </c>
      <c r="M330" t="str">
        <f>'Lister og genveje'!$D$39</f>
        <v>C60N</v>
      </c>
      <c r="N330">
        <v>4</v>
      </c>
      <c r="O330" t="s">
        <v>38</v>
      </c>
      <c r="P330" t="str">
        <f>'Lister og genveje'!$G$38</f>
        <v>Flere poler</v>
      </c>
      <c r="Q330">
        <f>INDEX('Lister og genveje'!$E$39:$I$46,MATCH(M330,'Lister og genveje'!$D$39:$D$46,0),MATCH(P330,'Lister og genveje'!$E$38:$I$38,0),1)</f>
        <v>10</v>
      </c>
      <c r="R330" s="27">
        <f t="shared" si="8"/>
        <v>3</v>
      </c>
      <c r="S330" s="27">
        <f t="shared" si="9"/>
        <v>5</v>
      </c>
      <c r="T330" s="31">
        <f>VLOOKUP(M330,'Lister og genveje'!$D$39:$J$46,7,0)</f>
        <v>0.75</v>
      </c>
    </row>
    <row r="331" spans="12:20" ht="16" thickBot="1">
      <c r="L331" s="30" t="str">
        <f t="shared" si="7"/>
        <v>EN60898</v>
      </c>
      <c r="M331" t="str">
        <f>'Lister og genveje'!$D$39</f>
        <v>C60N</v>
      </c>
      <c r="N331">
        <v>6</v>
      </c>
      <c r="O331" t="s">
        <v>38</v>
      </c>
      <c r="P331" t="str">
        <f>'Lister og genveje'!$G$38</f>
        <v>Flere poler</v>
      </c>
      <c r="Q331">
        <f>INDEX('Lister og genveje'!$E$39:$I$46,MATCH(M331,'Lister og genveje'!$D$39:$D$46,0),MATCH(P331,'Lister og genveje'!$E$38:$I$38,0),1)</f>
        <v>10</v>
      </c>
      <c r="R331" s="27">
        <f t="shared" si="8"/>
        <v>3</v>
      </c>
      <c r="S331" s="27">
        <f t="shared" si="9"/>
        <v>5</v>
      </c>
      <c r="T331" s="31">
        <f>VLOOKUP(M331,'Lister og genveje'!$D$39:$J$46,7,0)</f>
        <v>0.75</v>
      </c>
    </row>
    <row r="332" spans="12:20" ht="16" thickBot="1">
      <c r="L332" s="30" t="str">
        <f t="shared" si="7"/>
        <v>EN60898</v>
      </c>
      <c r="M332" t="str">
        <f>'Lister og genveje'!$D$39</f>
        <v>C60N</v>
      </c>
      <c r="N332">
        <v>10</v>
      </c>
      <c r="O332" t="s">
        <v>38</v>
      </c>
      <c r="P332" t="str">
        <f>'Lister og genveje'!$G$38</f>
        <v>Flere poler</v>
      </c>
      <c r="Q332">
        <f>INDEX('Lister og genveje'!$E$39:$I$46,MATCH(M332,'Lister og genveje'!$D$39:$D$46,0),MATCH(P332,'Lister og genveje'!$E$38:$I$38,0),1)</f>
        <v>10</v>
      </c>
      <c r="R332" s="27">
        <f t="shared" si="8"/>
        <v>3</v>
      </c>
      <c r="S332" s="27">
        <f t="shared" si="9"/>
        <v>5</v>
      </c>
      <c r="T332" s="31">
        <f>VLOOKUP(M332,'Lister og genveje'!$D$39:$J$46,7,0)</f>
        <v>0.75</v>
      </c>
    </row>
    <row r="333" spans="12:20" ht="16" thickBot="1">
      <c r="L333" s="30" t="str">
        <f t="shared" si="7"/>
        <v>EN60898</v>
      </c>
      <c r="M333" t="str">
        <f>'Lister og genveje'!$D$39</f>
        <v>C60N</v>
      </c>
      <c r="N333">
        <v>13</v>
      </c>
      <c r="O333" t="s">
        <v>38</v>
      </c>
      <c r="P333" t="str">
        <f>'Lister og genveje'!$G$38</f>
        <v>Flere poler</v>
      </c>
      <c r="Q333">
        <f>INDEX('Lister og genveje'!$E$39:$I$46,MATCH(M333,'Lister og genveje'!$D$39:$D$46,0),MATCH(P333,'Lister og genveje'!$E$38:$I$38,0),1)</f>
        <v>10</v>
      </c>
      <c r="R333" s="27">
        <f t="shared" si="8"/>
        <v>3</v>
      </c>
      <c r="S333" s="27">
        <f t="shared" si="9"/>
        <v>5</v>
      </c>
      <c r="T333" s="31">
        <f>VLOOKUP(M333,'Lister og genveje'!$D$39:$J$46,7,0)</f>
        <v>0.75</v>
      </c>
    </row>
    <row r="334" spans="12:20" ht="16" thickBot="1">
      <c r="L334" s="30" t="str">
        <f t="shared" si="7"/>
        <v>EN60898</v>
      </c>
      <c r="M334" t="str">
        <f>'Lister og genveje'!$D$39</f>
        <v>C60N</v>
      </c>
      <c r="N334">
        <v>16</v>
      </c>
      <c r="O334" t="s">
        <v>38</v>
      </c>
      <c r="P334" t="str">
        <f>'Lister og genveje'!$G$38</f>
        <v>Flere poler</v>
      </c>
      <c r="Q334">
        <f>INDEX('Lister og genveje'!$E$39:$I$46,MATCH(M334,'Lister og genveje'!$D$39:$D$46,0),MATCH(P334,'Lister og genveje'!$E$38:$I$38,0),1)</f>
        <v>10</v>
      </c>
      <c r="R334" s="27">
        <f t="shared" si="8"/>
        <v>3</v>
      </c>
      <c r="S334" s="27">
        <f t="shared" si="9"/>
        <v>5</v>
      </c>
      <c r="T334" s="31">
        <f>VLOOKUP(M334,'Lister og genveje'!$D$39:$J$46,7,0)</f>
        <v>0.75</v>
      </c>
    </row>
    <row r="335" spans="12:20" ht="16" thickBot="1">
      <c r="L335" s="30" t="str">
        <f t="shared" si="7"/>
        <v>EN60898</v>
      </c>
      <c r="M335" t="str">
        <f>'Lister og genveje'!$D$39</f>
        <v>C60N</v>
      </c>
      <c r="N335">
        <v>20</v>
      </c>
      <c r="O335" t="s">
        <v>38</v>
      </c>
      <c r="P335" t="str">
        <f>'Lister og genveje'!$G$38</f>
        <v>Flere poler</v>
      </c>
      <c r="Q335">
        <f>INDEX('Lister og genveje'!$E$39:$I$46,MATCH(M335,'Lister og genveje'!$D$39:$D$46,0),MATCH(P335,'Lister og genveje'!$E$38:$I$38,0),1)</f>
        <v>10</v>
      </c>
      <c r="R335" s="27">
        <f t="shared" si="8"/>
        <v>3</v>
      </c>
      <c r="S335" s="27">
        <f t="shared" si="9"/>
        <v>5</v>
      </c>
      <c r="T335" s="31">
        <f>VLOOKUP(M335,'Lister og genveje'!$D$39:$J$46,7,0)</f>
        <v>0.75</v>
      </c>
    </row>
    <row r="336" spans="12:20" ht="16" thickBot="1">
      <c r="L336" s="30" t="str">
        <f t="shared" si="7"/>
        <v>EN60898</v>
      </c>
      <c r="M336" t="str">
        <f>'Lister og genveje'!$D$39</f>
        <v>C60N</v>
      </c>
      <c r="N336">
        <v>25</v>
      </c>
      <c r="O336" t="s">
        <v>38</v>
      </c>
      <c r="P336" t="str">
        <f>'Lister og genveje'!$G$38</f>
        <v>Flere poler</v>
      </c>
      <c r="Q336">
        <f>INDEX('Lister og genveje'!$E$39:$I$46,MATCH(M336,'Lister og genveje'!$D$39:$D$46,0),MATCH(P336,'Lister og genveje'!$E$38:$I$38,0),1)</f>
        <v>10</v>
      </c>
      <c r="R336" s="27">
        <f t="shared" si="8"/>
        <v>3</v>
      </c>
      <c r="S336" s="27">
        <f t="shared" si="9"/>
        <v>5</v>
      </c>
      <c r="T336" s="31">
        <f>VLOOKUP(M336,'Lister og genveje'!$D$39:$J$46,7,0)</f>
        <v>0.75</v>
      </c>
    </row>
    <row r="337" spans="12:20" ht="16" thickBot="1">
      <c r="L337" s="30" t="str">
        <f t="shared" si="7"/>
        <v>EN60898</v>
      </c>
      <c r="M337" t="str">
        <f>'Lister og genveje'!$D$39</f>
        <v>C60N</v>
      </c>
      <c r="N337">
        <v>32</v>
      </c>
      <c r="O337" t="s">
        <v>38</v>
      </c>
      <c r="P337" t="str">
        <f>'Lister og genveje'!$G$38</f>
        <v>Flere poler</v>
      </c>
      <c r="Q337">
        <f>INDEX('Lister og genveje'!$E$39:$I$46,MATCH(M337,'Lister og genveje'!$D$39:$D$46,0),MATCH(P337,'Lister og genveje'!$E$38:$I$38,0),1)</f>
        <v>10</v>
      </c>
      <c r="R337" s="27">
        <f t="shared" si="8"/>
        <v>3</v>
      </c>
      <c r="S337" s="27">
        <f t="shared" si="9"/>
        <v>5</v>
      </c>
      <c r="T337" s="31">
        <f>VLOOKUP(M337,'Lister og genveje'!$D$39:$J$46,7,0)</f>
        <v>0.75</v>
      </c>
    </row>
    <row r="338" spans="12:20" ht="16" thickBot="1">
      <c r="L338" s="30" t="str">
        <f t="shared" si="7"/>
        <v>EN60898</v>
      </c>
      <c r="M338" t="str">
        <f>'Lister og genveje'!$D$39</f>
        <v>C60N</v>
      </c>
      <c r="N338">
        <v>40</v>
      </c>
      <c r="O338" t="s">
        <v>38</v>
      </c>
      <c r="P338" t="str">
        <f>'Lister og genveje'!$G$38</f>
        <v>Flere poler</v>
      </c>
      <c r="Q338">
        <f>INDEX('Lister og genveje'!$E$39:$I$46,MATCH(M338,'Lister og genveje'!$D$39:$D$46,0),MATCH(P338,'Lister og genveje'!$E$38:$I$38,0),1)</f>
        <v>10</v>
      </c>
      <c r="R338" s="27">
        <f t="shared" si="8"/>
        <v>3</v>
      </c>
      <c r="S338" s="27">
        <f t="shared" si="9"/>
        <v>5</v>
      </c>
      <c r="T338" s="31">
        <f>VLOOKUP(M338,'Lister og genveje'!$D$39:$J$46,7,0)</f>
        <v>0.75</v>
      </c>
    </row>
    <row r="339" spans="12:20" ht="16" thickBot="1">
      <c r="L339" s="30" t="str">
        <f t="shared" si="7"/>
        <v>EN60898</v>
      </c>
      <c r="M339" t="str">
        <f>'Lister og genveje'!$D$39</f>
        <v>C60N</v>
      </c>
      <c r="N339">
        <v>50</v>
      </c>
      <c r="O339" t="s">
        <v>38</v>
      </c>
      <c r="P339" t="str">
        <f>'Lister og genveje'!$G$38</f>
        <v>Flere poler</v>
      </c>
      <c r="Q339">
        <f>INDEX('Lister og genveje'!$E$39:$I$46,MATCH(M339,'Lister og genveje'!$D$39:$D$46,0),MATCH(P339,'Lister og genveje'!$E$38:$I$38,0),1)</f>
        <v>10</v>
      </c>
      <c r="R339" s="27">
        <f t="shared" si="8"/>
        <v>3</v>
      </c>
      <c r="S339" s="27">
        <f t="shared" si="9"/>
        <v>5</v>
      </c>
      <c r="T339" s="31">
        <f>VLOOKUP(M339,'Lister og genveje'!$D$39:$J$46,7,0)</f>
        <v>0.75</v>
      </c>
    </row>
    <row r="340" spans="12:20" ht="16" thickBot="1">
      <c r="L340" s="30" t="str">
        <f t="shared" si="7"/>
        <v>EN60898</v>
      </c>
      <c r="M340" t="str">
        <f>'Lister og genveje'!$D$39</f>
        <v>C60N</v>
      </c>
      <c r="N340">
        <v>63</v>
      </c>
      <c r="O340" t="s">
        <v>38</v>
      </c>
      <c r="P340" t="str">
        <f>'Lister og genveje'!$G$38</f>
        <v>Flere poler</v>
      </c>
      <c r="Q340">
        <f>INDEX('Lister og genveje'!$E$39:$I$46,MATCH(M340,'Lister og genveje'!$D$39:$D$46,0),MATCH(P340,'Lister og genveje'!$E$38:$I$38,0),1)</f>
        <v>10</v>
      </c>
      <c r="R340" s="27">
        <f t="shared" si="8"/>
        <v>3</v>
      </c>
      <c r="S340" s="27">
        <f t="shared" si="9"/>
        <v>5</v>
      </c>
      <c r="T340" s="31">
        <f>VLOOKUP(M340,'Lister og genveje'!$D$39:$J$46,7,0)</f>
        <v>0.75</v>
      </c>
    </row>
    <row r="341" spans="12:20" ht="16" thickBot="1">
      <c r="L341" s="30" t="str">
        <f t="shared" si="7"/>
        <v>EN60898</v>
      </c>
      <c r="M341" t="str">
        <f>'Lister og genveje'!$D$44</f>
        <v>C120N</v>
      </c>
      <c r="N341">
        <v>63</v>
      </c>
      <c r="O341" t="s">
        <v>38</v>
      </c>
      <c r="P341" t="s">
        <v>164</v>
      </c>
      <c r="Q341">
        <f>INDEX('Lister og genveje'!$E$39:$I$46,MATCH(M341,'Lister og genveje'!$D$39:$D$46,0),MATCH(P341,'Lister og genveje'!$E$38:$I$38,0),1)</f>
        <v>3</v>
      </c>
      <c r="R341" s="27">
        <f t="shared" si="8"/>
        <v>3</v>
      </c>
      <c r="S341" s="27">
        <f t="shared" si="9"/>
        <v>5</v>
      </c>
      <c r="T341" s="31">
        <f>VLOOKUP(M341,'Lister og genveje'!$D$39:$J$46,7,0)</f>
        <v>0.75</v>
      </c>
    </row>
    <row r="342" spans="12:20" ht="16" thickBot="1">
      <c r="L342" s="30" t="str">
        <f t="shared" si="7"/>
        <v>EN60898</v>
      </c>
      <c r="M342" t="str">
        <f>'Lister og genveje'!$D$44</f>
        <v>C120N</v>
      </c>
      <c r="N342">
        <v>80</v>
      </c>
      <c r="O342" t="s">
        <v>38</v>
      </c>
      <c r="P342" t="s">
        <v>164</v>
      </c>
      <c r="Q342">
        <f>INDEX('Lister og genveje'!$E$39:$I$46,MATCH(M342,'Lister og genveje'!$D$39:$D$46,0),MATCH(P342,'Lister og genveje'!$E$38:$I$38,0),1)</f>
        <v>3</v>
      </c>
      <c r="R342" s="27">
        <f t="shared" si="8"/>
        <v>3</v>
      </c>
      <c r="S342" s="27">
        <f t="shared" si="9"/>
        <v>5</v>
      </c>
      <c r="T342" s="31">
        <f>VLOOKUP(M342,'Lister og genveje'!$D$39:$J$46,7,0)</f>
        <v>0.75</v>
      </c>
    </row>
    <row r="343" spans="12:20" ht="16" thickBot="1">
      <c r="L343" s="30" t="str">
        <f t="shared" si="7"/>
        <v>EN60898</v>
      </c>
      <c r="M343" t="str">
        <f>'Lister og genveje'!$D$44</f>
        <v>C120N</v>
      </c>
      <c r="N343">
        <v>100</v>
      </c>
      <c r="O343" t="s">
        <v>38</v>
      </c>
      <c r="P343" t="s">
        <v>164</v>
      </c>
      <c r="Q343">
        <f>INDEX('Lister og genveje'!$E$39:$I$46,MATCH(M343,'Lister og genveje'!$D$39:$D$46,0),MATCH(P343,'Lister og genveje'!$E$38:$I$38,0),1)</f>
        <v>3</v>
      </c>
      <c r="R343" s="27">
        <f t="shared" si="8"/>
        <v>3</v>
      </c>
      <c r="S343" s="27">
        <f t="shared" si="9"/>
        <v>5</v>
      </c>
      <c r="T343" s="31">
        <f>VLOOKUP(M343,'Lister og genveje'!$D$39:$J$46,7,0)</f>
        <v>0.75</v>
      </c>
    </row>
    <row r="344" spans="12:20" ht="16" thickBot="1">
      <c r="L344" s="30" t="str">
        <f t="shared" si="7"/>
        <v>EN60898</v>
      </c>
      <c r="M344" t="str">
        <f>'Lister og genveje'!$D$44</f>
        <v>C120N</v>
      </c>
      <c r="N344">
        <v>125</v>
      </c>
      <c r="O344" t="s">
        <v>38</v>
      </c>
      <c r="P344" t="s">
        <v>164</v>
      </c>
      <c r="Q344">
        <f>INDEX('Lister og genveje'!$E$39:$I$46,MATCH(M344,'Lister og genveje'!$D$39:$D$46,0),MATCH(P344,'Lister og genveje'!$E$38:$I$38,0),1)</f>
        <v>3</v>
      </c>
      <c r="R344" s="27">
        <f t="shared" si="8"/>
        <v>3</v>
      </c>
      <c r="S344" s="27">
        <f t="shared" si="9"/>
        <v>5</v>
      </c>
      <c r="T344" s="31">
        <f>VLOOKUP(M344,'Lister og genveje'!$D$39:$J$46,7,0)</f>
        <v>0.75</v>
      </c>
    </row>
    <row r="345" spans="12:20" ht="16" thickBot="1">
      <c r="L345" s="30" t="str">
        <f t="shared" si="7"/>
        <v>EN60898</v>
      </c>
      <c r="M345" t="str">
        <f>'Lister og genveje'!$D$44</f>
        <v>C120N</v>
      </c>
      <c r="N345">
        <v>63</v>
      </c>
      <c r="O345" t="s">
        <v>38</v>
      </c>
      <c r="P345" t="str">
        <f>'Lister og genveje'!$G$38</f>
        <v>Flere poler</v>
      </c>
      <c r="Q345">
        <f>INDEX('Lister og genveje'!$E$39:$I$46,MATCH(M345,'Lister og genveje'!$D$39:$D$46,0),MATCH(P345,'Lister og genveje'!$E$38:$I$38,0),1)</f>
        <v>10</v>
      </c>
      <c r="R345" s="27">
        <f t="shared" si="8"/>
        <v>3</v>
      </c>
      <c r="S345" s="27">
        <f t="shared" si="9"/>
        <v>5</v>
      </c>
      <c r="T345" s="31">
        <f>VLOOKUP(M345,'Lister og genveje'!$D$39:$J$46,7,0)</f>
        <v>0.75</v>
      </c>
    </row>
    <row r="346" spans="12:20" ht="16" thickBot="1">
      <c r="L346" s="30" t="str">
        <f t="shared" si="7"/>
        <v>EN60898</v>
      </c>
      <c r="M346" t="str">
        <f>'Lister og genveje'!$D$44</f>
        <v>C120N</v>
      </c>
      <c r="N346">
        <v>80</v>
      </c>
      <c r="O346" t="s">
        <v>38</v>
      </c>
      <c r="P346" t="str">
        <f>'Lister og genveje'!$G$38</f>
        <v>Flere poler</v>
      </c>
      <c r="Q346">
        <f>INDEX('Lister og genveje'!$E$39:$I$46,MATCH(M346,'Lister og genveje'!$D$39:$D$46,0),MATCH(P346,'Lister og genveje'!$E$38:$I$38,0),1)</f>
        <v>10</v>
      </c>
      <c r="R346" s="27">
        <f t="shared" si="8"/>
        <v>3</v>
      </c>
      <c r="S346" s="27">
        <f t="shared" si="9"/>
        <v>5</v>
      </c>
      <c r="T346" s="31">
        <f>VLOOKUP(M346,'Lister og genveje'!$D$39:$J$46,7,0)</f>
        <v>0.75</v>
      </c>
    </row>
    <row r="347" spans="12:20" ht="16" thickBot="1">
      <c r="L347" s="30" t="str">
        <f t="shared" si="7"/>
        <v>EN60898</v>
      </c>
      <c r="M347" t="str">
        <f>'Lister og genveje'!$D$44</f>
        <v>C120N</v>
      </c>
      <c r="N347">
        <v>100</v>
      </c>
      <c r="O347" t="s">
        <v>38</v>
      </c>
      <c r="P347" t="str">
        <f>'Lister og genveje'!$G$38</f>
        <v>Flere poler</v>
      </c>
      <c r="Q347">
        <f>INDEX('Lister og genveje'!$E$39:$I$46,MATCH(M347,'Lister og genveje'!$D$39:$D$46,0),MATCH(P347,'Lister og genveje'!$E$38:$I$38,0),1)</f>
        <v>10</v>
      </c>
      <c r="R347" s="27">
        <f t="shared" si="8"/>
        <v>3</v>
      </c>
      <c r="S347" s="27">
        <f t="shared" si="9"/>
        <v>5</v>
      </c>
      <c r="T347" s="31">
        <f>VLOOKUP(M347,'Lister og genveje'!$D$39:$J$46,7,0)</f>
        <v>0.75</v>
      </c>
    </row>
    <row r="348" spans="12:20" ht="16" thickBot="1">
      <c r="L348" s="30" t="str">
        <f t="shared" si="7"/>
        <v>EN60898</v>
      </c>
      <c r="M348" t="str">
        <f>'Lister og genveje'!$D$44</f>
        <v>C120N</v>
      </c>
      <c r="N348">
        <v>125</v>
      </c>
      <c r="O348" t="s">
        <v>38</v>
      </c>
      <c r="P348" t="str">
        <f>'Lister og genveje'!$G$38</f>
        <v>Flere poler</v>
      </c>
      <c r="Q348">
        <f>INDEX('Lister og genveje'!$E$39:$I$46,MATCH(M348,'Lister og genveje'!$D$39:$D$46,0),MATCH(P348,'Lister og genveje'!$E$38:$I$38,0),1)</f>
        <v>10</v>
      </c>
      <c r="R348" s="27">
        <f t="shared" si="8"/>
        <v>3</v>
      </c>
      <c r="S348" s="27">
        <f t="shared" si="9"/>
        <v>5</v>
      </c>
      <c r="T348" s="31">
        <f>VLOOKUP(M348,'Lister og genveje'!$D$39:$J$46,7,0)</f>
        <v>0.75</v>
      </c>
    </row>
    <row r="349" spans="12:20" ht="16" thickBot="1">
      <c r="L349" s="30" t="str">
        <f t="shared" si="7"/>
        <v>EN60898</v>
      </c>
      <c r="M349" t="s">
        <v>151</v>
      </c>
      <c r="N349">
        <v>1</v>
      </c>
      <c r="O349" t="s">
        <v>38</v>
      </c>
      <c r="P349" t="s">
        <v>164</v>
      </c>
      <c r="Q349">
        <f>INDEX('Lister og genveje'!$E$39:$I$46,MATCH(M349,'Lister og genveje'!$D$39:$D$46,0),MATCH(P349,'Lister og genveje'!$E$38:$I$38,0),1)</f>
        <v>15</v>
      </c>
      <c r="R349" s="27">
        <f t="shared" si="8"/>
        <v>3</v>
      </c>
      <c r="S349" s="27">
        <f t="shared" si="9"/>
        <v>5</v>
      </c>
      <c r="T349" s="31">
        <f>VLOOKUP(M349,'Lister og genveje'!$D$39:$J$46,7,0)</f>
        <v>0.5</v>
      </c>
    </row>
    <row r="350" spans="12:20" ht="16" thickBot="1">
      <c r="L350" s="30" t="str">
        <f t="shared" si="7"/>
        <v>EN60898</v>
      </c>
      <c r="M350" t="s">
        <v>151</v>
      </c>
      <c r="N350">
        <v>2</v>
      </c>
      <c r="O350" t="s">
        <v>38</v>
      </c>
      <c r="P350" t="s">
        <v>164</v>
      </c>
      <c r="Q350">
        <f>INDEX('Lister og genveje'!$E$39:$I$46,MATCH(M350,'Lister og genveje'!$D$39:$D$46,0),MATCH(P350,'Lister og genveje'!$E$38:$I$38,0),1)</f>
        <v>15</v>
      </c>
      <c r="R350" s="27">
        <f t="shared" si="8"/>
        <v>3</v>
      </c>
      <c r="S350" s="27">
        <f t="shared" si="9"/>
        <v>5</v>
      </c>
      <c r="T350" s="31">
        <f>VLOOKUP(M350,'Lister og genveje'!$D$39:$J$46,7,0)</f>
        <v>0.5</v>
      </c>
    </row>
    <row r="351" spans="12:20" ht="16" thickBot="1">
      <c r="L351" s="30" t="str">
        <f t="shared" si="7"/>
        <v>EN60898</v>
      </c>
      <c r="M351" t="s">
        <v>151</v>
      </c>
      <c r="N351">
        <v>3</v>
      </c>
      <c r="O351" t="s">
        <v>38</v>
      </c>
      <c r="P351" t="s">
        <v>164</v>
      </c>
      <c r="Q351">
        <f>INDEX('Lister og genveje'!$E$39:$I$46,MATCH(M351,'Lister og genveje'!$D$39:$D$46,0),MATCH(P351,'Lister og genveje'!$E$38:$I$38,0),1)</f>
        <v>15</v>
      </c>
      <c r="R351" s="27">
        <f t="shared" si="8"/>
        <v>3</v>
      </c>
      <c r="S351" s="27">
        <f t="shared" si="9"/>
        <v>5</v>
      </c>
      <c r="T351" s="31">
        <f>VLOOKUP(M351,'Lister og genveje'!$D$39:$J$46,7,0)</f>
        <v>0.5</v>
      </c>
    </row>
    <row r="352" spans="12:20" ht="16" thickBot="1">
      <c r="L352" s="30" t="str">
        <f t="shared" si="7"/>
        <v>EN60898</v>
      </c>
      <c r="M352" t="s">
        <v>151</v>
      </c>
      <c r="N352">
        <v>4</v>
      </c>
      <c r="O352" t="s">
        <v>38</v>
      </c>
      <c r="P352" t="s">
        <v>164</v>
      </c>
      <c r="Q352">
        <f>INDEX('Lister og genveje'!$E$39:$I$46,MATCH(M352,'Lister og genveje'!$D$39:$D$46,0),MATCH(P352,'Lister og genveje'!$E$38:$I$38,0),1)</f>
        <v>15</v>
      </c>
      <c r="R352" s="27">
        <f t="shared" si="8"/>
        <v>3</v>
      </c>
      <c r="S352" s="27">
        <f t="shared" si="9"/>
        <v>5</v>
      </c>
      <c r="T352" s="31">
        <f>VLOOKUP(M352,'Lister og genveje'!$D$39:$J$46,7,0)</f>
        <v>0.5</v>
      </c>
    </row>
    <row r="353" spans="12:20" ht="16" thickBot="1">
      <c r="L353" s="30" t="str">
        <f t="shared" si="7"/>
        <v>EN60898</v>
      </c>
      <c r="M353" t="s">
        <v>151</v>
      </c>
      <c r="N353">
        <v>6</v>
      </c>
      <c r="O353" t="s">
        <v>38</v>
      </c>
      <c r="P353" t="s">
        <v>164</v>
      </c>
      <c r="Q353">
        <f>INDEX('Lister og genveje'!$E$39:$I$46,MATCH(M353,'Lister og genveje'!$D$39:$D$46,0),MATCH(P353,'Lister og genveje'!$E$38:$I$38,0),1)</f>
        <v>15</v>
      </c>
      <c r="R353" s="27">
        <f t="shared" si="8"/>
        <v>3</v>
      </c>
      <c r="S353" s="27">
        <f t="shared" si="9"/>
        <v>5</v>
      </c>
      <c r="T353" s="31">
        <f>VLOOKUP(M353,'Lister og genveje'!$D$39:$J$46,7,0)</f>
        <v>0.5</v>
      </c>
    </row>
    <row r="354" spans="12:20" ht="16" thickBot="1">
      <c r="L354" s="30" t="str">
        <f t="shared" si="7"/>
        <v>EN60898</v>
      </c>
      <c r="M354" t="s">
        <v>151</v>
      </c>
      <c r="N354">
        <v>10</v>
      </c>
      <c r="O354" t="s">
        <v>38</v>
      </c>
      <c r="P354" t="s">
        <v>164</v>
      </c>
      <c r="Q354">
        <f>INDEX('Lister og genveje'!$E$39:$I$46,MATCH(M354,'Lister og genveje'!$D$39:$D$46,0),MATCH(P354,'Lister og genveje'!$E$38:$I$38,0),1)</f>
        <v>15</v>
      </c>
      <c r="R354" s="27">
        <f t="shared" si="8"/>
        <v>3</v>
      </c>
      <c r="S354" s="27">
        <f t="shared" si="9"/>
        <v>5</v>
      </c>
      <c r="T354" s="31">
        <f>VLOOKUP(M354,'Lister og genveje'!$D$39:$J$46,7,0)</f>
        <v>0.5</v>
      </c>
    </row>
    <row r="355" spans="12:20" ht="16" thickBot="1">
      <c r="L355" s="30" t="str">
        <f t="shared" si="7"/>
        <v>EN60898</v>
      </c>
      <c r="M355" t="s">
        <v>151</v>
      </c>
      <c r="N355">
        <v>13</v>
      </c>
      <c r="O355" t="s">
        <v>38</v>
      </c>
      <c r="P355" t="s">
        <v>164</v>
      </c>
      <c r="Q355">
        <f>INDEX('Lister og genveje'!$E$39:$I$46,MATCH(M355,'Lister og genveje'!$D$39:$D$46,0),MATCH(P355,'Lister og genveje'!$E$38:$I$38,0),1)</f>
        <v>15</v>
      </c>
      <c r="R355" s="27">
        <f t="shared" si="8"/>
        <v>3</v>
      </c>
      <c r="S355" s="27">
        <f t="shared" si="9"/>
        <v>5</v>
      </c>
      <c r="T355" s="31">
        <f>VLOOKUP(M355,'Lister og genveje'!$D$39:$J$46,7,0)</f>
        <v>0.5</v>
      </c>
    </row>
    <row r="356" spans="12:20" ht="16" thickBot="1">
      <c r="L356" s="30" t="str">
        <f t="shared" si="7"/>
        <v>EN60898</v>
      </c>
      <c r="M356" t="s">
        <v>151</v>
      </c>
      <c r="N356">
        <v>16</v>
      </c>
      <c r="O356" t="s">
        <v>38</v>
      </c>
      <c r="P356" t="s">
        <v>164</v>
      </c>
      <c r="Q356">
        <f>INDEX('Lister og genveje'!$E$39:$I$46,MATCH(M356,'Lister og genveje'!$D$39:$D$46,0),MATCH(P356,'Lister og genveje'!$E$38:$I$38,0),1)</f>
        <v>15</v>
      </c>
      <c r="R356" s="27">
        <f t="shared" si="8"/>
        <v>3</v>
      </c>
      <c r="S356" s="27">
        <f t="shared" si="9"/>
        <v>5</v>
      </c>
      <c r="T356" s="31">
        <f>VLOOKUP(M356,'Lister og genveje'!$D$39:$J$46,7,0)</f>
        <v>0.5</v>
      </c>
    </row>
    <row r="357" spans="12:20" ht="16" thickBot="1">
      <c r="L357" s="30" t="str">
        <f t="shared" si="7"/>
        <v>EN60898</v>
      </c>
      <c r="M357" t="s">
        <v>151</v>
      </c>
      <c r="N357">
        <v>20</v>
      </c>
      <c r="O357" t="s">
        <v>38</v>
      </c>
      <c r="P357" t="s">
        <v>164</v>
      </c>
      <c r="Q357">
        <f>INDEX('Lister og genveje'!$E$39:$I$46,MATCH(M357,'Lister og genveje'!$D$39:$D$46,0),MATCH(P357,'Lister og genveje'!$E$38:$I$38,0),1)</f>
        <v>15</v>
      </c>
      <c r="R357" s="27">
        <f t="shared" si="8"/>
        <v>3</v>
      </c>
      <c r="S357" s="27">
        <f t="shared" si="9"/>
        <v>5</v>
      </c>
      <c r="T357" s="31">
        <f>VLOOKUP(M357,'Lister og genveje'!$D$39:$J$46,7,0)</f>
        <v>0.5</v>
      </c>
    </row>
    <row r="358" spans="12:20" ht="16" thickBot="1">
      <c r="L358" s="30" t="str">
        <f t="shared" si="7"/>
        <v>EN60898</v>
      </c>
      <c r="M358" t="s">
        <v>151</v>
      </c>
      <c r="N358">
        <v>25</v>
      </c>
      <c r="O358" t="s">
        <v>38</v>
      </c>
      <c r="P358" t="s">
        <v>164</v>
      </c>
      <c r="Q358">
        <f>INDEX('Lister og genveje'!$E$39:$I$46,MATCH(M358,'Lister og genveje'!$D$39:$D$46,0),MATCH(P358,'Lister og genveje'!$E$38:$I$38,0),1)</f>
        <v>15</v>
      </c>
      <c r="R358" s="27">
        <f t="shared" si="8"/>
        <v>3</v>
      </c>
      <c r="S358" s="27">
        <f t="shared" si="9"/>
        <v>5</v>
      </c>
      <c r="T358" s="31">
        <f>VLOOKUP(M358,'Lister og genveje'!$D$39:$J$46,7,0)</f>
        <v>0.5</v>
      </c>
    </row>
    <row r="359" spans="12:20" ht="16" thickBot="1">
      <c r="L359" s="30" t="str">
        <f t="shared" si="7"/>
        <v>EN60898</v>
      </c>
      <c r="M359" t="s">
        <v>151</v>
      </c>
      <c r="N359">
        <v>32</v>
      </c>
      <c r="O359" t="s">
        <v>38</v>
      </c>
      <c r="P359" t="s">
        <v>164</v>
      </c>
      <c r="Q359">
        <f>INDEX('Lister og genveje'!$E$39:$I$46,MATCH(M359,'Lister og genveje'!$D$39:$D$46,0),MATCH(P359,'Lister og genveje'!$E$38:$I$38,0),1)</f>
        <v>15</v>
      </c>
      <c r="R359" s="27">
        <f t="shared" si="8"/>
        <v>3</v>
      </c>
      <c r="S359" s="27">
        <f t="shared" si="9"/>
        <v>5</v>
      </c>
      <c r="T359" s="31">
        <f>VLOOKUP(M359,'Lister og genveje'!$D$39:$J$46,7,0)</f>
        <v>0.5</v>
      </c>
    </row>
    <row r="360" spans="12:20" ht="16" thickBot="1">
      <c r="L360" s="30" t="str">
        <f t="shared" si="7"/>
        <v>EN60898</v>
      </c>
      <c r="M360" t="s">
        <v>151</v>
      </c>
      <c r="N360">
        <v>40</v>
      </c>
      <c r="O360" t="s">
        <v>38</v>
      </c>
      <c r="P360" t="s">
        <v>164</v>
      </c>
      <c r="Q360">
        <f>INDEX('Lister og genveje'!$E$39:$I$46,MATCH(M360,'Lister og genveje'!$D$39:$D$46,0),MATCH(P360,'Lister og genveje'!$E$38:$I$38,0),1)</f>
        <v>15</v>
      </c>
      <c r="R360" s="27">
        <f t="shared" si="8"/>
        <v>3</v>
      </c>
      <c r="S360" s="27">
        <f t="shared" si="9"/>
        <v>5</v>
      </c>
      <c r="T360" s="31">
        <f>VLOOKUP(M360,'Lister og genveje'!$D$39:$J$46,7,0)</f>
        <v>0.5</v>
      </c>
    </row>
    <row r="361" spans="12:20" ht="16" thickBot="1">
      <c r="L361" s="30" t="str">
        <f t="shared" si="7"/>
        <v>EN60898</v>
      </c>
      <c r="M361" t="s">
        <v>151</v>
      </c>
      <c r="N361">
        <v>50</v>
      </c>
      <c r="O361" t="s">
        <v>38</v>
      </c>
      <c r="P361" t="s">
        <v>164</v>
      </c>
      <c r="Q361">
        <f>INDEX('Lister og genveje'!$E$39:$I$46,MATCH(M361,'Lister og genveje'!$D$39:$D$46,0),MATCH(P361,'Lister og genveje'!$E$38:$I$38,0),1)</f>
        <v>15</v>
      </c>
      <c r="R361" s="27">
        <f t="shared" si="8"/>
        <v>3</v>
      </c>
      <c r="S361" s="27">
        <f t="shared" si="9"/>
        <v>5</v>
      </c>
      <c r="T361" s="31">
        <f>VLOOKUP(M361,'Lister og genveje'!$D$39:$J$46,7,0)</f>
        <v>0.5</v>
      </c>
    </row>
    <row r="362" spans="12:20" ht="16" thickBot="1">
      <c r="L362" s="30" t="str">
        <f t="shared" si="7"/>
        <v>EN60898</v>
      </c>
      <c r="M362" t="s">
        <v>151</v>
      </c>
      <c r="N362">
        <v>63</v>
      </c>
      <c r="O362" t="s">
        <v>38</v>
      </c>
      <c r="P362" t="s">
        <v>164</v>
      </c>
      <c r="Q362">
        <f>INDEX('Lister og genveje'!$E$39:$I$46,MATCH(M362,'Lister og genveje'!$D$39:$D$46,0),MATCH(P362,'Lister og genveje'!$E$38:$I$38,0),1)</f>
        <v>15</v>
      </c>
      <c r="R362" s="27">
        <f t="shared" si="8"/>
        <v>3</v>
      </c>
      <c r="S362" s="27">
        <f t="shared" si="9"/>
        <v>5</v>
      </c>
      <c r="T362" s="31">
        <f>VLOOKUP(M362,'Lister og genveje'!$D$39:$J$46,7,0)</f>
        <v>0.5</v>
      </c>
    </row>
    <row r="363" spans="12:20" ht="16" thickBot="1">
      <c r="L363" s="30" t="str">
        <f t="shared" si="7"/>
        <v>EN60898</v>
      </c>
      <c r="M363" t="s">
        <v>151</v>
      </c>
      <c r="N363">
        <v>80</v>
      </c>
      <c r="O363" t="s">
        <v>38</v>
      </c>
      <c r="P363" t="s">
        <v>164</v>
      </c>
      <c r="Q363">
        <f>INDEX('Lister og genveje'!$E$39:$I$46,MATCH(M363,'Lister og genveje'!$D$39:$D$46,0),MATCH(P363,'Lister og genveje'!$E$38:$I$38,0),1)</f>
        <v>15</v>
      </c>
      <c r="R363" s="27">
        <f t="shared" si="8"/>
        <v>3</v>
      </c>
      <c r="S363" s="27">
        <f t="shared" si="9"/>
        <v>5</v>
      </c>
      <c r="T363" s="31">
        <f>VLOOKUP(M363,'Lister og genveje'!$D$39:$J$46,7,0)</f>
        <v>0.5</v>
      </c>
    </row>
    <row r="364" spans="12:20" ht="16" thickBot="1">
      <c r="L364" s="30" t="str">
        <f t="shared" si="7"/>
        <v>EN60898</v>
      </c>
      <c r="M364" t="s">
        <v>151</v>
      </c>
      <c r="N364">
        <v>100</v>
      </c>
      <c r="O364" t="s">
        <v>38</v>
      </c>
      <c r="P364" t="s">
        <v>164</v>
      </c>
      <c r="Q364">
        <f>INDEX('Lister og genveje'!$E$39:$I$46,MATCH(M364,'Lister og genveje'!$D$39:$D$46,0),MATCH(P364,'Lister og genveje'!$E$38:$I$38,0),1)</f>
        <v>15</v>
      </c>
      <c r="R364" s="27">
        <f t="shared" si="8"/>
        <v>3</v>
      </c>
      <c r="S364" s="27">
        <f t="shared" si="9"/>
        <v>5</v>
      </c>
      <c r="T364" s="31">
        <f>VLOOKUP(M364,'Lister og genveje'!$D$39:$J$46,7,0)</f>
        <v>0.5</v>
      </c>
    </row>
    <row r="365" spans="12:20" ht="16" thickBot="1">
      <c r="L365" s="30" t="str">
        <f t="shared" si="7"/>
        <v>EN60898</v>
      </c>
      <c r="M365" t="s">
        <v>151</v>
      </c>
      <c r="N365">
        <v>125</v>
      </c>
      <c r="O365" t="s">
        <v>38</v>
      </c>
      <c r="P365" t="s">
        <v>164</v>
      </c>
      <c r="Q365">
        <f>INDEX('Lister og genveje'!$E$39:$I$46,MATCH(M365,'Lister og genveje'!$D$39:$D$46,0),MATCH(P365,'Lister og genveje'!$E$38:$I$38,0),1)</f>
        <v>15</v>
      </c>
      <c r="R365" s="27">
        <f t="shared" si="8"/>
        <v>3</v>
      </c>
      <c r="S365" s="27">
        <f t="shared" si="9"/>
        <v>5</v>
      </c>
      <c r="T365" s="31">
        <f>VLOOKUP(M365,'Lister og genveje'!$D$39:$J$46,7,0)</f>
        <v>0.5</v>
      </c>
    </row>
    <row r="366" spans="12:20" ht="16" thickBot="1">
      <c r="L366" s="30" t="str">
        <f t="shared" si="7"/>
        <v>EN60898</v>
      </c>
      <c r="M366" t="s">
        <v>151</v>
      </c>
      <c r="N366">
        <v>1</v>
      </c>
      <c r="O366" t="s">
        <v>38</v>
      </c>
      <c r="P366" t="s">
        <v>166</v>
      </c>
      <c r="Q366">
        <f>INDEX('Lister og genveje'!$E$39:$I$46,MATCH(M366,'Lister og genveje'!$D$39:$D$46,0),MATCH(P366,'Lister og genveje'!$E$38:$I$38,0),1)</f>
        <v>30</v>
      </c>
      <c r="R366" s="27">
        <f t="shared" si="8"/>
        <v>3</v>
      </c>
      <c r="S366" s="27">
        <f t="shared" si="9"/>
        <v>5</v>
      </c>
      <c r="T366" s="31">
        <f>VLOOKUP(M366,'Lister og genveje'!$D$39:$J$46,7,0)</f>
        <v>0.5</v>
      </c>
    </row>
    <row r="367" spans="12:20" ht="16" thickBot="1">
      <c r="L367" s="30" t="str">
        <f t="shared" si="7"/>
        <v>EN60898</v>
      </c>
      <c r="M367" t="s">
        <v>151</v>
      </c>
      <c r="N367">
        <v>2</v>
      </c>
      <c r="O367" t="s">
        <v>38</v>
      </c>
      <c r="P367" t="s">
        <v>166</v>
      </c>
      <c r="Q367">
        <f>INDEX('Lister og genveje'!$E$39:$I$46,MATCH(M367,'Lister og genveje'!$D$39:$D$46,0),MATCH(P367,'Lister og genveje'!$E$38:$I$38,0),1)</f>
        <v>30</v>
      </c>
      <c r="R367" s="27">
        <f t="shared" si="8"/>
        <v>3</v>
      </c>
      <c r="S367" s="27">
        <f t="shared" si="9"/>
        <v>5</v>
      </c>
      <c r="T367" s="31">
        <f>VLOOKUP(M367,'Lister og genveje'!$D$39:$J$46,7,0)</f>
        <v>0.5</v>
      </c>
    </row>
    <row r="368" spans="12:20" ht="16" thickBot="1">
      <c r="L368" s="30" t="str">
        <f t="shared" si="7"/>
        <v>EN60898</v>
      </c>
      <c r="M368" t="s">
        <v>151</v>
      </c>
      <c r="N368">
        <v>3</v>
      </c>
      <c r="O368" t="s">
        <v>38</v>
      </c>
      <c r="P368" t="s">
        <v>166</v>
      </c>
      <c r="Q368">
        <f>INDEX('Lister og genveje'!$E$39:$I$46,MATCH(M368,'Lister og genveje'!$D$39:$D$46,0),MATCH(P368,'Lister og genveje'!$E$38:$I$38,0),1)</f>
        <v>30</v>
      </c>
      <c r="R368" s="27">
        <f t="shared" si="8"/>
        <v>3</v>
      </c>
      <c r="S368" s="27">
        <f t="shared" si="9"/>
        <v>5</v>
      </c>
      <c r="T368" s="31">
        <f>VLOOKUP(M368,'Lister og genveje'!$D$39:$J$46,7,0)</f>
        <v>0.5</v>
      </c>
    </row>
    <row r="369" spans="12:20" ht="16" thickBot="1">
      <c r="L369" s="30" t="str">
        <f t="shared" si="7"/>
        <v>EN60898</v>
      </c>
      <c r="M369" t="s">
        <v>151</v>
      </c>
      <c r="N369">
        <v>4</v>
      </c>
      <c r="O369" t="s">
        <v>38</v>
      </c>
      <c r="P369" t="s">
        <v>166</v>
      </c>
      <c r="Q369">
        <f>INDEX('Lister og genveje'!$E$39:$I$46,MATCH(M369,'Lister og genveje'!$D$39:$D$46,0),MATCH(P369,'Lister og genveje'!$E$38:$I$38,0),1)</f>
        <v>30</v>
      </c>
      <c r="R369" s="27">
        <f t="shared" si="8"/>
        <v>3</v>
      </c>
      <c r="S369" s="27">
        <f t="shared" si="9"/>
        <v>5</v>
      </c>
      <c r="T369" s="31">
        <f>VLOOKUP(M369,'Lister og genveje'!$D$39:$J$46,7,0)</f>
        <v>0.5</v>
      </c>
    </row>
    <row r="370" spans="12:20" ht="16" thickBot="1">
      <c r="L370" s="30" t="str">
        <f t="shared" si="7"/>
        <v>EN60898</v>
      </c>
      <c r="M370" t="s">
        <v>151</v>
      </c>
      <c r="N370">
        <v>6</v>
      </c>
      <c r="O370" t="s">
        <v>38</v>
      </c>
      <c r="P370" t="s">
        <v>166</v>
      </c>
      <c r="Q370">
        <f>INDEX('Lister og genveje'!$E$39:$I$46,MATCH(M370,'Lister og genveje'!$D$39:$D$46,0),MATCH(P370,'Lister og genveje'!$E$38:$I$38,0),1)</f>
        <v>30</v>
      </c>
      <c r="R370" s="27">
        <f t="shared" si="8"/>
        <v>3</v>
      </c>
      <c r="S370" s="27">
        <f t="shared" si="9"/>
        <v>5</v>
      </c>
      <c r="T370" s="31">
        <f>VLOOKUP(M370,'Lister og genveje'!$D$39:$J$46,7,0)</f>
        <v>0.5</v>
      </c>
    </row>
    <row r="371" spans="12:20" ht="16" thickBot="1">
      <c r="L371" s="30" t="str">
        <f t="shared" si="7"/>
        <v>EN60898</v>
      </c>
      <c r="M371" t="s">
        <v>151</v>
      </c>
      <c r="N371">
        <v>10</v>
      </c>
      <c r="O371" t="s">
        <v>38</v>
      </c>
      <c r="P371" t="s">
        <v>166</v>
      </c>
      <c r="Q371">
        <f>INDEX('Lister og genveje'!$E$39:$I$46,MATCH(M371,'Lister og genveje'!$D$39:$D$46,0),MATCH(P371,'Lister og genveje'!$E$38:$I$38,0),1)</f>
        <v>30</v>
      </c>
      <c r="R371" s="27">
        <f t="shared" si="8"/>
        <v>3</v>
      </c>
      <c r="S371" s="27">
        <f t="shared" si="9"/>
        <v>5</v>
      </c>
      <c r="T371" s="31">
        <f>VLOOKUP(M371,'Lister og genveje'!$D$39:$J$46,7,0)</f>
        <v>0.5</v>
      </c>
    </row>
    <row r="372" spans="12:20" ht="16" thickBot="1">
      <c r="L372" s="30" t="str">
        <f t="shared" si="7"/>
        <v>EN60898</v>
      </c>
      <c r="M372" t="s">
        <v>151</v>
      </c>
      <c r="N372">
        <v>13</v>
      </c>
      <c r="O372" t="s">
        <v>38</v>
      </c>
      <c r="P372" t="s">
        <v>166</v>
      </c>
      <c r="Q372">
        <f>INDEX('Lister og genveje'!$E$39:$I$46,MATCH(M372,'Lister og genveje'!$D$39:$D$46,0),MATCH(P372,'Lister og genveje'!$E$38:$I$38,0),1)</f>
        <v>30</v>
      </c>
      <c r="R372" s="27">
        <f t="shared" si="8"/>
        <v>3</v>
      </c>
      <c r="S372" s="27">
        <f t="shared" si="9"/>
        <v>5</v>
      </c>
      <c r="T372" s="31">
        <f>VLOOKUP(M372,'Lister og genveje'!$D$39:$J$46,7,0)</f>
        <v>0.5</v>
      </c>
    </row>
    <row r="373" spans="12:20" ht="16" thickBot="1">
      <c r="L373" s="30" t="str">
        <f t="shared" si="7"/>
        <v>EN60898</v>
      </c>
      <c r="M373" t="s">
        <v>151</v>
      </c>
      <c r="N373">
        <v>16</v>
      </c>
      <c r="O373" t="s">
        <v>38</v>
      </c>
      <c r="P373" t="s">
        <v>166</v>
      </c>
      <c r="Q373">
        <f>INDEX('Lister og genveje'!$E$39:$I$46,MATCH(M373,'Lister og genveje'!$D$39:$D$46,0),MATCH(P373,'Lister og genveje'!$E$38:$I$38,0),1)</f>
        <v>30</v>
      </c>
      <c r="R373" s="27">
        <f t="shared" si="8"/>
        <v>3</v>
      </c>
      <c r="S373" s="27">
        <f t="shared" si="9"/>
        <v>5</v>
      </c>
      <c r="T373" s="31">
        <f>VLOOKUP(M373,'Lister og genveje'!$D$39:$J$46,7,0)</f>
        <v>0.5</v>
      </c>
    </row>
    <row r="374" spans="12:20" ht="16" thickBot="1">
      <c r="L374" s="30" t="str">
        <f t="shared" si="7"/>
        <v>EN60898</v>
      </c>
      <c r="M374" t="s">
        <v>151</v>
      </c>
      <c r="N374">
        <v>20</v>
      </c>
      <c r="O374" t="s">
        <v>38</v>
      </c>
      <c r="P374" t="s">
        <v>166</v>
      </c>
      <c r="Q374">
        <f>INDEX('Lister og genveje'!$E$39:$I$46,MATCH(M374,'Lister og genveje'!$D$39:$D$46,0),MATCH(P374,'Lister og genveje'!$E$38:$I$38,0),1)</f>
        <v>30</v>
      </c>
      <c r="R374" s="27">
        <f t="shared" si="8"/>
        <v>3</v>
      </c>
      <c r="S374" s="27">
        <f t="shared" si="9"/>
        <v>5</v>
      </c>
      <c r="T374" s="31">
        <f>VLOOKUP(M374,'Lister og genveje'!$D$39:$J$46,7,0)</f>
        <v>0.5</v>
      </c>
    </row>
    <row r="375" spans="12:20" ht="16" thickBot="1">
      <c r="L375" s="30" t="str">
        <f t="shared" si="7"/>
        <v>EN60898</v>
      </c>
      <c r="M375" t="s">
        <v>151</v>
      </c>
      <c r="N375">
        <v>25</v>
      </c>
      <c r="O375" t="s">
        <v>38</v>
      </c>
      <c r="P375" t="s">
        <v>166</v>
      </c>
      <c r="Q375">
        <f>INDEX('Lister og genveje'!$E$39:$I$46,MATCH(M375,'Lister og genveje'!$D$39:$D$46,0),MATCH(P375,'Lister og genveje'!$E$38:$I$38,0),1)</f>
        <v>30</v>
      </c>
      <c r="R375" s="27">
        <f t="shared" si="8"/>
        <v>3</v>
      </c>
      <c r="S375" s="27">
        <f t="shared" si="9"/>
        <v>5</v>
      </c>
      <c r="T375" s="31">
        <f>VLOOKUP(M375,'Lister og genveje'!$D$39:$J$46,7,0)</f>
        <v>0.5</v>
      </c>
    </row>
    <row r="376" spans="12:20" ht="16" thickBot="1">
      <c r="L376" s="30" t="str">
        <f t="shared" ref="L376:L439" si="10">$E$54</f>
        <v>EN60898</v>
      </c>
      <c r="M376" t="s">
        <v>151</v>
      </c>
      <c r="N376">
        <v>32</v>
      </c>
      <c r="O376" t="s">
        <v>38</v>
      </c>
      <c r="P376" t="s">
        <v>166</v>
      </c>
      <c r="Q376">
        <f>INDEX('Lister og genveje'!$E$39:$I$46,MATCH(M376,'Lister og genveje'!$D$39:$D$46,0),MATCH(P376,'Lister og genveje'!$E$38:$I$38,0),1)</f>
        <v>30</v>
      </c>
      <c r="R376" s="27">
        <f t="shared" ref="R376:R439" si="11">VLOOKUP(O376,$F$54:$H$56,2,FALSE)</f>
        <v>3</v>
      </c>
      <c r="S376" s="27">
        <f t="shared" ref="S376:S439" si="12">VLOOKUP(O376,$F$54:$H$56,3,FALSE)</f>
        <v>5</v>
      </c>
      <c r="T376" s="31">
        <f>VLOOKUP(M376,'Lister og genveje'!$D$39:$J$46,7,0)</f>
        <v>0.5</v>
      </c>
    </row>
    <row r="377" spans="12:20" ht="16" thickBot="1">
      <c r="L377" s="30" t="str">
        <f t="shared" si="10"/>
        <v>EN60898</v>
      </c>
      <c r="M377" t="s">
        <v>151</v>
      </c>
      <c r="N377">
        <v>40</v>
      </c>
      <c r="O377" t="s">
        <v>38</v>
      </c>
      <c r="P377" t="s">
        <v>166</v>
      </c>
      <c r="Q377">
        <f>INDEX('Lister og genveje'!$E$39:$I$46,MATCH(M377,'Lister og genveje'!$D$39:$D$46,0),MATCH(P377,'Lister og genveje'!$E$38:$I$38,0),1)</f>
        <v>30</v>
      </c>
      <c r="R377" s="27">
        <f t="shared" si="11"/>
        <v>3</v>
      </c>
      <c r="S377" s="27">
        <f t="shared" si="12"/>
        <v>5</v>
      </c>
      <c r="T377" s="31">
        <f>VLOOKUP(M377,'Lister og genveje'!$D$39:$J$46,7,0)</f>
        <v>0.5</v>
      </c>
    </row>
    <row r="378" spans="12:20" ht="16" thickBot="1">
      <c r="L378" s="30" t="str">
        <f t="shared" si="10"/>
        <v>EN60898</v>
      </c>
      <c r="M378" t="s">
        <v>151</v>
      </c>
      <c r="N378">
        <v>50</v>
      </c>
      <c r="O378" t="s">
        <v>38</v>
      </c>
      <c r="P378" t="s">
        <v>166</v>
      </c>
      <c r="Q378">
        <f>INDEX('Lister og genveje'!$E$39:$I$46,MATCH(M378,'Lister og genveje'!$D$39:$D$46,0),MATCH(P378,'Lister og genveje'!$E$38:$I$38,0),1)</f>
        <v>30</v>
      </c>
      <c r="R378" s="27">
        <f t="shared" si="11"/>
        <v>3</v>
      </c>
      <c r="S378" s="27">
        <f t="shared" si="12"/>
        <v>5</v>
      </c>
      <c r="T378" s="31">
        <f>VLOOKUP(M378,'Lister og genveje'!$D$39:$J$46,7,0)</f>
        <v>0.5</v>
      </c>
    </row>
    <row r="379" spans="12:20" ht="16" thickBot="1">
      <c r="L379" s="30" t="str">
        <f t="shared" si="10"/>
        <v>EN60898</v>
      </c>
      <c r="M379" t="s">
        <v>151</v>
      </c>
      <c r="N379">
        <v>63</v>
      </c>
      <c r="O379" t="s">
        <v>38</v>
      </c>
      <c r="P379" t="s">
        <v>166</v>
      </c>
      <c r="Q379">
        <f>INDEX('Lister og genveje'!$E$39:$I$46,MATCH(M379,'Lister og genveje'!$D$39:$D$46,0),MATCH(P379,'Lister og genveje'!$E$38:$I$38,0),1)</f>
        <v>30</v>
      </c>
      <c r="R379" s="27">
        <f t="shared" si="11"/>
        <v>3</v>
      </c>
      <c r="S379" s="27">
        <f t="shared" si="12"/>
        <v>5</v>
      </c>
      <c r="T379" s="31">
        <f>VLOOKUP(M379,'Lister og genveje'!$D$39:$J$46,7,0)</f>
        <v>0.5</v>
      </c>
    </row>
    <row r="380" spans="12:20" ht="16" thickBot="1">
      <c r="L380" s="30" t="str">
        <f t="shared" si="10"/>
        <v>EN60898</v>
      </c>
      <c r="M380" t="s">
        <v>151</v>
      </c>
      <c r="N380">
        <v>80</v>
      </c>
      <c r="O380" t="s">
        <v>38</v>
      </c>
      <c r="P380" t="s">
        <v>166</v>
      </c>
      <c r="Q380">
        <f>INDEX('Lister og genveje'!$E$39:$I$46,MATCH(M380,'Lister og genveje'!$D$39:$D$46,0),MATCH(P380,'Lister og genveje'!$E$38:$I$38,0),1)</f>
        <v>30</v>
      </c>
      <c r="R380" s="27">
        <f t="shared" si="11"/>
        <v>3</v>
      </c>
      <c r="S380" s="27">
        <f t="shared" si="12"/>
        <v>5</v>
      </c>
      <c r="T380" s="31">
        <f>VLOOKUP(M380,'Lister og genveje'!$D$39:$J$46,7,0)</f>
        <v>0.5</v>
      </c>
    </row>
    <row r="381" spans="12:20" ht="16" thickBot="1">
      <c r="L381" s="30" t="str">
        <f t="shared" si="10"/>
        <v>EN60898</v>
      </c>
      <c r="M381" t="s">
        <v>151</v>
      </c>
      <c r="N381">
        <v>100</v>
      </c>
      <c r="O381" t="s">
        <v>38</v>
      </c>
      <c r="P381" t="s">
        <v>166</v>
      </c>
      <c r="Q381">
        <f>INDEX('Lister og genveje'!$E$39:$I$46,MATCH(M381,'Lister og genveje'!$D$39:$D$46,0),MATCH(P381,'Lister og genveje'!$E$38:$I$38,0),1)</f>
        <v>30</v>
      </c>
      <c r="R381" s="27">
        <f t="shared" si="11"/>
        <v>3</v>
      </c>
      <c r="S381" s="27">
        <f t="shared" si="12"/>
        <v>5</v>
      </c>
      <c r="T381" s="31">
        <f>VLOOKUP(M381,'Lister og genveje'!$D$39:$J$46,7,0)</f>
        <v>0.5</v>
      </c>
    </row>
    <row r="382" spans="12:20" ht="16" thickBot="1">
      <c r="L382" s="30" t="str">
        <f t="shared" si="10"/>
        <v>EN60898</v>
      </c>
      <c r="M382" t="s">
        <v>151</v>
      </c>
      <c r="N382">
        <v>125</v>
      </c>
      <c r="O382" t="s">
        <v>38</v>
      </c>
      <c r="P382" t="s">
        <v>166</v>
      </c>
      <c r="Q382">
        <f>INDEX('Lister og genveje'!$E$39:$I$46,MATCH(M382,'Lister og genveje'!$D$39:$D$46,0),MATCH(P382,'Lister og genveje'!$E$38:$I$38,0),1)</f>
        <v>30</v>
      </c>
      <c r="R382" s="27">
        <f t="shared" si="11"/>
        <v>3</v>
      </c>
      <c r="S382" s="27">
        <f t="shared" si="12"/>
        <v>5</v>
      </c>
      <c r="T382" s="31">
        <f>VLOOKUP(M382,'Lister og genveje'!$D$39:$J$46,7,0)</f>
        <v>0.5</v>
      </c>
    </row>
    <row r="383" spans="12:20" ht="16" thickBot="1">
      <c r="L383" s="30" t="str">
        <f t="shared" si="10"/>
        <v>EN60898</v>
      </c>
      <c r="M383" t="s">
        <v>152</v>
      </c>
      <c r="N383">
        <v>10</v>
      </c>
      <c r="O383" t="s">
        <v>38</v>
      </c>
      <c r="P383" t="s">
        <v>164</v>
      </c>
      <c r="Q383">
        <f>INDEX('Lister og genveje'!$E$39:$I$46,MATCH(M383,'Lister og genveje'!$D$39:$D$46,0),MATCH(P383,'Lister og genveje'!$E$38:$I$38,0),1)</f>
        <v>4.5</v>
      </c>
      <c r="R383" s="27">
        <f t="shared" si="11"/>
        <v>3</v>
      </c>
      <c r="S383" s="27">
        <f t="shared" si="12"/>
        <v>5</v>
      </c>
      <c r="T383" s="31">
        <f>VLOOKUP(M383,'Lister og genveje'!$D$39:$J$46,7,0)</f>
        <v>0.75</v>
      </c>
    </row>
    <row r="384" spans="12:20" ht="16" thickBot="1">
      <c r="L384" s="30" t="str">
        <f t="shared" si="10"/>
        <v>EN60898</v>
      </c>
      <c r="M384" t="s">
        <v>152</v>
      </c>
      <c r="N384">
        <v>13</v>
      </c>
      <c r="O384" t="s">
        <v>38</v>
      </c>
      <c r="P384" t="s">
        <v>164</v>
      </c>
      <c r="Q384">
        <f>INDEX('Lister og genveje'!$E$39:$I$46,MATCH(M384,'Lister og genveje'!$D$39:$D$46,0),MATCH(P384,'Lister og genveje'!$E$38:$I$38,0),1)</f>
        <v>4.5</v>
      </c>
      <c r="R384" s="27">
        <f t="shared" si="11"/>
        <v>3</v>
      </c>
      <c r="S384" s="27">
        <f t="shared" si="12"/>
        <v>5</v>
      </c>
      <c r="T384" s="31">
        <f>VLOOKUP(M384,'Lister og genveje'!$D$39:$J$46,7,0)</f>
        <v>0.75</v>
      </c>
    </row>
    <row r="385" spans="12:20" ht="16" thickBot="1">
      <c r="L385" s="30" t="str">
        <f t="shared" si="10"/>
        <v>EN60898</v>
      </c>
      <c r="M385" t="s">
        <v>152</v>
      </c>
      <c r="N385">
        <v>16</v>
      </c>
      <c r="O385" t="s">
        <v>38</v>
      </c>
      <c r="P385" t="s">
        <v>164</v>
      </c>
      <c r="Q385">
        <f>INDEX('Lister og genveje'!$E$39:$I$46,MATCH(M385,'Lister og genveje'!$D$39:$D$46,0),MATCH(P385,'Lister og genveje'!$E$38:$I$38,0),1)</f>
        <v>4.5</v>
      </c>
      <c r="R385" s="27">
        <f t="shared" si="11"/>
        <v>3</v>
      </c>
      <c r="S385" s="27">
        <f t="shared" si="12"/>
        <v>5</v>
      </c>
      <c r="T385" s="31">
        <f>VLOOKUP(M385,'Lister og genveje'!$D$39:$J$46,7,0)</f>
        <v>0.75</v>
      </c>
    </row>
    <row r="386" spans="12:20" ht="16" thickBot="1">
      <c r="L386" s="30" t="str">
        <f t="shared" si="10"/>
        <v>EN60898</v>
      </c>
      <c r="M386" t="s">
        <v>152</v>
      </c>
      <c r="N386">
        <v>20</v>
      </c>
      <c r="O386" t="s">
        <v>38</v>
      </c>
      <c r="P386" t="s">
        <v>164</v>
      </c>
      <c r="Q386">
        <f>INDEX('Lister og genveje'!$E$39:$I$46,MATCH(M386,'Lister og genveje'!$D$39:$D$46,0),MATCH(P386,'Lister og genveje'!$E$38:$I$38,0),1)</f>
        <v>4.5</v>
      </c>
      <c r="R386" s="27">
        <f t="shared" si="11"/>
        <v>3</v>
      </c>
      <c r="S386" s="27">
        <f t="shared" si="12"/>
        <v>5</v>
      </c>
      <c r="T386" s="31">
        <f>VLOOKUP(M386,'Lister og genveje'!$D$39:$J$46,7,0)</f>
        <v>0.75</v>
      </c>
    </row>
    <row r="387" spans="12:20" ht="16" thickBot="1">
      <c r="L387" s="30" t="str">
        <f t="shared" si="10"/>
        <v>EN60898</v>
      </c>
      <c r="M387" t="s">
        <v>152</v>
      </c>
      <c r="N387">
        <v>25</v>
      </c>
      <c r="O387" t="s">
        <v>38</v>
      </c>
      <c r="P387" t="s">
        <v>164</v>
      </c>
      <c r="Q387">
        <f>INDEX('Lister og genveje'!$E$39:$I$46,MATCH(M387,'Lister og genveje'!$D$39:$D$46,0),MATCH(P387,'Lister og genveje'!$E$38:$I$38,0),1)</f>
        <v>4.5</v>
      </c>
      <c r="R387" s="27">
        <f t="shared" si="11"/>
        <v>3</v>
      </c>
      <c r="S387" s="27">
        <f t="shared" si="12"/>
        <v>5</v>
      </c>
      <c r="T387" s="31">
        <f>VLOOKUP(M387,'Lister og genveje'!$D$39:$J$46,7,0)</f>
        <v>0.75</v>
      </c>
    </row>
    <row r="388" spans="12:20" ht="16" thickBot="1">
      <c r="L388" s="30" t="str">
        <f t="shared" si="10"/>
        <v>EN60898</v>
      </c>
      <c r="M388" t="s">
        <v>152</v>
      </c>
      <c r="N388">
        <v>32</v>
      </c>
      <c r="O388" t="s">
        <v>38</v>
      </c>
      <c r="P388" t="s">
        <v>164</v>
      </c>
      <c r="Q388">
        <f>INDEX('Lister og genveje'!$E$39:$I$46,MATCH(M388,'Lister og genveje'!$D$39:$D$46,0),MATCH(P388,'Lister og genveje'!$E$38:$I$38,0),1)</f>
        <v>4.5</v>
      </c>
      <c r="R388" s="27">
        <f t="shared" si="11"/>
        <v>3</v>
      </c>
      <c r="S388" s="27">
        <f t="shared" si="12"/>
        <v>5</v>
      </c>
      <c r="T388" s="31">
        <f>VLOOKUP(M388,'Lister og genveje'!$D$39:$J$46,7,0)</f>
        <v>0.75</v>
      </c>
    </row>
    <row r="389" spans="12:20" ht="16" thickBot="1">
      <c r="L389" s="30" t="str">
        <f t="shared" si="10"/>
        <v>EN60898</v>
      </c>
      <c r="M389" t="s">
        <v>152</v>
      </c>
      <c r="N389">
        <v>40</v>
      </c>
      <c r="O389" t="s">
        <v>38</v>
      </c>
      <c r="P389" t="s">
        <v>164</v>
      </c>
      <c r="Q389">
        <f>INDEX('Lister og genveje'!$E$39:$I$46,MATCH(M389,'Lister og genveje'!$D$39:$D$46,0),MATCH(P389,'Lister og genveje'!$E$38:$I$38,0),1)</f>
        <v>4.5</v>
      </c>
      <c r="R389" s="27">
        <f t="shared" si="11"/>
        <v>3</v>
      </c>
      <c r="S389" s="27">
        <f t="shared" si="12"/>
        <v>5</v>
      </c>
      <c r="T389" s="31">
        <f>VLOOKUP(M389,'Lister og genveje'!$D$39:$J$46,7,0)</f>
        <v>0.75</v>
      </c>
    </row>
    <row r="390" spans="12:20" ht="16" thickBot="1">
      <c r="L390" s="30" t="str">
        <f t="shared" si="10"/>
        <v>EN60898</v>
      </c>
      <c r="M390" t="s">
        <v>152</v>
      </c>
      <c r="N390">
        <v>50</v>
      </c>
      <c r="O390" t="s">
        <v>38</v>
      </c>
      <c r="P390" t="s">
        <v>164</v>
      </c>
      <c r="Q390">
        <f>INDEX('Lister og genveje'!$E$39:$I$46,MATCH(M390,'Lister og genveje'!$D$39:$D$46,0),MATCH(P390,'Lister og genveje'!$E$38:$I$38,0),1)</f>
        <v>4.5</v>
      </c>
      <c r="R390" s="27">
        <f t="shared" si="11"/>
        <v>3</v>
      </c>
      <c r="S390" s="27">
        <f t="shared" si="12"/>
        <v>5</v>
      </c>
      <c r="T390" s="31">
        <f>VLOOKUP(M390,'Lister og genveje'!$D$39:$J$46,7,0)</f>
        <v>0.75</v>
      </c>
    </row>
    <row r="391" spans="12:20" ht="16" thickBot="1">
      <c r="L391" s="30" t="str">
        <f t="shared" si="10"/>
        <v>EN60898</v>
      </c>
      <c r="M391" t="s">
        <v>152</v>
      </c>
      <c r="N391">
        <v>63</v>
      </c>
      <c r="O391" t="s">
        <v>38</v>
      </c>
      <c r="P391" t="s">
        <v>164</v>
      </c>
      <c r="Q391">
        <f>INDEX('Lister og genveje'!$E$39:$I$46,MATCH(M391,'Lister og genveje'!$D$39:$D$46,0),MATCH(P391,'Lister og genveje'!$E$38:$I$38,0),1)</f>
        <v>4.5</v>
      </c>
      <c r="R391" s="27">
        <f t="shared" si="11"/>
        <v>3</v>
      </c>
      <c r="S391" s="27">
        <f t="shared" si="12"/>
        <v>5</v>
      </c>
      <c r="T391" s="31">
        <f>VLOOKUP(M391,'Lister og genveje'!$D$39:$J$46,7,0)</f>
        <v>0.75</v>
      </c>
    </row>
    <row r="392" spans="12:20" ht="16" thickBot="1">
      <c r="L392" s="30" t="str">
        <f t="shared" si="10"/>
        <v>EN60898</v>
      </c>
      <c r="M392" t="s">
        <v>152</v>
      </c>
      <c r="N392">
        <v>80</v>
      </c>
      <c r="O392" t="s">
        <v>38</v>
      </c>
      <c r="P392" t="s">
        <v>164</v>
      </c>
      <c r="Q392">
        <f>INDEX('Lister og genveje'!$E$39:$I$46,MATCH(M392,'Lister og genveje'!$D$39:$D$46,0),MATCH(P392,'Lister og genveje'!$E$38:$I$38,0),1)</f>
        <v>4.5</v>
      </c>
      <c r="R392" s="27">
        <f t="shared" si="11"/>
        <v>3</v>
      </c>
      <c r="S392" s="27">
        <f t="shared" si="12"/>
        <v>5</v>
      </c>
      <c r="T392" s="31">
        <f>VLOOKUP(M392,'Lister og genveje'!$D$39:$J$46,7,0)</f>
        <v>0.75</v>
      </c>
    </row>
    <row r="393" spans="12:20" ht="16" thickBot="1">
      <c r="L393" s="30" t="str">
        <f t="shared" si="10"/>
        <v>EN60898</v>
      </c>
      <c r="M393" t="s">
        <v>152</v>
      </c>
      <c r="N393">
        <v>100</v>
      </c>
      <c r="O393" t="s">
        <v>38</v>
      </c>
      <c r="P393" t="s">
        <v>164</v>
      </c>
      <c r="Q393">
        <f>INDEX('Lister og genveje'!$E$39:$I$46,MATCH(M393,'Lister og genveje'!$D$39:$D$46,0),MATCH(P393,'Lister og genveje'!$E$38:$I$38,0),1)</f>
        <v>4.5</v>
      </c>
      <c r="R393" s="27">
        <f t="shared" si="11"/>
        <v>3</v>
      </c>
      <c r="S393" s="27">
        <f t="shared" si="12"/>
        <v>5</v>
      </c>
      <c r="T393" s="31">
        <f>VLOOKUP(M393,'Lister og genveje'!$D$39:$J$46,7,0)</f>
        <v>0.75</v>
      </c>
    </row>
    <row r="394" spans="12:20" ht="16" thickBot="1">
      <c r="L394" s="30" t="str">
        <f t="shared" si="10"/>
        <v>EN60898</v>
      </c>
      <c r="M394" t="s">
        <v>152</v>
      </c>
      <c r="N394">
        <v>125</v>
      </c>
      <c r="O394" t="s">
        <v>38</v>
      </c>
      <c r="P394" t="s">
        <v>164</v>
      </c>
      <c r="Q394">
        <f>INDEX('Lister og genveje'!$E$39:$I$46,MATCH(M394,'Lister og genveje'!$D$39:$D$46,0),MATCH(P394,'Lister og genveje'!$E$38:$I$38,0),1)</f>
        <v>4.5</v>
      </c>
      <c r="R394" s="27">
        <f t="shared" si="11"/>
        <v>3</v>
      </c>
      <c r="S394" s="27">
        <f t="shared" si="12"/>
        <v>5</v>
      </c>
      <c r="T394" s="31">
        <f>VLOOKUP(M394,'Lister og genveje'!$D$39:$J$46,7,0)</f>
        <v>0.75</v>
      </c>
    </row>
    <row r="395" spans="12:20" ht="16" thickBot="1">
      <c r="L395" s="30" t="str">
        <f t="shared" si="10"/>
        <v>EN60898</v>
      </c>
      <c r="M395" t="s">
        <v>152</v>
      </c>
      <c r="N395">
        <v>10</v>
      </c>
      <c r="O395" t="s">
        <v>38</v>
      </c>
      <c r="P395" t="s">
        <v>166</v>
      </c>
      <c r="Q395">
        <f>INDEX('Lister og genveje'!$E$39:$I$46,MATCH(M395,'Lister og genveje'!$D$39:$D$46,0),MATCH(P395,'Lister og genveje'!$E$38:$I$38,0),1)</f>
        <v>25</v>
      </c>
      <c r="R395" s="27">
        <f t="shared" si="11"/>
        <v>3</v>
      </c>
      <c r="S395" s="27">
        <f t="shared" si="12"/>
        <v>5</v>
      </c>
      <c r="T395" s="31">
        <f>VLOOKUP(M395,'Lister og genveje'!$D$39:$J$46,7,0)</f>
        <v>0.75</v>
      </c>
    </row>
    <row r="396" spans="12:20" ht="16" thickBot="1">
      <c r="L396" s="30" t="str">
        <f t="shared" si="10"/>
        <v>EN60898</v>
      </c>
      <c r="M396" t="s">
        <v>152</v>
      </c>
      <c r="N396">
        <v>13</v>
      </c>
      <c r="O396" t="s">
        <v>38</v>
      </c>
      <c r="P396" t="s">
        <v>166</v>
      </c>
      <c r="Q396">
        <f>INDEX('Lister og genveje'!$E$39:$I$46,MATCH(M396,'Lister og genveje'!$D$39:$D$46,0),MATCH(P396,'Lister og genveje'!$E$38:$I$38,0),1)</f>
        <v>25</v>
      </c>
      <c r="R396" s="27">
        <f t="shared" si="11"/>
        <v>3</v>
      </c>
      <c r="S396" s="27">
        <f t="shared" si="12"/>
        <v>5</v>
      </c>
      <c r="T396" s="31">
        <f>VLOOKUP(M396,'Lister og genveje'!$D$39:$J$46,7,0)</f>
        <v>0.75</v>
      </c>
    </row>
    <row r="397" spans="12:20" ht="16" thickBot="1">
      <c r="L397" s="30" t="str">
        <f t="shared" si="10"/>
        <v>EN60898</v>
      </c>
      <c r="M397" t="s">
        <v>152</v>
      </c>
      <c r="N397">
        <v>16</v>
      </c>
      <c r="O397" t="s">
        <v>38</v>
      </c>
      <c r="P397" t="s">
        <v>166</v>
      </c>
      <c r="Q397">
        <f>INDEX('Lister og genveje'!$E$39:$I$46,MATCH(M397,'Lister og genveje'!$D$39:$D$46,0),MATCH(P397,'Lister og genveje'!$E$38:$I$38,0),1)</f>
        <v>25</v>
      </c>
      <c r="R397" s="27">
        <f t="shared" si="11"/>
        <v>3</v>
      </c>
      <c r="S397" s="27">
        <f t="shared" si="12"/>
        <v>5</v>
      </c>
      <c r="T397" s="31">
        <f>VLOOKUP(M397,'Lister og genveje'!$D$39:$J$46,7,0)</f>
        <v>0.75</v>
      </c>
    </row>
    <row r="398" spans="12:20" ht="16" thickBot="1">
      <c r="L398" s="30" t="str">
        <f t="shared" si="10"/>
        <v>EN60898</v>
      </c>
      <c r="M398" t="s">
        <v>152</v>
      </c>
      <c r="N398">
        <v>20</v>
      </c>
      <c r="O398" t="s">
        <v>38</v>
      </c>
      <c r="P398" t="s">
        <v>166</v>
      </c>
      <c r="Q398">
        <f>INDEX('Lister og genveje'!$E$39:$I$46,MATCH(M398,'Lister og genveje'!$D$39:$D$46,0),MATCH(P398,'Lister og genveje'!$E$38:$I$38,0),1)</f>
        <v>25</v>
      </c>
      <c r="R398" s="27">
        <f t="shared" si="11"/>
        <v>3</v>
      </c>
      <c r="S398" s="27">
        <f t="shared" si="12"/>
        <v>5</v>
      </c>
      <c r="T398" s="31">
        <f>VLOOKUP(M398,'Lister og genveje'!$D$39:$J$46,7,0)</f>
        <v>0.75</v>
      </c>
    </row>
    <row r="399" spans="12:20" ht="16" thickBot="1">
      <c r="L399" s="30" t="str">
        <f t="shared" si="10"/>
        <v>EN60898</v>
      </c>
      <c r="M399" t="s">
        <v>152</v>
      </c>
      <c r="N399">
        <v>25</v>
      </c>
      <c r="O399" t="s">
        <v>38</v>
      </c>
      <c r="P399" t="s">
        <v>166</v>
      </c>
      <c r="Q399">
        <f>INDEX('Lister og genveje'!$E$39:$I$46,MATCH(M399,'Lister og genveje'!$D$39:$D$46,0),MATCH(P399,'Lister og genveje'!$E$38:$I$38,0),1)</f>
        <v>25</v>
      </c>
      <c r="R399" s="27">
        <f t="shared" si="11"/>
        <v>3</v>
      </c>
      <c r="S399" s="27">
        <f t="shared" si="12"/>
        <v>5</v>
      </c>
      <c r="T399" s="31">
        <f>VLOOKUP(M399,'Lister og genveje'!$D$39:$J$46,7,0)</f>
        <v>0.75</v>
      </c>
    </row>
    <row r="400" spans="12:20" ht="16" thickBot="1">
      <c r="L400" s="30" t="str">
        <f t="shared" si="10"/>
        <v>EN60898</v>
      </c>
      <c r="M400" t="s">
        <v>152</v>
      </c>
      <c r="N400">
        <v>32</v>
      </c>
      <c r="O400" t="s">
        <v>38</v>
      </c>
      <c r="P400" t="s">
        <v>166</v>
      </c>
      <c r="Q400">
        <f>INDEX('Lister og genveje'!$E$39:$I$46,MATCH(M400,'Lister og genveje'!$D$39:$D$46,0),MATCH(P400,'Lister og genveje'!$E$38:$I$38,0),1)</f>
        <v>25</v>
      </c>
      <c r="R400" s="27">
        <f t="shared" si="11"/>
        <v>3</v>
      </c>
      <c r="S400" s="27">
        <f t="shared" si="12"/>
        <v>5</v>
      </c>
      <c r="T400" s="31">
        <f>VLOOKUP(M400,'Lister og genveje'!$D$39:$J$46,7,0)</f>
        <v>0.75</v>
      </c>
    </row>
    <row r="401" spans="12:20" ht="16" thickBot="1">
      <c r="L401" s="30" t="str">
        <f t="shared" si="10"/>
        <v>EN60898</v>
      </c>
      <c r="M401" t="s">
        <v>152</v>
      </c>
      <c r="N401">
        <v>40</v>
      </c>
      <c r="O401" t="s">
        <v>38</v>
      </c>
      <c r="P401" t="s">
        <v>166</v>
      </c>
      <c r="Q401">
        <f>INDEX('Lister og genveje'!$E$39:$I$46,MATCH(M401,'Lister og genveje'!$D$39:$D$46,0),MATCH(P401,'Lister og genveje'!$E$38:$I$38,0),1)</f>
        <v>25</v>
      </c>
      <c r="R401" s="27">
        <f t="shared" si="11"/>
        <v>3</v>
      </c>
      <c r="S401" s="27">
        <f t="shared" si="12"/>
        <v>5</v>
      </c>
      <c r="T401" s="31">
        <f>VLOOKUP(M401,'Lister og genveje'!$D$39:$J$46,7,0)</f>
        <v>0.75</v>
      </c>
    </row>
    <row r="402" spans="12:20" ht="16" thickBot="1">
      <c r="L402" s="30" t="str">
        <f t="shared" si="10"/>
        <v>EN60898</v>
      </c>
      <c r="M402" t="s">
        <v>152</v>
      </c>
      <c r="N402">
        <v>50</v>
      </c>
      <c r="O402" t="s">
        <v>38</v>
      </c>
      <c r="P402" t="s">
        <v>166</v>
      </c>
      <c r="Q402">
        <f>INDEX('Lister og genveje'!$E$39:$I$46,MATCH(M402,'Lister og genveje'!$D$39:$D$46,0),MATCH(P402,'Lister og genveje'!$E$38:$I$38,0),1)</f>
        <v>25</v>
      </c>
      <c r="R402" s="27">
        <f t="shared" si="11"/>
        <v>3</v>
      </c>
      <c r="S402" s="27">
        <f t="shared" si="12"/>
        <v>5</v>
      </c>
      <c r="T402" s="31">
        <f>VLOOKUP(M402,'Lister og genveje'!$D$39:$J$46,7,0)</f>
        <v>0.75</v>
      </c>
    </row>
    <row r="403" spans="12:20" ht="16" thickBot="1">
      <c r="L403" s="30" t="str">
        <f t="shared" si="10"/>
        <v>EN60898</v>
      </c>
      <c r="M403" t="s">
        <v>152</v>
      </c>
      <c r="N403">
        <v>63</v>
      </c>
      <c r="O403" t="s">
        <v>38</v>
      </c>
      <c r="P403" t="s">
        <v>166</v>
      </c>
      <c r="Q403">
        <f>INDEX('Lister og genveje'!$E$39:$I$46,MATCH(M403,'Lister og genveje'!$D$39:$D$46,0),MATCH(P403,'Lister og genveje'!$E$38:$I$38,0),1)</f>
        <v>25</v>
      </c>
      <c r="R403" s="27">
        <f t="shared" si="11"/>
        <v>3</v>
      </c>
      <c r="S403" s="27">
        <f t="shared" si="12"/>
        <v>5</v>
      </c>
      <c r="T403" s="31">
        <f>VLOOKUP(M403,'Lister og genveje'!$D$39:$J$46,7,0)</f>
        <v>0.75</v>
      </c>
    </row>
    <row r="404" spans="12:20" ht="16" thickBot="1">
      <c r="L404" s="30" t="str">
        <f t="shared" si="10"/>
        <v>EN60898</v>
      </c>
      <c r="M404" t="s">
        <v>152</v>
      </c>
      <c r="N404">
        <v>80</v>
      </c>
      <c r="O404" t="s">
        <v>38</v>
      </c>
      <c r="P404" t="s">
        <v>166</v>
      </c>
      <c r="Q404">
        <f>INDEX('Lister og genveje'!$E$39:$I$46,MATCH(M404,'Lister og genveje'!$D$39:$D$46,0),MATCH(P404,'Lister og genveje'!$E$38:$I$38,0),1)</f>
        <v>25</v>
      </c>
      <c r="R404" s="27">
        <f t="shared" si="11"/>
        <v>3</v>
      </c>
      <c r="S404" s="27">
        <f t="shared" si="12"/>
        <v>5</v>
      </c>
      <c r="T404" s="31">
        <f>VLOOKUP(M404,'Lister og genveje'!$D$39:$J$46,7,0)</f>
        <v>0.75</v>
      </c>
    </row>
    <row r="405" spans="12:20" ht="16" thickBot="1">
      <c r="L405" s="30" t="str">
        <f t="shared" si="10"/>
        <v>EN60898</v>
      </c>
      <c r="M405" t="s">
        <v>152</v>
      </c>
      <c r="N405">
        <v>100</v>
      </c>
      <c r="O405" t="s">
        <v>38</v>
      </c>
      <c r="P405" t="s">
        <v>166</v>
      </c>
      <c r="Q405">
        <f>INDEX('Lister og genveje'!$E$39:$I$46,MATCH(M405,'Lister og genveje'!$D$39:$D$46,0),MATCH(P405,'Lister og genveje'!$E$38:$I$38,0),1)</f>
        <v>25</v>
      </c>
      <c r="R405" s="27">
        <f t="shared" si="11"/>
        <v>3</v>
      </c>
      <c r="S405" s="27">
        <f t="shared" si="12"/>
        <v>5</v>
      </c>
      <c r="T405" s="31">
        <f>VLOOKUP(M405,'Lister og genveje'!$D$39:$J$46,7,0)</f>
        <v>0.75</v>
      </c>
    </row>
    <row r="406" spans="12:20" ht="16" thickBot="1">
      <c r="L406" s="30" t="str">
        <f t="shared" si="10"/>
        <v>EN60898</v>
      </c>
      <c r="M406" t="s">
        <v>152</v>
      </c>
      <c r="N406">
        <v>125</v>
      </c>
      <c r="O406" t="s">
        <v>38</v>
      </c>
      <c r="P406" t="s">
        <v>166</v>
      </c>
      <c r="Q406">
        <f>INDEX('Lister og genveje'!$E$39:$I$46,MATCH(M406,'Lister og genveje'!$D$39:$D$46,0),MATCH(P406,'Lister og genveje'!$E$38:$I$38,0),1)</f>
        <v>25</v>
      </c>
      <c r="R406" s="27">
        <f t="shared" si="11"/>
        <v>3</v>
      </c>
      <c r="S406" s="27">
        <f t="shared" si="12"/>
        <v>5</v>
      </c>
      <c r="T406" s="31">
        <f>VLOOKUP(M406,'Lister og genveje'!$D$39:$J$46,7,0)</f>
        <v>0.75</v>
      </c>
    </row>
    <row r="407" spans="12:20" ht="16" thickBot="1">
      <c r="L407" s="30" t="str">
        <f t="shared" si="10"/>
        <v>EN60898</v>
      </c>
      <c r="M407" t="str">
        <f>'Lister og genveje'!$D$39</f>
        <v>C60N</v>
      </c>
      <c r="N407">
        <v>0.5</v>
      </c>
      <c r="O407" t="s">
        <v>155</v>
      </c>
      <c r="P407" t="str">
        <f>'Lister og genveje'!$F$38</f>
        <v>1 Pol</v>
      </c>
      <c r="Q407">
        <f>INDEX('Lister og genveje'!$E$39:$I$46,MATCH(M407,'Lister og genveje'!$D$39:$D$46,0),MATCH(P407,'Lister og genveje'!$E$38:$I$38,0),1)</f>
        <v>3</v>
      </c>
      <c r="R407" s="27">
        <f t="shared" si="11"/>
        <v>5</v>
      </c>
      <c r="S407" s="27">
        <f t="shared" si="12"/>
        <v>10</v>
      </c>
      <c r="T407" s="31">
        <f>VLOOKUP(M407,'Lister og genveje'!$D$39:$J$46,7,0)</f>
        <v>0.75</v>
      </c>
    </row>
    <row r="408" spans="12:20" ht="16" thickBot="1">
      <c r="L408" s="30" t="str">
        <f t="shared" si="10"/>
        <v>EN60898</v>
      </c>
      <c r="M408" t="str">
        <f>'Lister og genveje'!$D$39</f>
        <v>C60N</v>
      </c>
      <c r="N408">
        <v>1</v>
      </c>
      <c r="O408" t="s">
        <v>155</v>
      </c>
      <c r="P408" t="str">
        <f>'Lister og genveje'!$F$38</f>
        <v>1 Pol</v>
      </c>
      <c r="Q408">
        <f>INDEX('Lister og genveje'!$E$39:$I$46,MATCH(M408,'Lister og genveje'!$D$39:$D$46,0),MATCH(P408,'Lister og genveje'!$E$38:$I$38,0),1)</f>
        <v>3</v>
      </c>
      <c r="R408" s="27">
        <f t="shared" si="11"/>
        <v>5</v>
      </c>
      <c r="S408" s="27">
        <f t="shared" si="12"/>
        <v>10</v>
      </c>
      <c r="T408" s="31">
        <f>VLOOKUP(M408,'Lister og genveje'!$D$39:$J$46,7,0)</f>
        <v>0.75</v>
      </c>
    </row>
    <row r="409" spans="12:20" ht="16" thickBot="1">
      <c r="L409" s="30" t="str">
        <f t="shared" si="10"/>
        <v>EN60898</v>
      </c>
      <c r="M409" t="str">
        <f>'Lister og genveje'!$D$39</f>
        <v>C60N</v>
      </c>
      <c r="N409">
        <v>2</v>
      </c>
      <c r="O409" t="s">
        <v>155</v>
      </c>
      <c r="P409" t="str">
        <f>'Lister og genveje'!$F$38</f>
        <v>1 Pol</v>
      </c>
      <c r="Q409">
        <f>INDEX('Lister og genveje'!$E$39:$I$46,MATCH(M409,'Lister og genveje'!$D$39:$D$46,0),MATCH(P409,'Lister og genveje'!$E$38:$I$38,0),1)</f>
        <v>3</v>
      </c>
      <c r="R409" s="27">
        <f t="shared" si="11"/>
        <v>5</v>
      </c>
      <c r="S409" s="27">
        <f t="shared" si="12"/>
        <v>10</v>
      </c>
      <c r="T409" s="31">
        <f>VLOOKUP(M409,'Lister og genveje'!$D$39:$J$46,7,0)</f>
        <v>0.75</v>
      </c>
    </row>
    <row r="410" spans="12:20" ht="16" thickBot="1">
      <c r="L410" s="30" t="str">
        <f t="shared" si="10"/>
        <v>EN60898</v>
      </c>
      <c r="M410" t="str">
        <f>'Lister og genveje'!$D$39</f>
        <v>C60N</v>
      </c>
      <c r="N410">
        <v>3</v>
      </c>
      <c r="O410" t="s">
        <v>155</v>
      </c>
      <c r="P410" t="str">
        <f>'Lister og genveje'!$F$38</f>
        <v>1 Pol</v>
      </c>
      <c r="Q410">
        <f>INDEX('Lister og genveje'!$E$39:$I$46,MATCH(M410,'Lister og genveje'!$D$39:$D$46,0),MATCH(P410,'Lister og genveje'!$E$38:$I$38,0),1)</f>
        <v>3</v>
      </c>
      <c r="R410" s="27">
        <f t="shared" si="11"/>
        <v>5</v>
      </c>
      <c r="S410" s="27">
        <f t="shared" si="12"/>
        <v>10</v>
      </c>
      <c r="T410" s="31">
        <f>VLOOKUP(M410,'Lister og genveje'!$D$39:$J$46,7,0)</f>
        <v>0.75</v>
      </c>
    </row>
    <row r="411" spans="12:20" ht="16" thickBot="1">
      <c r="L411" s="30" t="str">
        <f t="shared" si="10"/>
        <v>EN60898</v>
      </c>
      <c r="M411" t="str">
        <f>'Lister og genveje'!$D$39</f>
        <v>C60N</v>
      </c>
      <c r="N411">
        <v>4</v>
      </c>
      <c r="O411" t="s">
        <v>155</v>
      </c>
      <c r="P411" t="str">
        <f>'Lister og genveje'!$F$38</f>
        <v>1 Pol</v>
      </c>
      <c r="Q411">
        <f>INDEX('Lister og genveje'!$E$39:$I$46,MATCH(M411,'Lister og genveje'!$D$39:$D$46,0),MATCH(P411,'Lister og genveje'!$E$38:$I$38,0),1)</f>
        <v>3</v>
      </c>
      <c r="R411" s="27">
        <f t="shared" si="11"/>
        <v>5</v>
      </c>
      <c r="S411" s="27">
        <f t="shared" si="12"/>
        <v>10</v>
      </c>
      <c r="T411" s="31">
        <f>VLOOKUP(M411,'Lister og genveje'!$D$39:$J$46,7,0)</f>
        <v>0.75</v>
      </c>
    </row>
    <row r="412" spans="12:20" ht="16" thickBot="1">
      <c r="L412" s="30" t="str">
        <f t="shared" si="10"/>
        <v>EN60898</v>
      </c>
      <c r="M412" t="str">
        <f>'Lister og genveje'!$D$39</f>
        <v>C60N</v>
      </c>
      <c r="N412">
        <v>6</v>
      </c>
      <c r="O412" t="s">
        <v>155</v>
      </c>
      <c r="P412" t="str">
        <f>'Lister og genveje'!$F$38</f>
        <v>1 Pol</v>
      </c>
      <c r="Q412">
        <f>INDEX('Lister og genveje'!$E$39:$I$46,MATCH(M412,'Lister og genveje'!$D$39:$D$46,0),MATCH(P412,'Lister og genveje'!$E$38:$I$38,0),1)</f>
        <v>3</v>
      </c>
      <c r="R412" s="27">
        <f t="shared" si="11"/>
        <v>5</v>
      </c>
      <c r="S412" s="27">
        <f t="shared" si="12"/>
        <v>10</v>
      </c>
      <c r="T412" s="31">
        <f>VLOOKUP(M412,'Lister og genveje'!$D$39:$J$46,7,0)</f>
        <v>0.75</v>
      </c>
    </row>
    <row r="413" spans="12:20" ht="16" thickBot="1">
      <c r="L413" s="30" t="str">
        <f t="shared" si="10"/>
        <v>EN60898</v>
      </c>
      <c r="M413" t="str">
        <f>'Lister og genveje'!$D$39</f>
        <v>C60N</v>
      </c>
      <c r="N413">
        <v>10</v>
      </c>
      <c r="O413" t="s">
        <v>155</v>
      </c>
      <c r="P413" t="str">
        <f>'Lister og genveje'!$F$38</f>
        <v>1 Pol</v>
      </c>
      <c r="Q413">
        <f>INDEX('Lister og genveje'!$E$39:$I$46,MATCH(M413,'Lister og genveje'!$D$39:$D$46,0),MATCH(P413,'Lister og genveje'!$E$38:$I$38,0),1)</f>
        <v>3</v>
      </c>
      <c r="R413" s="27">
        <f t="shared" si="11"/>
        <v>5</v>
      </c>
      <c r="S413" s="27">
        <f t="shared" si="12"/>
        <v>10</v>
      </c>
      <c r="T413" s="31">
        <f>VLOOKUP(M413,'Lister og genveje'!$D$39:$J$46,7,0)</f>
        <v>0.75</v>
      </c>
    </row>
    <row r="414" spans="12:20" ht="16" thickBot="1">
      <c r="L414" s="30" t="str">
        <f t="shared" si="10"/>
        <v>EN60898</v>
      </c>
      <c r="M414" t="str">
        <f>'Lister og genveje'!$D$39</f>
        <v>C60N</v>
      </c>
      <c r="N414">
        <v>13</v>
      </c>
      <c r="O414" t="s">
        <v>155</v>
      </c>
      <c r="P414" t="str">
        <f>'Lister og genveje'!$F$38</f>
        <v>1 Pol</v>
      </c>
      <c r="Q414">
        <f>INDEX('Lister og genveje'!$E$39:$I$46,MATCH(M414,'Lister og genveje'!$D$39:$D$46,0),MATCH(P414,'Lister og genveje'!$E$38:$I$38,0),1)</f>
        <v>3</v>
      </c>
      <c r="R414" s="27">
        <f t="shared" si="11"/>
        <v>5</v>
      </c>
      <c r="S414" s="27">
        <f t="shared" si="12"/>
        <v>10</v>
      </c>
      <c r="T414" s="31">
        <f>VLOOKUP(M414,'Lister og genveje'!$D$39:$J$46,7,0)</f>
        <v>0.75</v>
      </c>
    </row>
    <row r="415" spans="12:20" ht="16" thickBot="1">
      <c r="L415" s="30" t="str">
        <f t="shared" si="10"/>
        <v>EN60898</v>
      </c>
      <c r="M415" t="str">
        <f>'Lister og genveje'!$D$39</f>
        <v>C60N</v>
      </c>
      <c r="N415">
        <v>16</v>
      </c>
      <c r="O415" t="s">
        <v>155</v>
      </c>
      <c r="P415" t="str">
        <f>'Lister og genveje'!$F$38</f>
        <v>1 Pol</v>
      </c>
      <c r="Q415">
        <f>INDEX('Lister og genveje'!$E$39:$I$46,MATCH(M415,'Lister og genveje'!$D$39:$D$46,0),MATCH(P415,'Lister og genveje'!$E$38:$I$38,0),1)</f>
        <v>3</v>
      </c>
      <c r="R415" s="27">
        <f t="shared" si="11"/>
        <v>5</v>
      </c>
      <c r="S415" s="27">
        <f t="shared" si="12"/>
        <v>10</v>
      </c>
      <c r="T415" s="31">
        <f>VLOOKUP(M415,'Lister og genveje'!$D$39:$J$46,7,0)</f>
        <v>0.75</v>
      </c>
    </row>
    <row r="416" spans="12:20" ht="16" thickBot="1">
      <c r="L416" s="30" t="str">
        <f t="shared" si="10"/>
        <v>EN60898</v>
      </c>
      <c r="M416" t="str">
        <f>'Lister og genveje'!$D$39</f>
        <v>C60N</v>
      </c>
      <c r="N416">
        <v>20</v>
      </c>
      <c r="O416" t="s">
        <v>155</v>
      </c>
      <c r="P416" t="str">
        <f>'Lister og genveje'!$F$38</f>
        <v>1 Pol</v>
      </c>
      <c r="Q416">
        <f>INDEX('Lister og genveje'!$E$39:$I$46,MATCH(M416,'Lister og genveje'!$D$39:$D$46,0),MATCH(P416,'Lister og genveje'!$E$38:$I$38,0),1)</f>
        <v>3</v>
      </c>
      <c r="R416" s="27">
        <f t="shared" si="11"/>
        <v>5</v>
      </c>
      <c r="S416" s="27">
        <f t="shared" si="12"/>
        <v>10</v>
      </c>
      <c r="T416" s="31">
        <f>VLOOKUP(M416,'Lister og genveje'!$D$39:$J$46,7,0)</f>
        <v>0.75</v>
      </c>
    </row>
    <row r="417" spans="12:20" ht="16" thickBot="1">
      <c r="L417" s="30" t="str">
        <f t="shared" si="10"/>
        <v>EN60898</v>
      </c>
      <c r="M417" t="str">
        <f>'Lister og genveje'!$D$39</f>
        <v>C60N</v>
      </c>
      <c r="N417">
        <v>25</v>
      </c>
      <c r="O417" t="s">
        <v>155</v>
      </c>
      <c r="P417" t="str">
        <f>'Lister og genveje'!$F$38</f>
        <v>1 Pol</v>
      </c>
      <c r="Q417">
        <f>INDEX('Lister og genveje'!$E$39:$I$46,MATCH(M417,'Lister og genveje'!$D$39:$D$46,0),MATCH(P417,'Lister og genveje'!$E$38:$I$38,0),1)</f>
        <v>3</v>
      </c>
      <c r="R417" s="27">
        <f t="shared" si="11"/>
        <v>5</v>
      </c>
      <c r="S417" s="27">
        <f t="shared" si="12"/>
        <v>10</v>
      </c>
      <c r="T417" s="31">
        <f>VLOOKUP(M417,'Lister og genveje'!$D$39:$J$46,7,0)</f>
        <v>0.75</v>
      </c>
    </row>
    <row r="418" spans="12:20" ht="16" thickBot="1">
      <c r="L418" s="30" t="str">
        <f t="shared" si="10"/>
        <v>EN60898</v>
      </c>
      <c r="M418" t="str">
        <f>'Lister og genveje'!$D$39</f>
        <v>C60N</v>
      </c>
      <c r="N418">
        <v>32</v>
      </c>
      <c r="O418" t="s">
        <v>155</v>
      </c>
      <c r="P418" t="str">
        <f>'Lister og genveje'!$F$38</f>
        <v>1 Pol</v>
      </c>
      <c r="Q418">
        <f>INDEX('Lister og genveje'!$E$39:$I$46,MATCH(M418,'Lister og genveje'!$D$39:$D$46,0),MATCH(P418,'Lister og genveje'!$E$38:$I$38,0),1)</f>
        <v>3</v>
      </c>
      <c r="R418" s="27">
        <f t="shared" si="11"/>
        <v>5</v>
      </c>
      <c r="S418" s="27">
        <f t="shared" si="12"/>
        <v>10</v>
      </c>
      <c r="T418" s="31">
        <f>VLOOKUP(M418,'Lister og genveje'!$D$39:$J$46,7,0)</f>
        <v>0.75</v>
      </c>
    </row>
    <row r="419" spans="12:20" ht="16" thickBot="1">
      <c r="L419" s="30" t="str">
        <f t="shared" si="10"/>
        <v>EN60898</v>
      </c>
      <c r="M419" t="str">
        <f>'Lister og genveje'!$D$39</f>
        <v>C60N</v>
      </c>
      <c r="N419">
        <v>40</v>
      </c>
      <c r="O419" t="s">
        <v>155</v>
      </c>
      <c r="P419" t="str">
        <f>'Lister og genveje'!$F$38</f>
        <v>1 Pol</v>
      </c>
      <c r="Q419">
        <f>INDEX('Lister og genveje'!$E$39:$I$46,MATCH(M419,'Lister og genveje'!$D$39:$D$46,0),MATCH(P419,'Lister og genveje'!$E$38:$I$38,0),1)</f>
        <v>3</v>
      </c>
      <c r="R419" s="27">
        <f t="shared" si="11"/>
        <v>5</v>
      </c>
      <c r="S419" s="27">
        <f t="shared" si="12"/>
        <v>10</v>
      </c>
      <c r="T419" s="31">
        <f>VLOOKUP(M419,'Lister og genveje'!$D$39:$J$46,7,0)</f>
        <v>0.75</v>
      </c>
    </row>
    <row r="420" spans="12:20" ht="16" thickBot="1">
      <c r="L420" s="30" t="str">
        <f t="shared" si="10"/>
        <v>EN60898</v>
      </c>
      <c r="M420" t="str">
        <f>'Lister og genveje'!$D$39</f>
        <v>C60N</v>
      </c>
      <c r="N420">
        <v>50</v>
      </c>
      <c r="O420" t="s">
        <v>155</v>
      </c>
      <c r="P420" t="str">
        <f>'Lister og genveje'!$F$38</f>
        <v>1 Pol</v>
      </c>
      <c r="Q420">
        <f>INDEX('Lister og genveje'!$E$39:$I$46,MATCH(M420,'Lister og genveje'!$D$39:$D$46,0),MATCH(P420,'Lister og genveje'!$E$38:$I$38,0),1)</f>
        <v>3</v>
      </c>
      <c r="R420" s="27">
        <f t="shared" si="11"/>
        <v>5</v>
      </c>
      <c r="S420" s="27">
        <f t="shared" si="12"/>
        <v>10</v>
      </c>
      <c r="T420" s="31">
        <f>VLOOKUP(M420,'Lister og genveje'!$D$39:$J$46,7,0)</f>
        <v>0.75</v>
      </c>
    </row>
    <row r="421" spans="12:20" ht="16" thickBot="1">
      <c r="L421" s="30" t="str">
        <f t="shared" si="10"/>
        <v>EN60898</v>
      </c>
      <c r="M421" t="str">
        <f>'Lister og genveje'!$D$39</f>
        <v>C60N</v>
      </c>
      <c r="N421">
        <v>63</v>
      </c>
      <c r="O421" t="s">
        <v>155</v>
      </c>
      <c r="P421" t="str">
        <f>'Lister og genveje'!$F$38</f>
        <v>1 Pol</v>
      </c>
      <c r="Q421">
        <f>INDEX('Lister og genveje'!$E$39:$I$46,MATCH(M421,'Lister og genveje'!$D$39:$D$46,0),MATCH(P421,'Lister og genveje'!$E$38:$I$38,0),1)</f>
        <v>3</v>
      </c>
      <c r="R421" s="27">
        <f t="shared" si="11"/>
        <v>5</v>
      </c>
      <c r="S421" s="27">
        <f t="shared" si="12"/>
        <v>10</v>
      </c>
      <c r="T421" s="31">
        <f>VLOOKUP(M421,'Lister og genveje'!$D$39:$J$46,7,0)</f>
        <v>0.75</v>
      </c>
    </row>
    <row r="422" spans="12:20" ht="16" thickBot="1">
      <c r="L422" s="30" t="str">
        <f t="shared" si="10"/>
        <v>EN60898</v>
      </c>
      <c r="M422" t="str">
        <f>'Lister og genveje'!$D$39</f>
        <v>C60N</v>
      </c>
      <c r="N422">
        <v>1</v>
      </c>
      <c r="O422" t="s">
        <v>155</v>
      </c>
      <c r="P422" t="str">
        <f>'Lister og genveje'!$G$38</f>
        <v>Flere poler</v>
      </c>
      <c r="Q422">
        <f>INDEX('Lister og genveje'!$E$39:$I$46,MATCH(M422,'Lister og genveje'!$D$39:$D$46,0),MATCH(P422,'Lister og genveje'!$E$38:$I$38,0),1)</f>
        <v>10</v>
      </c>
      <c r="R422" s="27">
        <f t="shared" si="11"/>
        <v>5</v>
      </c>
      <c r="S422" s="27">
        <f t="shared" si="12"/>
        <v>10</v>
      </c>
      <c r="T422" s="31">
        <f>VLOOKUP(M422,'Lister og genveje'!$D$39:$J$46,7,0)</f>
        <v>0.75</v>
      </c>
    </row>
    <row r="423" spans="12:20" ht="16" thickBot="1">
      <c r="L423" s="30" t="str">
        <f t="shared" si="10"/>
        <v>EN60898</v>
      </c>
      <c r="M423" t="str">
        <f>'Lister og genveje'!$D$39</f>
        <v>C60N</v>
      </c>
      <c r="N423">
        <v>2</v>
      </c>
      <c r="O423" t="s">
        <v>155</v>
      </c>
      <c r="P423" t="str">
        <f>'Lister og genveje'!$G$38</f>
        <v>Flere poler</v>
      </c>
      <c r="Q423">
        <f>INDEX('Lister og genveje'!$E$39:$I$46,MATCH(M423,'Lister og genveje'!$D$39:$D$46,0),MATCH(P423,'Lister og genveje'!$E$38:$I$38,0),1)</f>
        <v>10</v>
      </c>
      <c r="R423" s="27">
        <f t="shared" si="11"/>
        <v>5</v>
      </c>
      <c r="S423" s="27">
        <f t="shared" si="12"/>
        <v>10</v>
      </c>
      <c r="T423" s="31">
        <f>VLOOKUP(M423,'Lister og genveje'!$D$39:$J$46,7,0)</f>
        <v>0.75</v>
      </c>
    </row>
    <row r="424" spans="12:20" ht="16" thickBot="1">
      <c r="L424" s="30" t="str">
        <f t="shared" si="10"/>
        <v>EN60898</v>
      </c>
      <c r="M424" t="str">
        <f>'Lister og genveje'!$D$39</f>
        <v>C60N</v>
      </c>
      <c r="N424">
        <v>3</v>
      </c>
      <c r="O424" t="s">
        <v>155</v>
      </c>
      <c r="P424" t="str">
        <f>'Lister og genveje'!$G$38</f>
        <v>Flere poler</v>
      </c>
      <c r="Q424">
        <f>INDEX('Lister og genveje'!$E$39:$I$46,MATCH(M424,'Lister og genveje'!$D$39:$D$46,0),MATCH(P424,'Lister og genveje'!$E$38:$I$38,0),1)</f>
        <v>10</v>
      </c>
      <c r="R424" s="27">
        <f t="shared" si="11"/>
        <v>5</v>
      </c>
      <c r="S424" s="27">
        <f t="shared" si="12"/>
        <v>10</v>
      </c>
      <c r="T424" s="31">
        <f>VLOOKUP(M424,'Lister og genveje'!$D$39:$J$46,7,0)</f>
        <v>0.75</v>
      </c>
    </row>
    <row r="425" spans="12:20" ht="16" thickBot="1">
      <c r="L425" s="30" t="str">
        <f t="shared" si="10"/>
        <v>EN60898</v>
      </c>
      <c r="M425" t="str">
        <f>'Lister og genveje'!$D$39</f>
        <v>C60N</v>
      </c>
      <c r="N425">
        <v>4</v>
      </c>
      <c r="O425" t="s">
        <v>155</v>
      </c>
      <c r="P425" t="str">
        <f>'Lister og genveje'!$G$38</f>
        <v>Flere poler</v>
      </c>
      <c r="Q425">
        <f>INDEX('Lister og genveje'!$E$39:$I$46,MATCH(M425,'Lister og genveje'!$D$39:$D$46,0),MATCH(P425,'Lister og genveje'!$E$38:$I$38,0),1)</f>
        <v>10</v>
      </c>
      <c r="R425" s="27">
        <f t="shared" si="11"/>
        <v>5</v>
      </c>
      <c r="S425" s="27">
        <f t="shared" si="12"/>
        <v>10</v>
      </c>
      <c r="T425" s="31">
        <f>VLOOKUP(M425,'Lister og genveje'!$D$39:$J$46,7,0)</f>
        <v>0.75</v>
      </c>
    </row>
    <row r="426" spans="12:20" ht="16" thickBot="1">
      <c r="L426" s="30" t="str">
        <f t="shared" si="10"/>
        <v>EN60898</v>
      </c>
      <c r="M426" t="str">
        <f>'Lister og genveje'!$D$39</f>
        <v>C60N</v>
      </c>
      <c r="N426">
        <v>6</v>
      </c>
      <c r="O426" t="s">
        <v>155</v>
      </c>
      <c r="P426" t="str">
        <f>'Lister og genveje'!$G$38</f>
        <v>Flere poler</v>
      </c>
      <c r="Q426">
        <f>INDEX('Lister og genveje'!$E$39:$I$46,MATCH(M426,'Lister og genveje'!$D$39:$D$46,0),MATCH(P426,'Lister og genveje'!$E$38:$I$38,0),1)</f>
        <v>10</v>
      </c>
      <c r="R426" s="27">
        <f t="shared" si="11"/>
        <v>5</v>
      </c>
      <c r="S426" s="27">
        <f t="shared" si="12"/>
        <v>10</v>
      </c>
      <c r="T426" s="31">
        <f>VLOOKUP(M426,'Lister og genveje'!$D$39:$J$46,7,0)</f>
        <v>0.75</v>
      </c>
    </row>
    <row r="427" spans="12:20" ht="16" thickBot="1">
      <c r="L427" s="30" t="str">
        <f t="shared" si="10"/>
        <v>EN60898</v>
      </c>
      <c r="M427" t="str">
        <f>'Lister og genveje'!$D$39</f>
        <v>C60N</v>
      </c>
      <c r="N427">
        <v>10</v>
      </c>
      <c r="O427" t="s">
        <v>155</v>
      </c>
      <c r="P427" t="str">
        <f>'Lister og genveje'!$G$38</f>
        <v>Flere poler</v>
      </c>
      <c r="Q427">
        <f>INDEX('Lister og genveje'!$E$39:$I$46,MATCH(M427,'Lister og genveje'!$D$39:$D$46,0),MATCH(P427,'Lister og genveje'!$E$38:$I$38,0),1)</f>
        <v>10</v>
      </c>
      <c r="R427" s="27">
        <f t="shared" si="11"/>
        <v>5</v>
      </c>
      <c r="S427" s="27">
        <f t="shared" si="12"/>
        <v>10</v>
      </c>
      <c r="T427" s="31">
        <f>VLOOKUP(M427,'Lister og genveje'!$D$39:$J$46,7,0)</f>
        <v>0.75</v>
      </c>
    </row>
    <row r="428" spans="12:20" ht="16" thickBot="1">
      <c r="L428" s="30" t="str">
        <f t="shared" si="10"/>
        <v>EN60898</v>
      </c>
      <c r="M428" t="str">
        <f>'Lister og genveje'!$D$39</f>
        <v>C60N</v>
      </c>
      <c r="N428">
        <v>13</v>
      </c>
      <c r="O428" t="s">
        <v>155</v>
      </c>
      <c r="P428" t="str">
        <f>'Lister og genveje'!$G$38</f>
        <v>Flere poler</v>
      </c>
      <c r="Q428">
        <f>INDEX('Lister og genveje'!$E$39:$I$46,MATCH(M428,'Lister og genveje'!$D$39:$D$46,0),MATCH(P428,'Lister og genveje'!$E$38:$I$38,0),1)</f>
        <v>10</v>
      </c>
      <c r="R428" s="27">
        <f t="shared" si="11"/>
        <v>5</v>
      </c>
      <c r="S428" s="27">
        <f t="shared" si="12"/>
        <v>10</v>
      </c>
      <c r="T428" s="31">
        <f>VLOOKUP(M428,'Lister og genveje'!$D$39:$J$46,7,0)</f>
        <v>0.75</v>
      </c>
    </row>
    <row r="429" spans="12:20" ht="16" thickBot="1">
      <c r="L429" s="30" t="str">
        <f t="shared" si="10"/>
        <v>EN60898</v>
      </c>
      <c r="M429" t="str">
        <f>'Lister og genveje'!$D$39</f>
        <v>C60N</v>
      </c>
      <c r="N429">
        <v>16</v>
      </c>
      <c r="O429" t="s">
        <v>155</v>
      </c>
      <c r="P429" t="str">
        <f>'Lister og genveje'!$G$38</f>
        <v>Flere poler</v>
      </c>
      <c r="Q429">
        <f>INDEX('Lister og genveje'!$E$39:$I$46,MATCH(M429,'Lister og genveje'!$D$39:$D$46,0),MATCH(P429,'Lister og genveje'!$E$38:$I$38,0),1)</f>
        <v>10</v>
      </c>
      <c r="R429" s="27">
        <f t="shared" si="11"/>
        <v>5</v>
      </c>
      <c r="S429" s="27">
        <f t="shared" si="12"/>
        <v>10</v>
      </c>
      <c r="T429" s="31">
        <f>VLOOKUP(M429,'Lister og genveje'!$D$39:$J$46,7,0)</f>
        <v>0.75</v>
      </c>
    </row>
    <row r="430" spans="12:20" ht="16" thickBot="1">
      <c r="L430" s="30" t="str">
        <f t="shared" si="10"/>
        <v>EN60898</v>
      </c>
      <c r="M430" t="str">
        <f>'Lister og genveje'!$D$39</f>
        <v>C60N</v>
      </c>
      <c r="N430">
        <v>20</v>
      </c>
      <c r="O430" t="s">
        <v>155</v>
      </c>
      <c r="P430" t="str">
        <f>'Lister og genveje'!$G$38</f>
        <v>Flere poler</v>
      </c>
      <c r="Q430">
        <f>INDEX('Lister og genveje'!$E$39:$I$46,MATCH(M430,'Lister og genveje'!$D$39:$D$46,0),MATCH(P430,'Lister og genveje'!$E$38:$I$38,0),1)</f>
        <v>10</v>
      </c>
      <c r="R430" s="27">
        <f t="shared" si="11"/>
        <v>5</v>
      </c>
      <c r="S430" s="27">
        <f t="shared" si="12"/>
        <v>10</v>
      </c>
      <c r="T430" s="31">
        <f>VLOOKUP(M430,'Lister og genveje'!$D$39:$J$46,7,0)</f>
        <v>0.75</v>
      </c>
    </row>
    <row r="431" spans="12:20" ht="16" thickBot="1">
      <c r="L431" s="30" t="str">
        <f t="shared" si="10"/>
        <v>EN60898</v>
      </c>
      <c r="M431" t="str">
        <f>'Lister og genveje'!$D$39</f>
        <v>C60N</v>
      </c>
      <c r="N431">
        <v>25</v>
      </c>
      <c r="O431" t="s">
        <v>155</v>
      </c>
      <c r="P431" t="str">
        <f>'Lister og genveje'!$G$38</f>
        <v>Flere poler</v>
      </c>
      <c r="Q431">
        <f>INDEX('Lister og genveje'!$E$39:$I$46,MATCH(M431,'Lister og genveje'!$D$39:$D$46,0),MATCH(P431,'Lister og genveje'!$E$38:$I$38,0),1)</f>
        <v>10</v>
      </c>
      <c r="R431" s="27">
        <f t="shared" si="11"/>
        <v>5</v>
      </c>
      <c r="S431" s="27">
        <f t="shared" si="12"/>
        <v>10</v>
      </c>
      <c r="T431" s="31">
        <f>VLOOKUP(M431,'Lister og genveje'!$D$39:$J$46,7,0)</f>
        <v>0.75</v>
      </c>
    </row>
    <row r="432" spans="12:20" ht="16" thickBot="1">
      <c r="L432" s="30" t="str">
        <f t="shared" si="10"/>
        <v>EN60898</v>
      </c>
      <c r="M432" t="str">
        <f>'Lister og genveje'!$D$39</f>
        <v>C60N</v>
      </c>
      <c r="N432">
        <v>32</v>
      </c>
      <c r="O432" t="s">
        <v>155</v>
      </c>
      <c r="P432" t="str">
        <f>'Lister og genveje'!$G$38</f>
        <v>Flere poler</v>
      </c>
      <c r="Q432">
        <f>INDEX('Lister og genveje'!$E$39:$I$46,MATCH(M432,'Lister og genveje'!$D$39:$D$46,0),MATCH(P432,'Lister og genveje'!$E$38:$I$38,0),1)</f>
        <v>10</v>
      </c>
      <c r="R432" s="27">
        <f t="shared" si="11"/>
        <v>5</v>
      </c>
      <c r="S432" s="27">
        <f t="shared" si="12"/>
        <v>10</v>
      </c>
      <c r="T432" s="31">
        <f>VLOOKUP(M432,'Lister og genveje'!$D$39:$J$46,7,0)</f>
        <v>0.75</v>
      </c>
    </row>
    <row r="433" spans="12:20" ht="16" thickBot="1">
      <c r="L433" s="30" t="str">
        <f t="shared" si="10"/>
        <v>EN60898</v>
      </c>
      <c r="M433" t="str">
        <f>'Lister og genveje'!$D$39</f>
        <v>C60N</v>
      </c>
      <c r="N433">
        <v>40</v>
      </c>
      <c r="O433" t="s">
        <v>155</v>
      </c>
      <c r="P433" t="str">
        <f>'Lister og genveje'!$G$38</f>
        <v>Flere poler</v>
      </c>
      <c r="Q433">
        <f>INDEX('Lister og genveje'!$E$39:$I$46,MATCH(M433,'Lister og genveje'!$D$39:$D$46,0),MATCH(P433,'Lister og genveje'!$E$38:$I$38,0),1)</f>
        <v>10</v>
      </c>
      <c r="R433" s="27">
        <f t="shared" si="11"/>
        <v>5</v>
      </c>
      <c r="S433" s="27">
        <f t="shared" si="12"/>
        <v>10</v>
      </c>
      <c r="T433" s="31">
        <f>VLOOKUP(M433,'Lister og genveje'!$D$39:$J$46,7,0)</f>
        <v>0.75</v>
      </c>
    </row>
    <row r="434" spans="12:20" ht="16" thickBot="1">
      <c r="L434" s="30" t="str">
        <f t="shared" si="10"/>
        <v>EN60898</v>
      </c>
      <c r="M434" t="str">
        <f>'Lister og genveje'!$D$39</f>
        <v>C60N</v>
      </c>
      <c r="N434">
        <v>50</v>
      </c>
      <c r="O434" t="s">
        <v>155</v>
      </c>
      <c r="P434" t="str">
        <f>'Lister og genveje'!$G$38</f>
        <v>Flere poler</v>
      </c>
      <c r="Q434">
        <f>INDEX('Lister og genveje'!$E$39:$I$46,MATCH(M434,'Lister og genveje'!$D$39:$D$46,0),MATCH(P434,'Lister og genveje'!$E$38:$I$38,0),1)</f>
        <v>10</v>
      </c>
      <c r="R434" s="27">
        <f t="shared" si="11"/>
        <v>5</v>
      </c>
      <c r="S434" s="27">
        <f t="shared" si="12"/>
        <v>10</v>
      </c>
      <c r="T434" s="31">
        <f>VLOOKUP(M434,'Lister og genveje'!$D$39:$J$46,7,0)</f>
        <v>0.75</v>
      </c>
    </row>
    <row r="435" spans="12:20" ht="16" thickBot="1">
      <c r="L435" s="30" t="str">
        <f t="shared" si="10"/>
        <v>EN60898</v>
      </c>
      <c r="M435" t="str">
        <f>'Lister og genveje'!$D$39</f>
        <v>C60N</v>
      </c>
      <c r="N435">
        <v>63</v>
      </c>
      <c r="O435" t="s">
        <v>155</v>
      </c>
      <c r="P435" t="str">
        <f>'Lister og genveje'!$G$38</f>
        <v>Flere poler</v>
      </c>
      <c r="Q435">
        <f>INDEX('Lister og genveje'!$E$39:$I$46,MATCH(M435,'Lister og genveje'!$D$39:$D$46,0),MATCH(P435,'Lister og genveje'!$E$38:$I$38,0),1)</f>
        <v>10</v>
      </c>
      <c r="R435" s="27">
        <f t="shared" si="11"/>
        <v>5</v>
      </c>
      <c r="S435" s="27">
        <f t="shared" si="12"/>
        <v>10</v>
      </c>
      <c r="T435" s="31">
        <f>VLOOKUP(M435,'Lister og genveje'!$D$39:$J$46,7,0)</f>
        <v>0.75</v>
      </c>
    </row>
    <row r="436" spans="12:20" ht="16" thickBot="1">
      <c r="L436" s="30" t="str">
        <f t="shared" si="10"/>
        <v>EN60898</v>
      </c>
      <c r="M436" t="str">
        <f>'Lister og genveje'!$D$44</f>
        <v>C120N</v>
      </c>
      <c r="N436">
        <v>63</v>
      </c>
      <c r="O436" t="s">
        <v>155</v>
      </c>
      <c r="P436" t="s">
        <v>164</v>
      </c>
      <c r="Q436">
        <f>INDEX('Lister og genveje'!$E$39:$I$46,MATCH(M436,'Lister og genveje'!$D$39:$D$46,0),MATCH(P436,'Lister og genveje'!$E$38:$I$38,0),1)</f>
        <v>3</v>
      </c>
      <c r="R436" s="27">
        <f t="shared" si="11"/>
        <v>5</v>
      </c>
      <c r="S436" s="27">
        <f t="shared" si="12"/>
        <v>10</v>
      </c>
      <c r="T436" s="31">
        <f>VLOOKUP(M436,'Lister og genveje'!$D$39:$J$46,7,0)</f>
        <v>0.75</v>
      </c>
    </row>
    <row r="437" spans="12:20" ht="16" thickBot="1">
      <c r="L437" s="30" t="str">
        <f t="shared" si="10"/>
        <v>EN60898</v>
      </c>
      <c r="M437" t="str">
        <f>'Lister og genveje'!$D$44</f>
        <v>C120N</v>
      </c>
      <c r="N437">
        <v>80</v>
      </c>
      <c r="O437" t="s">
        <v>155</v>
      </c>
      <c r="P437" t="s">
        <v>164</v>
      </c>
      <c r="Q437">
        <f>INDEX('Lister og genveje'!$E$39:$I$46,MATCH(M437,'Lister og genveje'!$D$39:$D$46,0),MATCH(P437,'Lister og genveje'!$E$38:$I$38,0),1)</f>
        <v>3</v>
      </c>
      <c r="R437" s="27">
        <f t="shared" si="11"/>
        <v>5</v>
      </c>
      <c r="S437" s="27">
        <f t="shared" si="12"/>
        <v>10</v>
      </c>
      <c r="T437" s="31">
        <f>VLOOKUP(M437,'Lister og genveje'!$D$39:$J$46,7,0)</f>
        <v>0.75</v>
      </c>
    </row>
    <row r="438" spans="12:20" ht="16" thickBot="1">
      <c r="L438" s="30" t="str">
        <f t="shared" si="10"/>
        <v>EN60898</v>
      </c>
      <c r="M438" t="str">
        <f>'Lister og genveje'!$D$44</f>
        <v>C120N</v>
      </c>
      <c r="N438">
        <v>100</v>
      </c>
      <c r="O438" t="s">
        <v>155</v>
      </c>
      <c r="P438" t="s">
        <v>164</v>
      </c>
      <c r="Q438">
        <f>INDEX('Lister og genveje'!$E$39:$I$46,MATCH(M438,'Lister og genveje'!$D$39:$D$46,0),MATCH(P438,'Lister og genveje'!$E$38:$I$38,0),1)</f>
        <v>3</v>
      </c>
      <c r="R438" s="27">
        <f t="shared" si="11"/>
        <v>5</v>
      </c>
      <c r="S438" s="27">
        <f t="shared" si="12"/>
        <v>10</v>
      </c>
      <c r="T438" s="31">
        <f>VLOOKUP(M438,'Lister og genveje'!$D$39:$J$46,7,0)</f>
        <v>0.75</v>
      </c>
    </row>
    <row r="439" spans="12:20" ht="16" thickBot="1">
      <c r="L439" s="30" t="str">
        <f t="shared" si="10"/>
        <v>EN60898</v>
      </c>
      <c r="M439" t="str">
        <f>'Lister og genveje'!$D$44</f>
        <v>C120N</v>
      </c>
      <c r="N439">
        <v>125</v>
      </c>
      <c r="O439" t="s">
        <v>155</v>
      </c>
      <c r="P439" t="s">
        <v>164</v>
      </c>
      <c r="Q439">
        <f>INDEX('Lister og genveje'!$E$39:$I$46,MATCH(M439,'Lister og genveje'!$D$39:$D$46,0),MATCH(P439,'Lister og genveje'!$E$38:$I$38,0),1)</f>
        <v>3</v>
      </c>
      <c r="R439" s="27">
        <f t="shared" si="11"/>
        <v>5</v>
      </c>
      <c r="S439" s="27">
        <f t="shared" si="12"/>
        <v>10</v>
      </c>
      <c r="T439" s="31">
        <f>VLOOKUP(M439,'Lister og genveje'!$D$39:$J$46,7,0)</f>
        <v>0.75</v>
      </c>
    </row>
    <row r="440" spans="12:20" ht="16" thickBot="1">
      <c r="L440" s="30" t="str">
        <f t="shared" ref="L440:L503" si="13">$E$54</f>
        <v>EN60898</v>
      </c>
      <c r="M440" t="str">
        <f>'Lister og genveje'!$D$44</f>
        <v>C120N</v>
      </c>
      <c r="N440">
        <v>63</v>
      </c>
      <c r="O440" t="s">
        <v>155</v>
      </c>
      <c r="P440" t="str">
        <f>'Lister og genveje'!$G$38</f>
        <v>Flere poler</v>
      </c>
      <c r="Q440">
        <f>INDEX('Lister og genveje'!$E$39:$I$46,MATCH(M440,'Lister og genveje'!$D$39:$D$46,0),MATCH(P440,'Lister og genveje'!$E$38:$I$38,0),1)</f>
        <v>10</v>
      </c>
      <c r="R440" s="27">
        <f t="shared" ref="R440:R503" si="14">VLOOKUP(O440,$F$54:$H$56,2,FALSE)</f>
        <v>5</v>
      </c>
      <c r="S440" s="27">
        <f t="shared" ref="S440:S503" si="15">VLOOKUP(O440,$F$54:$H$56,3,FALSE)</f>
        <v>10</v>
      </c>
      <c r="T440" s="31">
        <f>VLOOKUP(M440,'Lister og genveje'!$D$39:$J$46,7,0)</f>
        <v>0.75</v>
      </c>
    </row>
    <row r="441" spans="12:20" ht="16" thickBot="1">
      <c r="L441" s="30" t="str">
        <f t="shared" si="13"/>
        <v>EN60898</v>
      </c>
      <c r="M441" t="str">
        <f>'Lister og genveje'!$D$44</f>
        <v>C120N</v>
      </c>
      <c r="N441">
        <v>80</v>
      </c>
      <c r="O441" t="s">
        <v>155</v>
      </c>
      <c r="P441" t="str">
        <f>'Lister og genveje'!$G$38</f>
        <v>Flere poler</v>
      </c>
      <c r="Q441">
        <f>INDEX('Lister og genveje'!$E$39:$I$46,MATCH(M441,'Lister og genveje'!$D$39:$D$46,0),MATCH(P441,'Lister og genveje'!$E$38:$I$38,0),1)</f>
        <v>10</v>
      </c>
      <c r="R441" s="27">
        <f t="shared" si="14"/>
        <v>5</v>
      </c>
      <c r="S441" s="27">
        <f t="shared" si="15"/>
        <v>10</v>
      </c>
      <c r="T441" s="31">
        <f>VLOOKUP(M441,'Lister og genveje'!$D$39:$J$46,7,0)</f>
        <v>0.75</v>
      </c>
    </row>
    <row r="442" spans="12:20" ht="16" thickBot="1">
      <c r="L442" s="30" t="str">
        <f t="shared" si="13"/>
        <v>EN60898</v>
      </c>
      <c r="M442" t="str">
        <f>'Lister og genveje'!$D$44</f>
        <v>C120N</v>
      </c>
      <c r="N442">
        <v>100</v>
      </c>
      <c r="O442" t="s">
        <v>155</v>
      </c>
      <c r="P442" t="str">
        <f>'Lister og genveje'!$G$38</f>
        <v>Flere poler</v>
      </c>
      <c r="Q442">
        <f>INDEX('Lister og genveje'!$E$39:$I$46,MATCH(M442,'Lister og genveje'!$D$39:$D$46,0),MATCH(P442,'Lister og genveje'!$E$38:$I$38,0),1)</f>
        <v>10</v>
      </c>
      <c r="R442" s="27">
        <f t="shared" si="14"/>
        <v>5</v>
      </c>
      <c r="S442" s="27">
        <f t="shared" si="15"/>
        <v>10</v>
      </c>
      <c r="T442" s="31">
        <f>VLOOKUP(M442,'Lister og genveje'!$D$39:$J$46,7,0)</f>
        <v>0.75</v>
      </c>
    </row>
    <row r="443" spans="12:20" ht="16" thickBot="1">
      <c r="L443" s="30" t="str">
        <f t="shared" si="13"/>
        <v>EN60898</v>
      </c>
      <c r="M443" t="str">
        <f>'Lister og genveje'!$D$44</f>
        <v>C120N</v>
      </c>
      <c r="N443">
        <v>125</v>
      </c>
      <c r="O443" t="s">
        <v>155</v>
      </c>
      <c r="P443" t="str">
        <f>'Lister og genveje'!$G$38</f>
        <v>Flere poler</v>
      </c>
      <c r="Q443">
        <f>INDEX('Lister og genveje'!$E$39:$I$46,MATCH(M443,'Lister og genveje'!$D$39:$D$46,0),MATCH(P443,'Lister og genveje'!$E$38:$I$38,0),1)</f>
        <v>10</v>
      </c>
      <c r="R443" s="27">
        <f t="shared" si="14"/>
        <v>5</v>
      </c>
      <c r="S443" s="27">
        <f t="shared" si="15"/>
        <v>10</v>
      </c>
      <c r="T443" s="31">
        <f>VLOOKUP(M443,'Lister og genveje'!$D$39:$J$46,7,0)</f>
        <v>0.75</v>
      </c>
    </row>
    <row r="444" spans="12:20" ht="16" thickBot="1">
      <c r="L444" s="30" t="str">
        <f t="shared" si="13"/>
        <v>EN60898</v>
      </c>
      <c r="M444" t="s">
        <v>151</v>
      </c>
      <c r="N444">
        <v>1</v>
      </c>
      <c r="O444" t="s">
        <v>155</v>
      </c>
      <c r="P444" t="s">
        <v>164</v>
      </c>
      <c r="Q444">
        <f>INDEX('Lister og genveje'!$E$39:$I$46,MATCH(M444,'Lister og genveje'!$D$39:$D$46,0),MATCH(P444,'Lister og genveje'!$E$38:$I$38,0),1)</f>
        <v>15</v>
      </c>
      <c r="R444" s="27">
        <f t="shared" si="14"/>
        <v>5</v>
      </c>
      <c r="S444" s="27">
        <f t="shared" si="15"/>
        <v>10</v>
      </c>
      <c r="T444" s="31">
        <f>VLOOKUP(M444,'Lister og genveje'!$D$39:$J$46,7,0)</f>
        <v>0.5</v>
      </c>
    </row>
    <row r="445" spans="12:20" ht="16" thickBot="1">
      <c r="L445" s="30" t="str">
        <f t="shared" si="13"/>
        <v>EN60898</v>
      </c>
      <c r="M445" t="s">
        <v>151</v>
      </c>
      <c r="N445">
        <v>2</v>
      </c>
      <c r="O445" t="s">
        <v>155</v>
      </c>
      <c r="P445" t="s">
        <v>164</v>
      </c>
      <c r="Q445">
        <f>INDEX('Lister og genveje'!$E$39:$I$46,MATCH(M445,'Lister og genveje'!$D$39:$D$46,0),MATCH(P445,'Lister og genveje'!$E$38:$I$38,0),1)</f>
        <v>15</v>
      </c>
      <c r="R445" s="27">
        <f t="shared" si="14"/>
        <v>5</v>
      </c>
      <c r="S445" s="27">
        <f t="shared" si="15"/>
        <v>10</v>
      </c>
      <c r="T445" s="31">
        <f>VLOOKUP(M445,'Lister og genveje'!$D$39:$J$46,7,0)</f>
        <v>0.5</v>
      </c>
    </row>
    <row r="446" spans="12:20" ht="16" thickBot="1">
      <c r="L446" s="30" t="str">
        <f t="shared" si="13"/>
        <v>EN60898</v>
      </c>
      <c r="M446" t="s">
        <v>151</v>
      </c>
      <c r="N446">
        <v>3</v>
      </c>
      <c r="O446" t="s">
        <v>155</v>
      </c>
      <c r="P446" t="s">
        <v>164</v>
      </c>
      <c r="Q446">
        <f>INDEX('Lister og genveje'!$E$39:$I$46,MATCH(M446,'Lister og genveje'!$D$39:$D$46,0),MATCH(P446,'Lister og genveje'!$E$38:$I$38,0),1)</f>
        <v>15</v>
      </c>
      <c r="R446" s="27">
        <f t="shared" si="14"/>
        <v>5</v>
      </c>
      <c r="S446" s="27">
        <f t="shared" si="15"/>
        <v>10</v>
      </c>
      <c r="T446" s="31">
        <f>VLOOKUP(M446,'Lister og genveje'!$D$39:$J$46,7,0)</f>
        <v>0.5</v>
      </c>
    </row>
    <row r="447" spans="12:20" ht="16" thickBot="1">
      <c r="L447" s="30" t="str">
        <f t="shared" si="13"/>
        <v>EN60898</v>
      </c>
      <c r="M447" t="s">
        <v>151</v>
      </c>
      <c r="N447">
        <v>4</v>
      </c>
      <c r="O447" t="s">
        <v>155</v>
      </c>
      <c r="P447" t="s">
        <v>164</v>
      </c>
      <c r="Q447">
        <f>INDEX('Lister og genveje'!$E$39:$I$46,MATCH(M447,'Lister og genveje'!$D$39:$D$46,0),MATCH(P447,'Lister og genveje'!$E$38:$I$38,0),1)</f>
        <v>15</v>
      </c>
      <c r="R447" s="27">
        <f t="shared" si="14"/>
        <v>5</v>
      </c>
      <c r="S447" s="27">
        <f t="shared" si="15"/>
        <v>10</v>
      </c>
      <c r="T447" s="31">
        <f>VLOOKUP(M447,'Lister og genveje'!$D$39:$J$46,7,0)</f>
        <v>0.5</v>
      </c>
    </row>
    <row r="448" spans="12:20" ht="16" thickBot="1">
      <c r="L448" s="30" t="str">
        <f t="shared" si="13"/>
        <v>EN60898</v>
      </c>
      <c r="M448" t="s">
        <v>151</v>
      </c>
      <c r="N448">
        <v>6</v>
      </c>
      <c r="O448" t="s">
        <v>155</v>
      </c>
      <c r="P448" t="s">
        <v>164</v>
      </c>
      <c r="Q448">
        <f>INDEX('Lister og genveje'!$E$39:$I$46,MATCH(M448,'Lister og genveje'!$D$39:$D$46,0),MATCH(P448,'Lister og genveje'!$E$38:$I$38,0),1)</f>
        <v>15</v>
      </c>
      <c r="R448" s="27">
        <f t="shared" si="14"/>
        <v>5</v>
      </c>
      <c r="S448" s="27">
        <f t="shared" si="15"/>
        <v>10</v>
      </c>
      <c r="T448" s="31">
        <f>VLOOKUP(M448,'Lister og genveje'!$D$39:$J$46,7,0)</f>
        <v>0.5</v>
      </c>
    </row>
    <row r="449" spans="12:20" ht="16" thickBot="1">
      <c r="L449" s="30" t="str">
        <f t="shared" si="13"/>
        <v>EN60898</v>
      </c>
      <c r="M449" t="s">
        <v>151</v>
      </c>
      <c r="N449">
        <v>10</v>
      </c>
      <c r="O449" t="s">
        <v>155</v>
      </c>
      <c r="P449" t="s">
        <v>164</v>
      </c>
      <c r="Q449">
        <f>INDEX('Lister og genveje'!$E$39:$I$46,MATCH(M449,'Lister og genveje'!$D$39:$D$46,0),MATCH(P449,'Lister og genveje'!$E$38:$I$38,0),1)</f>
        <v>15</v>
      </c>
      <c r="R449" s="27">
        <f t="shared" si="14"/>
        <v>5</v>
      </c>
      <c r="S449" s="27">
        <f t="shared" si="15"/>
        <v>10</v>
      </c>
      <c r="T449" s="31">
        <f>VLOOKUP(M449,'Lister og genveje'!$D$39:$J$46,7,0)</f>
        <v>0.5</v>
      </c>
    </row>
    <row r="450" spans="12:20" ht="16" thickBot="1">
      <c r="L450" s="30" t="str">
        <f t="shared" si="13"/>
        <v>EN60898</v>
      </c>
      <c r="M450" t="s">
        <v>151</v>
      </c>
      <c r="N450">
        <v>13</v>
      </c>
      <c r="O450" t="s">
        <v>155</v>
      </c>
      <c r="P450" t="s">
        <v>164</v>
      </c>
      <c r="Q450">
        <f>INDEX('Lister og genveje'!$E$39:$I$46,MATCH(M450,'Lister og genveje'!$D$39:$D$46,0),MATCH(P450,'Lister og genveje'!$E$38:$I$38,0),1)</f>
        <v>15</v>
      </c>
      <c r="R450" s="27">
        <f t="shared" si="14"/>
        <v>5</v>
      </c>
      <c r="S450" s="27">
        <f t="shared" si="15"/>
        <v>10</v>
      </c>
      <c r="T450" s="31">
        <f>VLOOKUP(M450,'Lister og genveje'!$D$39:$J$46,7,0)</f>
        <v>0.5</v>
      </c>
    </row>
    <row r="451" spans="12:20" ht="16" thickBot="1">
      <c r="L451" s="30" t="str">
        <f t="shared" si="13"/>
        <v>EN60898</v>
      </c>
      <c r="M451" t="s">
        <v>151</v>
      </c>
      <c r="N451">
        <v>16</v>
      </c>
      <c r="O451" t="s">
        <v>155</v>
      </c>
      <c r="P451" t="s">
        <v>164</v>
      </c>
      <c r="Q451">
        <f>INDEX('Lister og genveje'!$E$39:$I$46,MATCH(M451,'Lister og genveje'!$D$39:$D$46,0),MATCH(P451,'Lister og genveje'!$E$38:$I$38,0),1)</f>
        <v>15</v>
      </c>
      <c r="R451" s="27">
        <f t="shared" si="14"/>
        <v>5</v>
      </c>
      <c r="S451" s="27">
        <f t="shared" si="15"/>
        <v>10</v>
      </c>
      <c r="T451" s="31">
        <f>VLOOKUP(M451,'Lister og genveje'!$D$39:$J$46,7,0)</f>
        <v>0.5</v>
      </c>
    </row>
    <row r="452" spans="12:20" ht="16" thickBot="1">
      <c r="L452" s="30" t="str">
        <f t="shared" si="13"/>
        <v>EN60898</v>
      </c>
      <c r="M452" t="s">
        <v>151</v>
      </c>
      <c r="N452">
        <v>20</v>
      </c>
      <c r="O452" t="s">
        <v>155</v>
      </c>
      <c r="P452" t="s">
        <v>164</v>
      </c>
      <c r="Q452">
        <f>INDEX('Lister og genveje'!$E$39:$I$46,MATCH(M452,'Lister og genveje'!$D$39:$D$46,0),MATCH(P452,'Lister og genveje'!$E$38:$I$38,0),1)</f>
        <v>15</v>
      </c>
      <c r="R452" s="27">
        <f t="shared" si="14"/>
        <v>5</v>
      </c>
      <c r="S452" s="27">
        <f t="shared" si="15"/>
        <v>10</v>
      </c>
      <c r="T452" s="31">
        <f>VLOOKUP(M452,'Lister og genveje'!$D$39:$J$46,7,0)</f>
        <v>0.5</v>
      </c>
    </row>
    <row r="453" spans="12:20" ht="16" thickBot="1">
      <c r="L453" s="30" t="str">
        <f t="shared" si="13"/>
        <v>EN60898</v>
      </c>
      <c r="M453" t="s">
        <v>151</v>
      </c>
      <c r="N453">
        <v>25</v>
      </c>
      <c r="O453" t="s">
        <v>155</v>
      </c>
      <c r="P453" t="s">
        <v>164</v>
      </c>
      <c r="Q453">
        <f>INDEX('Lister og genveje'!$E$39:$I$46,MATCH(M453,'Lister og genveje'!$D$39:$D$46,0),MATCH(P453,'Lister og genveje'!$E$38:$I$38,0),1)</f>
        <v>15</v>
      </c>
      <c r="R453" s="27">
        <f t="shared" si="14"/>
        <v>5</v>
      </c>
      <c r="S453" s="27">
        <f t="shared" si="15"/>
        <v>10</v>
      </c>
      <c r="T453" s="31">
        <f>VLOOKUP(M453,'Lister og genveje'!$D$39:$J$46,7,0)</f>
        <v>0.5</v>
      </c>
    </row>
    <row r="454" spans="12:20" ht="16" thickBot="1">
      <c r="L454" s="30" t="str">
        <f t="shared" si="13"/>
        <v>EN60898</v>
      </c>
      <c r="M454" t="s">
        <v>151</v>
      </c>
      <c r="N454">
        <v>32</v>
      </c>
      <c r="O454" t="s">
        <v>155</v>
      </c>
      <c r="P454" t="s">
        <v>164</v>
      </c>
      <c r="Q454">
        <f>INDEX('Lister og genveje'!$E$39:$I$46,MATCH(M454,'Lister og genveje'!$D$39:$D$46,0),MATCH(P454,'Lister og genveje'!$E$38:$I$38,0),1)</f>
        <v>15</v>
      </c>
      <c r="R454" s="27">
        <f t="shared" si="14"/>
        <v>5</v>
      </c>
      <c r="S454" s="27">
        <f t="shared" si="15"/>
        <v>10</v>
      </c>
      <c r="T454" s="31">
        <f>VLOOKUP(M454,'Lister og genveje'!$D$39:$J$46,7,0)</f>
        <v>0.5</v>
      </c>
    </row>
    <row r="455" spans="12:20" ht="16" thickBot="1">
      <c r="L455" s="30" t="str">
        <f t="shared" si="13"/>
        <v>EN60898</v>
      </c>
      <c r="M455" t="s">
        <v>151</v>
      </c>
      <c r="N455">
        <v>40</v>
      </c>
      <c r="O455" t="s">
        <v>155</v>
      </c>
      <c r="P455" t="s">
        <v>164</v>
      </c>
      <c r="Q455">
        <f>INDEX('Lister og genveje'!$E$39:$I$46,MATCH(M455,'Lister og genveje'!$D$39:$D$46,0),MATCH(P455,'Lister og genveje'!$E$38:$I$38,0),1)</f>
        <v>15</v>
      </c>
      <c r="R455" s="27">
        <f t="shared" si="14"/>
        <v>5</v>
      </c>
      <c r="S455" s="27">
        <f t="shared" si="15"/>
        <v>10</v>
      </c>
      <c r="T455" s="31">
        <f>VLOOKUP(M455,'Lister og genveje'!$D$39:$J$46,7,0)</f>
        <v>0.5</v>
      </c>
    </row>
    <row r="456" spans="12:20" ht="16" thickBot="1">
      <c r="L456" s="30" t="str">
        <f t="shared" si="13"/>
        <v>EN60898</v>
      </c>
      <c r="M456" t="s">
        <v>151</v>
      </c>
      <c r="N456">
        <v>50</v>
      </c>
      <c r="O456" t="s">
        <v>155</v>
      </c>
      <c r="P456" t="s">
        <v>164</v>
      </c>
      <c r="Q456">
        <f>INDEX('Lister og genveje'!$E$39:$I$46,MATCH(M456,'Lister og genveje'!$D$39:$D$46,0),MATCH(P456,'Lister og genveje'!$E$38:$I$38,0),1)</f>
        <v>15</v>
      </c>
      <c r="R456" s="27">
        <f t="shared" si="14"/>
        <v>5</v>
      </c>
      <c r="S456" s="27">
        <f t="shared" si="15"/>
        <v>10</v>
      </c>
      <c r="T456" s="31">
        <f>VLOOKUP(M456,'Lister og genveje'!$D$39:$J$46,7,0)</f>
        <v>0.5</v>
      </c>
    </row>
    <row r="457" spans="12:20" ht="16" thickBot="1">
      <c r="L457" s="30" t="str">
        <f t="shared" si="13"/>
        <v>EN60898</v>
      </c>
      <c r="M457" t="s">
        <v>151</v>
      </c>
      <c r="N457">
        <v>63</v>
      </c>
      <c r="O457" t="s">
        <v>155</v>
      </c>
      <c r="P457" t="s">
        <v>164</v>
      </c>
      <c r="Q457">
        <f>INDEX('Lister og genveje'!$E$39:$I$46,MATCH(M457,'Lister og genveje'!$D$39:$D$46,0),MATCH(P457,'Lister og genveje'!$E$38:$I$38,0),1)</f>
        <v>15</v>
      </c>
      <c r="R457" s="27">
        <f t="shared" si="14"/>
        <v>5</v>
      </c>
      <c r="S457" s="27">
        <f t="shared" si="15"/>
        <v>10</v>
      </c>
      <c r="T457" s="31">
        <f>VLOOKUP(M457,'Lister og genveje'!$D$39:$J$46,7,0)</f>
        <v>0.5</v>
      </c>
    </row>
    <row r="458" spans="12:20" ht="16" thickBot="1">
      <c r="L458" s="30" t="str">
        <f t="shared" si="13"/>
        <v>EN60898</v>
      </c>
      <c r="M458" t="s">
        <v>151</v>
      </c>
      <c r="N458">
        <v>80</v>
      </c>
      <c r="O458" t="s">
        <v>155</v>
      </c>
      <c r="P458" t="s">
        <v>164</v>
      </c>
      <c r="Q458">
        <f>INDEX('Lister og genveje'!$E$39:$I$46,MATCH(M458,'Lister og genveje'!$D$39:$D$46,0),MATCH(P458,'Lister og genveje'!$E$38:$I$38,0),1)</f>
        <v>15</v>
      </c>
      <c r="R458" s="27">
        <f t="shared" si="14"/>
        <v>5</v>
      </c>
      <c r="S458" s="27">
        <f t="shared" si="15"/>
        <v>10</v>
      </c>
      <c r="T458" s="31">
        <f>VLOOKUP(M458,'Lister og genveje'!$D$39:$J$46,7,0)</f>
        <v>0.5</v>
      </c>
    </row>
    <row r="459" spans="12:20" ht="16" thickBot="1">
      <c r="L459" s="30" t="str">
        <f t="shared" si="13"/>
        <v>EN60898</v>
      </c>
      <c r="M459" t="s">
        <v>151</v>
      </c>
      <c r="N459">
        <v>100</v>
      </c>
      <c r="O459" t="s">
        <v>155</v>
      </c>
      <c r="P459" t="s">
        <v>164</v>
      </c>
      <c r="Q459">
        <f>INDEX('Lister og genveje'!$E$39:$I$46,MATCH(M459,'Lister og genveje'!$D$39:$D$46,0),MATCH(P459,'Lister og genveje'!$E$38:$I$38,0),1)</f>
        <v>15</v>
      </c>
      <c r="R459" s="27">
        <f t="shared" si="14"/>
        <v>5</v>
      </c>
      <c r="S459" s="27">
        <f t="shared" si="15"/>
        <v>10</v>
      </c>
      <c r="T459" s="31">
        <f>VLOOKUP(M459,'Lister og genveje'!$D$39:$J$46,7,0)</f>
        <v>0.5</v>
      </c>
    </row>
    <row r="460" spans="12:20" ht="16" thickBot="1">
      <c r="L460" s="30" t="str">
        <f t="shared" si="13"/>
        <v>EN60898</v>
      </c>
      <c r="M460" t="s">
        <v>151</v>
      </c>
      <c r="N460">
        <v>125</v>
      </c>
      <c r="O460" t="s">
        <v>155</v>
      </c>
      <c r="P460" t="s">
        <v>164</v>
      </c>
      <c r="Q460">
        <f>INDEX('Lister og genveje'!$E$39:$I$46,MATCH(M460,'Lister og genveje'!$D$39:$D$46,0),MATCH(P460,'Lister og genveje'!$E$38:$I$38,0),1)</f>
        <v>15</v>
      </c>
      <c r="R460" s="27">
        <f t="shared" si="14"/>
        <v>5</v>
      </c>
      <c r="S460" s="27">
        <f t="shared" si="15"/>
        <v>10</v>
      </c>
      <c r="T460" s="31">
        <f>VLOOKUP(M460,'Lister og genveje'!$D$39:$J$46,7,0)</f>
        <v>0.5</v>
      </c>
    </row>
    <row r="461" spans="12:20" ht="16" thickBot="1">
      <c r="L461" s="30" t="str">
        <f t="shared" si="13"/>
        <v>EN60898</v>
      </c>
      <c r="M461" t="s">
        <v>151</v>
      </c>
      <c r="N461">
        <v>1</v>
      </c>
      <c r="O461" t="s">
        <v>155</v>
      </c>
      <c r="P461" t="s">
        <v>166</v>
      </c>
      <c r="Q461">
        <f>INDEX('Lister og genveje'!$E$39:$I$46,MATCH(M461,'Lister og genveje'!$D$39:$D$46,0),MATCH(P461,'Lister og genveje'!$E$38:$I$38,0),1)</f>
        <v>30</v>
      </c>
      <c r="R461" s="27">
        <f t="shared" si="14"/>
        <v>5</v>
      </c>
      <c r="S461" s="27">
        <f t="shared" si="15"/>
        <v>10</v>
      </c>
      <c r="T461" s="31">
        <f>VLOOKUP(M461,'Lister og genveje'!$D$39:$J$46,7,0)</f>
        <v>0.5</v>
      </c>
    </row>
    <row r="462" spans="12:20" ht="16" thickBot="1">
      <c r="L462" s="30" t="str">
        <f t="shared" si="13"/>
        <v>EN60898</v>
      </c>
      <c r="M462" t="s">
        <v>151</v>
      </c>
      <c r="N462">
        <v>2</v>
      </c>
      <c r="O462" t="s">
        <v>155</v>
      </c>
      <c r="P462" t="s">
        <v>166</v>
      </c>
      <c r="Q462">
        <f>INDEX('Lister og genveje'!$E$39:$I$46,MATCH(M462,'Lister og genveje'!$D$39:$D$46,0),MATCH(P462,'Lister og genveje'!$E$38:$I$38,0),1)</f>
        <v>30</v>
      </c>
      <c r="R462" s="27">
        <f t="shared" si="14"/>
        <v>5</v>
      </c>
      <c r="S462" s="27">
        <f t="shared" si="15"/>
        <v>10</v>
      </c>
      <c r="T462" s="31">
        <f>VLOOKUP(M462,'Lister og genveje'!$D$39:$J$46,7,0)</f>
        <v>0.5</v>
      </c>
    </row>
    <row r="463" spans="12:20" ht="16" thickBot="1">
      <c r="L463" s="30" t="str">
        <f t="shared" si="13"/>
        <v>EN60898</v>
      </c>
      <c r="M463" t="s">
        <v>151</v>
      </c>
      <c r="N463">
        <v>3</v>
      </c>
      <c r="O463" t="s">
        <v>155</v>
      </c>
      <c r="P463" t="s">
        <v>166</v>
      </c>
      <c r="Q463">
        <f>INDEX('Lister og genveje'!$E$39:$I$46,MATCH(M463,'Lister og genveje'!$D$39:$D$46,0),MATCH(P463,'Lister og genveje'!$E$38:$I$38,0),1)</f>
        <v>30</v>
      </c>
      <c r="R463" s="27">
        <f t="shared" si="14"/>
        <v>5</v>
      </c>
      <c r="S463" s="27">
        <f t="shared" si="15"/>
        <v>10</v>
      </c>
      <c r="T463" s="31">
        <f>VLOOKUP(M463,'Lister og genveje'!$D$39:$J$46,7,0)</f>
        <v>0.5</v>
      </c>
    </row>
    <row r="464" spans="12:20" ht="16" thickBot="1">
      <c r="L464" s="30" t="str">
        <f t="shared" si="13"/>
        <v>EN60898</v>
      </c>
      <c r="M464" t="s">
        <v>151</v>
      </c>
      <c r="N464">
        <v>4</v>
      </c>
      <c r="O464" t="s">
        <v>155</v>
      </c>
      <c r="P464" t="s">
        <v>166</v>
      </c>
      <c r="Q464">
        <f>INDEX('Lister og genveje'!$E$39:$I$46,MATCH(M464,'Lister og genveje'!$D$39:$D$46,0),MATCH(P464,'Lister og genveje'!$E$38:$I$38,0),1)</f>
        <v>30</v>
      </c>
      <c r="R464" s="27">
        <f t="shared" si="14"/>
        <v>5</v>
      </c>
      <c r="S464" s="27">
        <f t="shared" si="15"/>
        <v>10</v>
      </c>
      <c r="T464" s="31">
        <f>VLOOKUP(M464,'Lister og genveje'!$D$39:$J$46,7,0)</f>
        <v>0.5</v>
      </c>
    </row>
    <row r="465" spans="12:20" ht="16" thickBot="1">
      <c r="L465" s="30" t="str">
        <f t="shared" si="13"/>
        <v>EN60898</v>
      </c>
      <c r="M465" t="s">
        <v>151</v>
      </c>
      <c r="N465">
        <v>6</v>
      </c>
      <c r="O465" t="s">
        <v>155</v>
      </c>
      <c r="P465" t="s">
        <v>166</v>
      </c>
      <c r="Q465">
        <f>INDEX('Lister og genveje'!$E$39:$I$46,MATCH(M465,'Lister og genveje'!$D$39:$D$46,0),MATCH(P465,'Lister og genveje'!$E$38:$I$38,0),1)</f>
        <v>30</v>
      </c>
      <c r="R465" s="27">
        <f t="shared" si="14"/>
        <v>5</v>
      </c>
      <c r="S465" s="27">
        <f t="shared" si="15"/>
        <v>10</v>
      </c>
      <c r="T465" s="31">
        <f>VLOOKUP(M465,'Lister og genveje'!$D$39:$J$46,7,0)</f>
        <v>0.5</v>
      </c>
    </row>
    <row r="466" spans="12:20" ht="16" thickBot="1">
      <c r="L466" s="30" t="str">
        <f t="shared" si="13"/>
        <v>EN60898</v>
      </c>
      <c r="M466" t="s">
        <v>151</v>
      </c>
      <c r="N466">
        <v>10</v>
      </c>
      <c r="O466" t="s">
        <v>155</v>
      </c>
      <c r="P466" t="s">
        <v>166</v>
      </c>
      <c r="Q466">
        <f>INDEX('Lister og genveje'!$E$39:$I$46,MATCH(M466,'Lister og genveje'!$D$39:$D$46,0),MATCH(P466,'Lister og genveje'!$E$38:$I$38,0),1)</f>
        <v>30</v>
      </c>
      <c r="R466" s="27">
        <f t="shared" si="14"/>
        <v>5</v>
      </c>
      <c r="S466" s="27">
        <f t="shared" si="15"/>
        <v>10</v>
      </c>
      <c r="T466" s="31">
        <f>VLOOKUP(M466,'Lister og genveje'!$D$39:$J$46,7,0)</f>
        <v>0.5</v>
      </c>
    </row>
    <row r="467" spans="12:20" ht="16" thickBot="1">
      <c r="L467" s="30" t="str">
        <f t="shared" si="13"/>
        <v>EN60898</v>
      </c>
      <c r="M467" t="s">
        <v>151</v>
      </c>
      <c r="N467">
        <v>13</v>
      </c>
      <c r="O467" t="s">
        <v>155</v>
      </c>
      <c r="P467" t="s">
        <v>166</v>
      </c>
      <c r="Q467">
        <f>INDEX('Lister og genveje'!$E$39:$I$46,MATCH(M467,'Lister og genveje'!$D$39:$D$46,0),MATCH(P467,'Lister og genveje'!$E$38:$I$38,0),1)</f>
        <v>30</v>
      </c>
      <c r="R467" s="27">
        <f t="shared" si="14"/>
        <v>5</v>
      </c>
      <c r="S467" s="27">
        <f t="shared" si="15"/>
        <v>10</v>
      </c>
      <c r="T467" s="31">
        <f>VLOOKUP(M467,'Lister og genveje'!$D$39:$J$46,7,0)</f>
        <v>0.5</v>
      </c>
    </row>
    <row r="468" spans="12:20" ht="16" thickBot="1">
      <c r="L468" s="30" t="str">
        <f t="shared" si="13"/>
        <v>EN60898</v>
      </c>
      <c r="M468" t="s">
        <v>151</v>
      </c>
      <c r="N468">
        <v>16</v>
      </c>
      <c r="O468" t="s">
        <v>155</v>
      </c>
      <c r="P468" t="s">
        <v>166</v>
      </c>
      <c r="Q468">
        <f>INDEX('Lister og genveje'!$E$39:$I$46,MATCH(M468,'Lister og genveje'!$D$39:$D$46,0),MATCH(P468,'Lister og genveje'!$E$38:$I$38,0),1)</f>
        <v>30</v>
      </c>
      <c r="R468" s="27">
        <f t="shared" si="14"/>
        <v>5</v>
      </c>
      <c r="S468" s="27">
        <f t="shared" si="15"/>
        <v>10</v>
      </c>
      <c r="T468" s="31">
        <f>VLOOKUP(M468,'Lister og genveje'!$D$39:$J$46,7,0)</f>
        <v>0.5</v>
      </c>
    </row>
    <row r="469" spans="12:20" ht="16" thickBot="1">
      <c r="L469" s="30" t="str">
        <f t="shared" si="13"/>
        <v>EN60898</v>
      </c>
      <c r="M469" t="s">
        <v>151</v>
      </c>
      <c r="N469">
        <v>20</v>
      </c>
      <c r="O469" t="s">
        <v>155</v>
      </c>
      <c r="P469" t="s">
        <v>166</v>
      </c>
      <c r="Q469">
        <f>INDEX('Lister og genveje'!$E$39:$I$46,MATCH(M469,'Lister og genveje'!$D$39:$D$46,0),MATCH(P469,'Lister og genveje'!$E$38:$I$38,0),1)</f>
        <v>30</v>
      </c>
      <c r="R469" s="27">
        <f t="shared" si="14"/>
        <v>5</v>
      </c>
      <c r="S469" s="27">
        <f t="shared" si="15"/>
        <v>10</v>
      </c>
      <c r="T469" s="31">
        <f>VLOOKUP(M469,'Lister og genveje'!$D$39:$J$46,7,0)</f>
        <v>0.5</v>
      </c>
    </row>
    <row r="470" spans="12:20" ht="16" thickBot="1">
      <c r="L470" s="30" t="str">
        <f t="shared" si="13"/>
        <v>EN60898</v>
      </c>
      <c r="M470" t="s">
        <v>151</v>
      </c>
      <c r="N470">
        <v>25</v>
      </c>
      <c r="O470" t="s">
        <v>155</v>
      </c>
      <c r="P470" t="s">
        <v>166</v>
      </c>
      <c r="Q470">
        <f>INDEX('Lister og genveje'!$E$39:$I$46,MATCH(M470,'Lister og genveje'!$D$39:$D$46,0),MATCH(P470,'Lister og genveje'!$E$38:$I$38,0),1)</f>
        <v>30</v>
      </c>
      <c r="R470" s="27">
        <f t="shared" si="14"/>
        <v>5</v>
      </c>
      <c r="S470" s="27">
        <f t="shared" si="15"/>
        <v>10</v>
      </c>
      <c r="T470" s="31">
        <f>VLOOKUP(M470,'Lister og genveje'!$D$39:$J$46,7,0)</f>
        <v>0.5</v>
      </c>
    </row>
    <row r="471" spans="12:20" ht="16" thickBot="1">
      <c r="L471" s="30" t="str">
        <f t="shared" si="13"/>
        <v>EN60898</v>
      </c>
      <c r="M471" t="s">
        <v>151</v>
      </c>
      <c r="N471">
        <v>32</v>
      </c>
      <c r="O471" t="s">
        <v>155</v>
      </c>
      <c r="P471" t="s">
        <v>166</v>
      </c>
      <c r="Q471">
        <f>INDEX('Lister og genveje'!$E$39:$I$46,MATCH(M471,'Lister og genveje'!$D$39:$D$46,0),MATCH(P471,'Lister og genveje'!$E$38:$I$38,0),1)</f>
        <v>30</v>
      </c>
      <c r="R471" s="27">
        <f t="shared" si="14"/>
        <v>5</v>
      </c>
      <c r="S471" s="27">
        <f t="shared" si="15"/>
        <v>10</v>
      </c>
      <c r="T471" s="31">
        <f>VLOOKUP(M471,'Lister og genveje'!$D$39:$J$46,7,0)</f>
        <v>0.5</v>
      </c>
    </row>
    <row r="472" spans="12:20" ht="16" thickBot="1">
      <c r="L472" s="30" t="str">
        <f t="shared" si="13"/>
        <v>EN60898</v>
      </c>
      <c r="M472" t="s">
        <v>151</v>
      </c>
      <c r="N472">
        <v>40</v>
      </c>
      <c r="O472" t="s">
        <v>155</v>
      </c>
      <c r="P472" t="s">
        <v>166</v>
      </c>
      <c r="Q472">
        <f>INDEX('Lister og genveje'!$E$39:$I$46,MATCH(M472,'Lister og genveje'!$D$39:$D$46,0),MATCH(P472,'Lister og genveje'!$E$38:$I$38,0),1)</f>
        <v>30</v>
      </c>
      <c r="R472" s="27">
        <f t="shared" si="14"/>
        <v>5</v>
      </c>
      <c r="S472" s="27">
        <f t="shared" si="15"/>
        <v>10</v>
      </c>
      <c r="T472" s="31">
        <f>VLOOKUP(M472,'Lister og genveje'!$D$39:$J$46,7,0)</f>
        <v>0.5</v>
      </c>
    </row>
    <row r="473" spans="12:20" ht="16" thickBot="1">
      <c r="L473" s="30" t="str">
        <f t="shared" si="13"/>
        <v>EN60898</v>
      </c>
      <c r="M473" t="s">
        <v>151</v>
      </c>
      <c r="N473">
        <v>50</v>
      </c>
      <c r="O473" t="s">
        <v>155</v>
      </c>
      <c r="P473" t="s">
        <v>166</v>
      </c>
      <c r="Q473">
        <f>INDEX('Lister og genveje'!$E$39:$I$46,MATCH(M473,'Lister og genveje'!$D$39:$D$46,0),MATCH(P473,'Lister og genveje'!$E$38:$I$38,0),1)</f>
        <v>30</v>
      </c>
      <c r="R473" s="27">
        <f t="shared" si="14"/>
        <v>5</v>
      </c>
      <c r="S473" s="27">
        <f t="shared" si="15"/>
        <v>10</v>
      </c>
      <c r="T473" s="31">
        <f>VLOOKUP(M473,'Lister og genveje'!$D$39:$J$46,7,0)</f>
        <v>0.5</v>
      </c>
    </row>
    <row r="474" spans="12:20" ht="16" thickBot="1">
      <c r="L474" s="30" t="str">
        <f t="shared" si="13"/>
        <v>EN60898</v>
      </c>
      <c r="M474" t="s">
        <v>151</v>
      </c>
      <c r="N474">
        <v>63</v>
      </c>
      <c r="O474" t="s">
        <v>155</v>
      </c>
      <c r="P474" t="s">
        <v>166</v>
      </c>
      <c r="Q474">
        <f>INDEX('Lister og genveje'!$E$39:$I$46,MATCH(M474,'Lister og genveje'!$D$39:$D$46,0),MATCH(P474,'Lister og genveje'!$E$38:$I$38,0),1)</f>
        <v>30</v>
      </c>
      <c r="R474" s="27">
        <f t="shared" si="14"/>
        <v>5</v>
      </c>
      <c r="S474" s="27">
        <f t="shared" si="15"/>
        <v>10</v>
      </c>
      <c r="T474" s="31">
        <f>VLOOKUP(M474,'Lister og genveje'!$D$39:$J$46,7,0)</f>
        <v>0.5</v>
      </c>
    </row>
    <row r="475" spans="12:20" ht="16" thickBot="1">
      <c r="L475" s="30" t="str">
        <f t="shared" si="13"/>
        <v>EN60898</v>
      </c>
      <c r="M475" t="s">
        <v>151</v>
      </c>
      <c r="N475">
        <v>80</v>
      </c>
      <c r="O475" t="s">
        <v>155</v>
      </c>
      <c r="P475" t="s">
        <v>166</v>
      </c>
      <c r="Q475">
        <f>INDEX('Lister og genveje'!$E$39:$I$46,MATCH(M475,'Lister og genveje'!$D$39:$D$46,0),MATCH(P475,'Lister og genveje'!$E$38:$I$38,0),1)</f>
        <v>30</v>
      </c>
      <c r="R475" s="27">
        <f t="shared" si="14"/>
        <v>5</v>
      </c>
      <c r="S475" s="27">
        <f t="shared" si="15"/>
        <v>10</v>
      </c>
      <c r="T475" s="31">
        <f>VLOOKUP(M475,'Lister og genveje'!$D$39:$J$46,7,0)</f>
        <v>0.5</v>
      </c>
    </row>
    <row r="476" spans="12:20" ht="16" thickBot="1">
      <c r="L476" s="30" t="str">
        <f t="shared" si="13"/>
        <v>EN60898</v>
      </c>
      <c r="M476" t="s">
        <v>151</v>
      </c>
      <c r="N476">
        <v>100</v>
      </c>
      <c r="O476" t="s">
        <v>155</v>
      </c>
      <c r="P476" t="s">
        <v>166</v>
      </c>
      <c r="Q476">
        <f>INDEX('Lister og genveje'!$E$39:$I$46,MATCH(M476,'Lister og genveje'!$D$39:$D$46,0),MATCH(P476,'Lister og genveje'!$E$38:$I$38,0),1)</f>
        <v>30</v>
      </c>
      <c r="R476" s="27">
        <f t="shared" si="14"/>
        <v>5</v>
      </c>
      <c r="S476" s="27">
        <f t="shared" si="15"/>
        <v>10</v>
      </c>
      <c r="T476" s="31">
        <f>VLOOKUP(M476,'Lister og genveje'!$D$39:$J$46,7,0)</f>
        <v>0.5</v>
      </c>
    </row>
    <row r="477" spans="12:20" ht="16" thickBot="1">
      <c r="L477" s="30" t="str">
        <f t="shared" si="13"/>
        <v>EN60898</v>
      </c>
      <c r="M477" t="s">
        <v>151</v>
      </c>
      <c r="N477">
        <v>125</v>
      </c>
      <c r="O477" t="s">
        <v>155</v>
      </c>
      <c r="P477" t="s">
        <v>166</v>
      </c>
      <c r="Q477">
        <f>INDEX('Lister og genveje'!$E$39:$I$46,MATCH(M477,'Lister og genveje'!$D$39:$D$46,0),MATCH(P477,'Lister og genveje'!$E$38:$I$38,0),1)</f>
        <v>30</v>
      </c>
      <c r="R477" s="27">
        <f t="shared" si="14"/>
        <v>5</v>
      </c>
      <c r="S477" s="27">
        <f t="shared" si="15"/>
        <v>10</v>
      </c>
      <c r="T477" s="31">
        <f>VLOOKUP(M477,'Lister og genveje'!$D$39:$J$46,7,0)</f>
        <v>0.5</v>
      </c>
    </row>
    <row r="478" spans="12:20" ht="16" thickBot="1">
      <c r="L478" s="30" t="str">
        <f t="shared" si="13"/>
        <v>EN60898</v>
      </c>
      <c r="M478" t="s">
        <v>152</v>
      </c>
      <c r="N478">
        <v>10</v>
      </c>
      <c r="O478" t="s">
        <v>155</v>
      </c>
      <c r="P478" t="s">
        <v>164</v>
      </c>
      <c r="Q478">
        <f>INDEX('Lister og genveje'!$E$39:$I$46,MATCH(M478,'Lister og genveje'!$D$39:$D$46,0),MATCH(P478,'Lister og genveje'!$E$38:$I$38,0),1)</f>
        <v>4.5</v>
      </c>
      <c r="R478" s="27">
        <f t="shared" si="14"/>
        <v>5</v>
      </c>
      <c r="S478" s="27">
        <f t="shared" si="15"/>
        <v>10</v>
      </c>
      <c r="T478" s="31">
        <f>VLOOKUP(M478,'Lister og genveje'!$D$39:$J$46,7,0)</f>
        <v>0.75</v>
      </c>
    </row>
    <row r="479" spans="12:20" ht="16" thickBot="1">
      <c r="L479" s="30" t="str">
        <f t="shared" si="13"/>
        <v>EN60898</v>
      </c>
      <c r="M479" t="s">
        <v>152</v>
      </c>
      <c r="N479">
        <v>13</v>
      </c>
      <c r="O479" t="s">
        <v>155</v>
      </c>
      <c r="P479" t="s">
        <v>164</v>
      </c>
      <c r="Q479">
        <f>INDEX('Lister og genveje'!$E$39:$I$46,MATCH(M479,'Lister og genveje'!$D$39:$D$46,0),MATCH(P479,'Lister og genveje'!$E$38:$I$38,0),1)</f>
        <v>4.5</v>
      </c>
      <c r="R479" s="27">
        <f t="shared" si="14"/>
        <v>5</v>
      </c>
      <c r="S479" s="27">
        <f t="shared" si="15"/>
        <v>10</v>
      </c>
      <c r="T479" s="31">
        <f>VLOOKUP(M479,'Lister og genveje'!$D$39:$J$46,7,0)</f>
        <v>0.75</v>
      </c>
    </row>
    <row r="480" spans="12:20" ht="16" thickBot="1">
      <c r="L480" s="30" t="str">
        <f t="shared" si="13"/>
        <v>EN60898</v>
      </c>
      <c r="M480" t="s">
        <v>152</v>
      </c>
      <c r="N480">
        <v>16</v>
      </c>
      <c r="O480" t="s">
        <v>155</v>
      </c>
      <c r="P480" t="s">
        <v>164</v>
      </c>
      <c r="Q480">
        <f>INDEX('Lister og genveje'!$E$39:$I$46,MATCH(M480,'Lister og genveje'!$D$39:$D$46,0),MATCH(P480,'Lister og genveje'!$E$38:$I$38,0),1)</f>
        <v>4.5</v>
      </c>
      <c r="R480" s="27">
        <f t="shared" si="14"/>
        <v>5</v>
      </c>
      <c r="S480" s="27">
        <f t="shared" si="15"/>
        <v>10</v>
      </c>
      <c r="T480" s="31">
        <f>VLOOKUP(M480,'Lister og genveje'!$D$39:$J$46,7,0)</f>
        <v>0.75</v>
      </c>
    </row>
    <row r="481" spans="12:20" ht="16" thickBot="1">
      <c r="L481" s="30" t="str">
        <f t="shared" si="13"/>
        <v>EN60898</v>
      </c>
      <c r="M481" t="s">
        <v>152</v>
      </c>
      <c r="N481">
        <v>20</v>
      </c>
      <c r="O481" t="s">
        <v>155</v>
      </c>
      <c r="P481" t="s">
        <v>164</v>
      </c>
      <c r="Q481">
        <f>INDEX('Lister og genveje'!$E$39:$I$46,MATCH(M481,'Lister og genveje'!$D$39:$D$46,0),MATCH(P481,'Lister og genveje'!$E$38:$I$38,0),1)</f>
        <v>4.5</v>
      </c>
      <c r="R481" s="27">
        <f t="shared" si="14"/>
        <v>5</v>
      </c>
      <c r="S481" s="27">
        <f t="shared" si="15"/>
        <v>10</v>
      </c>
      <c r="T481" s="31">
        <f>VLOOKUP(M481,'Lister og genveje'!$D$39:$J$46,7,0)</f>
        <v>0.75</v>
      </c>
    </row>
    <row r="482" spans="12:20" ht="16" thickBot="1">
      <c r="L482" s="30" t="str">
        <f t="shared" si="13"/>
        <v>EN60898</v>
      </c>
      <c r="M482" t="s">
        <v>152</v>
      </c>
      <c r="N482">
        <v>25</v>
      </c>
      <c r="O482" t="s">
        <v>155</v>
      </c>
      <c r="P482" t="s">
        <v>164</v>
      </c>
      <c r="Q482">
        <f>INDEX('Lister og genveje'!$E$39:$I$46,MATCH(M482,'Lister og genveje'!$D$39:$D$46,0),MATCH(P482,'Lister og genveje'!$E$38:$I$38,0),1)</f>
        <v>4.5</v>
      </c>
      <c r="R482" s="27">
        <f t="shared" si="14"/>
        <v>5</v>
      </c>
      <c r="S482" s="27">
        <f t="shared" si="15"/>
        <v>10</v>
      </c>
      <c r="T482" s="31">
        <f>VLOOKUP(M482,'Lister og genveje'!$D$39:$J$46,7,0)</f>
        <v>0.75</v>
      </c>
    </row>
    <row r="483" spans="12:20" ht="16" thickBot="1">
      <c r="L483" s="30" t="str">
        <f t="shared" si="13"/>
        <v>EN60898</v>
      </c>
      <c r="M483" t="s">
        <v>152</v>
      </c>
      <c r="N483">
        <v>32</v>
      </c>
      <c r="O483" t="s">
        <v>155</v>
      </c>
      <c r="P483" t="s">
        <v>164</v>
      </c>
      <c r="Q483">
        <f>INDEX('Lister og genveje'!$E$39:$I$46,MATCH(M483,'Lister og genveje'!$D$39:$D$46,0),MATCH(P483,'Lister og genveje'!$E$38:$I$38,0),1)</f>
        <v>4.5</v>
      </c>
      <c r="R483" s="27">
        <f t="shared" si="14"/>
        <v>5</v>
      </c>
      <c r="S483" s="27">
        <f t="shared" si="15"/>
        <v>10</v>
      </c>
      <c r="T483" s="31">
        <f>VLOOKUP(M483,'Lister og genveje'!$D$39:$J$46,7,0)</f>
        <v>0.75</v>
      </c>
    </row>
    <row r="484" spans="12:20" ht="16" thickBot="1">
      <c r="L484" s="30" t="str">
        <f t="shared" si="13"/>
        <v>EN60898</v>
      </c>
      <c r="M484" t="s">
        <v>152</v>
      </c>
      <c r="N484">
        <v>40</v>
      </c>
      <c r="O484" t="s">
        <v>155</v>
      </c>
      <c r="P484" t="s">
        <v>164</v>
      </c>
      <c r="Q484">
        <f>INDEX('Lister og genveje'!$E$39:$I$46,MATCH(M484,'Lister og genveje'!$D$39:$D$46,0),MATCH(P484,'Lister og genveje'!$E$38:$I$38,0),1)</f>
        <v>4.5</v>
      </c>
      <c r="R484" s="27">
        <f t="shared" si="14"/>
        <v>5</v>
      </c>
      <c r="S484" s="27">
        <f t="shared" si="15"/>
        <v>10</v>
      </c>
      <c r="T484" s="31">
        <f>VLOOKUP(M484,'Lister og genveje'!$D$39:$J$46,7,0)</f>
        <v>0.75</v>
      </c>
    </row>
    <row r="485" spans="12:20" ht="16" thickBot="1">
      <c r="L485" s="30" t="str">
        <f t="shared" si="13"/>
        <v>EN60898</v>
      </c>
      <c r="M485" t="s">
        <v>152</v>
      </c>
      <c r="N485">
        <v>50</v>
      </c>
      <c r="O485" t="s">
        <v>155</v>
      </c>
      <c r="P485" t="s">
        <v>164</v>
      </c>
      <c r="Q485">
        <f>INDEX('Lister og genveje'!$E$39:$I$46,MATCH(M485,'Lister og genveje'!$D$39:$D$46,0),MATCH(P485,'Lister og genveje'!$E$38:$I$38,0),1)</f>
        <v>4.5</v>
      </c>
      <c r="R485" s="27">
        <f t="shared" si="14"/>
        <v>5</v>
      </c>
      <c r="S485" s="27">
        <f t="shared" si="15"/>
        <v>10</v>
      </c>
      <c r="T485" s="31">
        <f>VLOOKUP(M485,'Lister og genveje'!$D$39:$J$46,7,0)</f>
        <v>0.75</v>
      </c>
    </row>
    <row r="486" spans="12:20" ht="16" thickBot="1">
      <c r="L486" s="30" t="str">
        <f t="shared" si="13"/>
        <v>EN60898</v>
      </c>
      <c r="M486" t="s">
        <v>152</v>
      </c>
      <c r="N486">
        <v>63</v>
      </c>
      <c r="O486" t="s">
        <v>155</v>
      </c>
      <c r="P486" t="s">
        <v>164</v>
      </c>
      <c r="Q486">
        <f>INDEX('Lister og genveje'!$E$39:$I$46,MATCH(M486,'Lister og genveje'!$D$39:$D$46,0),MATCH(P486,'Lister og genveje'!$E$38:$I$38,0),1)</f>
        <v>4.5</v>
      </c>
      <c r="R486" s="27">
        <f t="shared" si="14"/>
        <v>5</v>
      </c>
      <c r="S486" s="27">
        <f t="shared" si="15"/>
        <v>10</v>
      </c>
      <c r="T486" s="31">
        <f>VLOOKUP(M486,'Lister og genveje'!$D$39:$J$46,7,0)</f>
        <v>0.75</v>
      </c>
    </row>
    <row r="487" spans="12:20" ht="16" thickBot="1">
      <c r="L487" s="30" t="str">
        <f t="shared" si="13"/>
        <v>EN60898</v>
      </c>
      <c r="M487" t="s">
        <v>152</v>
      </c>
      <c r="N487">
        <v>80</v>
      </c>
      <c r="O487" t="s">
        <v>155</v>
      </c>
      <c r="P487" t="s">
        <v>164</v>
      </c>
      <c r="Q487">
        <f>INDEX('Lister og genveje'!$E$39:$I$46,MATCH(M487,'Lister og genveje'!$D$39:$D$46,0),MATCH(P487,'Lister og genveje'!$E$38:$I$38,0),1)</f>
        <v>4.5</v>
      </c>
      <c r="R487" s="27">
        <f t="shared" si="14"/>
        <v>5</v>
      </c>
      <c r="S487" s="27">
        <f t="shared" si="15"/>
        <v>10</v>
      </c>
      <c r="T487" s="31">
        <f>VLOOKUP(M487,'Lister og genveje'!$D$39:$J$46,7,0)</f>
        <v>0.75</v>
      </c>
    </row>
    <row r="488" spans="12:20" ht="16" thickBot="1">
      <c r="L488" s="30" t="str">
        <f t="shared" si="13"/>
        <v>EN60898</v>
      </c>
      <c r="M488" t="s">
        <v>152</v>
      </c>
      <c r="N488">
        <v>100</v>
      </c>
      <c r="O488" t="s">
        <v>155</v>
      </c>
      <c r="P488" t="s">
        <v>164</v>
      </c>
      <c r="Q488">
        <f>INDEX('Lister og genveje'!$E$39:$I$46,MATCH(M488,'Lister og genveje'!$D$39:$D$46,0),MATCH(P488,'Lister og genveje'!$E$38:$I$38,0),1)</f>
        <v>4.5</v>
      </c>
      <c r="R488" s="27">
        <f t="shared" si="14"/>
        <v>5</v>
      </c>
      <c r="S488" s="27">
        <f t="shared" si="15"/>
        <v>10</v>
      </c>
      <c r="T488" s="31">
        <f>VLOOKUP(M488,'Lister og genveje'!$D$39:$J$46,7,0)</f>
        <v>0.75</v>
      </c>
    </row>
    <row r="489" spans="12:20" ht="16" thickBot="1">
      <c r="L489" s="30" t="str">
        <f t="shared" si="13"/>
        <v>EN60898</v>
      </c>
      <c r="M489" t="s">
        <v>152</v>
      </c>
      <c r="N489">
        <v>125</v>
      </c>
      <c r="O489" t="s">
        <v>155</v>
      </c>
      <c r="P489" t="s">
        <v>164</v>
      </c>
      <c r="Q489">
        <f>INDEX('Lister og genveje'!$E$39:$I$46,MATCH(M489,'Lister og genveje'!$D$39:$D$46,0),MATCH(P489,'Lister og genveje'!$E$38:$I$38,0),1)</f>
        <v>4.5</v>
      </c>
      <c r="R489" s="27">
        <f t="shared" si="14"/>
        <v>5</v>
      </c>
      <c r="S489" s="27">
        <f t="shared" si="15"/>
        <v>10</v>
      </c>
      <c r="T489" s="31">
        <f>VLOOKUP(M489,'Lister og genveje'!$D$39:$J$46,7,0)</f>
        <v>0.75</v>
      </c>
    </row>
    <row r="490" spans="12:20" ht="16" thickBot="1">
      <c r="L490" s="30" t="str">
        <f t="shared" si="13"/>
        <v>EN60898</v>
      </c>
      <c r="M490" t="s">
        <v>152</v>
      </c>
      <c r="N490">
        <v>10</v>
      </c>
      <c r="O490" t="s">
        <v>155</v>
      </c>
      <c r="P490" t="s">
        <v>166</v>
      </c>
      <c r="Q490">
        <f>INDEX('Lister og genveje'!$E$39:$I$46,MATCH(M490,'Lister og genveje'!$D$39:$D$46,0),MATCH(P490,'Lister og genveje'!$E$38:$I$38,0),1)</f>
        <v>25</v>
      </c>
      <c r="R490" s="27">
        <f t="shared" si="14"/>
        <v>5</v>
      </c>
      <c r="S490" s="27">
        <f t="shared" si="15"/>
        <v>10</v>
      </c>
      <c r="T490" s="31">
        <f>VLOOKUP(M490,'Lister og genveje'!$D$39:$J$46,7,0)</f>
        <v>0.75</v>
      </c>
    </row>
    <row r="491" spans="12:20" ht="16" thickBot="1">
      <c r="L491" s="30" t="str">
        <f t="shared" si="13"/>
        <v>EN60898</v>
      </c>
      <c r="M491" t="s">
        <v>152</v>
      </c>
      <c r="N491">
        <v>13</v>
      </c>
      <c r="O491" t="s">
        <v>155</v>
      </c>
      <c r="P491" t="s">
        <v>166</v>
      </c>
      <c r="Q491">
        <f>INDEX('Lister og genveje'!$E$39:$I$46,MATCH(M491,'Lister og genveje'!$D$39:$D$46,0),MATCH(P491,'Lister og genveje'!$E$38:$I$38,0),1)</f>
        <v>25</v>
      </c>
      <c r="R491" s="27">
        <f t="shared" si="14"/>
        <v>5</v>
      </c>
      <c r="S491" s="27">
        <f t="shared" si="15"/>
        <v>10</v>
      </c>
      <c r="T491" s="31">
        <f>VLOOKUP(M491,'Lister og genveje'!$D$39:$J$46,7,0)</f>
        <v>0.75</v>
      </c>
    </row>
    <row r="492" spans="12:20" ht="16" thickBot="1">
      <c r="L492" s="30" t="str">
        <f t="shared" si="13"/>
        <v>EN60898</v>
      </c>
      <c r="M492" t="s">
        <v>152</v>
      </c>
      <c r="N492">
        <v>16</v>
      </c>
      <c r="O492" t="s">
        <v>155</v>
      </c>
      <c r="P492" t="s">
        <v>166</v>
      </c>
      <c r="Q492">
        <f>INDEX('Lister og genveje'!$E$39:$I$46,MATCH(M492,'Lister og genveje'!$D$39:$D$46,0),MATCH(P492,'Lister og genveje'!$E$38:$I$38,0),1)</f>
        <v>25</v>
      </c>
      <c r="R492" s="27">
        <f t="shared" si="14"/>
        <v>5</v>
      </c>
      <c r="S492" s="27">
        <f t="shared" si="15"/>
        <v>10</v>
      </c>
      <c r="T492" s="31">
        <f>VLOOKUP(M492,'Lister og genveje'!$D$39:$J$46,7,0)</f>
        <v>0.75</v>
      </c>
    </row>
    <row r="493" spans="12:20" ht="16" thickBot="1">
      <c r="L493" s="30" t="str">
        <f t="shared" si="13"/>
        <v>EN60898</v>
      </c>
      <c r="M493" t="s">
        <v>152</v>
      </c>
      <c r="N493">
        <v>20</v>
      </c>
      <c r="O493" t="s">
        <v>155</v>
      </c>
      <c r="P493" t="s">
        <v>166</v>
      </c>
      <c r="Q493">
        <f>INDEX('Lister og genveje'!$E$39:$I$46,MATCH(M493,'Lister og genveje'!$D$39:$D$46,0),MATCH(P493,'Lister og genveje'!$E$38:$I$38,0),1)</f>
        <v>25</v>
      </c>
      <c r="R493" s="27">
        <f t="shared" si="14"/>
        <v>5</v>
      </c>
      <c r="S493" s="27">
        <f t="shared" si="15"/>
        <v>10</v>
      </c>
      <c r="T493" s="31">
        <f>VLOOKUP(M493,'Lister og genveje'!$D$39:$J$46,7,0)</f>
        <v>0.75</v>
      </c>
    </row>
    <row r="494" spans="12:20" ht="16" thickBot="1">
      <c r="L494" s="30" t="str">
        <f t="shared" si="13"/>
        <v>EN60898</v>
      </c>
      <c r="M494" t="s">
        <v>152</v>
      </c>
      <c r="N494">
        <v>25</v>
      </c>
      <c r="O494" t="s">
        <v>155</v>
      </c>
      <c r="P494" t="s">
        <v>166</v>
      </c>
      <c r="Q494">
        <f>INDEX('Lister og genveje'!$E$39:$I$46,MATCH(M494,'Lister og genveje'!$D$39:$D$46,0),MATCH(P494,'Lister og genveje'!$E$38:$I$38,0),1)</f>
        <v>25</v>
      </c>
      <c r="R494" s="27">
        <f t="shared" si="14"/>
        <v>5</v>
      </c>
      <c r="S494" s="27">
        <f t="shared" si="15"/>
        <v>10</v>
      </c>
      <c r="T494" s="31">
        <f>VLOOKUP(M494,'Lister og genveje'!$D$39:$J$46,7,0)</f>
        <v>0.75</v>
      </c>
    </row>
    <row r="495" spans="12:20" ht="16" thickBot="1">
      <c r="L495" s="30" t="str">
        <f t="shared" si="13"/>
        <v>EN60898</v>
      </c>
      <c r="M495" t="s">
        <v>152</v>
      </c>
      <c r="N495">
        <v>32</v>
      </c>
      <c r="O495" t="s">
        <v>155</v>
      </c>
      <c r="P495" t="s">
        <v>166</v>
      </c>
      <c r="Q495">
        <f>INDEX('Lister og genveje'!$E$39:$I$46,MATCH(M495,'Lister og genveje'!$D$39:$D$46,0),MATCH(P495,'Lister og genveje'!$E$38:$I$38,0),1)</f>
        <v>25</v>
      </c>
      <c r="R495" s="27">
        <f t="shared" si="14"/>
        <v>5</v>
      </c>
      <c r="S495" s="27">
        <f t="shared" si="15"/>
        <v>10</v>
      </c>
      <c r="T495" s="31">
        <f>VLOOKUP(M495,'Lister og genveje'!$D$39:$J$46,7,0)</f>
        <v>0.75</v>
      </c>
    </row>
    <row r="496" spans="12:20" ht="16" thickBot="1">
      <c r="L496" s="30" t="str">
        <f t="shared" si="13"/>
        <v>EN60898</v>
      </c>
      <c r="M496" t="s">
        <v>152</v>
      </c>
      <c r="N496">
        <v>40</v>
      </c>
      <c r="O496" t="s">
        <v>155</v>
      </c>
      <c r="P496" t="s">
        <v>166</v>
      </c>
      <c r="Q496">
        <f>INDEX('Lister og genveje'!$E$39:$I$46,MATCH(M496,'Lister og genveje'!$D$39:$D$46,0),MATCH(P496,'Lister og genveje'!$E$38:$I$38,0),1)</f>
        <v>25</v>
      </c>
      <c r="R496" s="27">
        <f t="shared" si="14"/>
        <v>5</v>
      </c>
      <c r="S496" s="27">
        <f t="shared" si="15"/>
        <v>10</v>
      </c>
      <c r="T496" s="31">
        <f>VLOOKUP(M496,'Lister og genveje'!$D$39:$J$46,7,0)</f>
        <v>0.75</v>
      </c>
    </row>
    <row r="497" spans="12:20" ht="16" thickBot="1">
      <c r="L497" s="30" t="str">
        <f t="shared" si="13"/>
        <v>EN60898</v>
      </c>
      <c r="M497" t="s">
        <v>152</v>
      </c>
      <c r="N497">
        <v>50</v>
      </c>
      <c r="O497" t="s">
        <v>155</v>
      </c>
      <c r="P497" t="s">
        <v>166</v>
      </c>
      <c r="Q497">
        <f>INDEX('Lister og genveje'!$E$39:$I$46,MATCH(M497,'Lister og genveje'!$D$39:$D$46,0),MATCH(P497,'Lister og genveje'!$E$38:$I$38,0),1)</f>
        <v>25</v>
      </c>
      <c r="R497" s="27">
        <f t="shared" si="14"/>
        <v>5</v>
      </c>
      <c r="S497" s="27">
        <f t="shared" si="15"/>
        <v>10</v>
      </c>
      <c r="T497" s="31">
        <f>VLOOKUP(M497,'Lister og genveje'!$D$39:$J$46,7,0)</f>
        <v>0.75</v>
      </c>
    </row>
    <row r="498" spans="12:20" ht="16" thickBot="1">
      <c r="L498" s="30" t="str">
        <f t="shared" si="13"/>
        <v>EN60898</v>
      </c>
      <c r="M498" t="s">
        <v>152</v>
      </c>
      <c r="N498">
        <v>63</v>
      </c>
      <c r="O498" t="s">
        <v>155</v>
      </c>
      <c r="P498" t="s">
        <v>166</v>
      </c>
      <c r="Q498">
        <f>INDEX('Lister og genveje'!$E$39:$I$46,MATCH(M498,'Lister og genveje'!$D$39:$D$46,0),MATCH(P498,'Lister og genveje'!$E$38:$I$38,0),1)</f>
        <v>25</v>
      </c>
      <c r="R498" s="27">
        <f t="shared" si="14"/>
        <v>5</v>
      </c>
      <c r="S498" s="27">
        <f t="shared" si="15"/>
        <v>10</v>
      </c>
      <c r="T498" s="31">
        <f>VLOOKUP(M498,'Lister og genveje'!$D$39:$J$46,7,0)</f>
        <v>0.75</v>
      </c>
    </row>
    <row r="499" spans="12:20" ht="16" thickBot="1">
      <c r="L499" s="30" t="str">
        <f t="shared" si="13"/>
        <v>EN60898</v>
      </c>
      <c r="M499" t="s">
        <v>152</v>
      </c>
      <c r="N499">
        <v>80</v>
      </c>
      <c r="O499" t="s">
        <v>155</v>
      </c>
      <c r="P499" t="s">
        <v>166</v>
      </c>
      <c r="Q499">
        <f>INDEX('Lister og genveje'!$E$39:$I$46,MATCH(M499,'Lister og genveje'!$D$39:$D$46,0),MATCH(P499,'Lister og genveje'!$E$38:$I$38,0),1)</f>
        <v>25</v>
      </c>
      <c r="R499" s="27">
        <f t="shared" si="14"/>
        <v>5</v>
      </c>
      <c r="S499" s="27">
        <f t="shared" si="15"/>
        <v>10</v>
      </c>
      <c r="T499" s="31">
        <f>VLOOKUP(M499,'Lister og genveje'!$D$39:$J$46,7,0)</f>
        <v>0.75</v>
      </c>
    </row>
    <row r="500" spans="12:20" ht="16" thickBot="1">
      <c r="L500" s="30" t="str">
        <f t="shared" si="13"/>
        <v>EN60898</v>
      </c>
      <c r="M500" t="s">
        <v>152</v>
      </c>
      <c r="N500">
        <v>100</v>
      </c>
      <c r="O500" t="s">
        <v>155</v>
      </c>
      <c r="P500" t="s">
        <v>166</v>
      </c>
      <c r="Q500">
        <f>INDEX('Lister og genveje'!$E$39:$I$46,MATCH(M500,'Lister og genveje'!$D$39:$D$46,0),MATCH(P500,'Lister og genveje'!$E$38:$I$38,0),1)</f>
        <v>25</v>
      </c>
      <c r="R500" s="27">
        <f t="shared" si="14"/>
        <v>5</v>
      </c>
      <c r="S500" s="27">
        <f t="shared" si="15"/>
        <v>10</v>
      </c>
      <c r="T500" s="31">
        <f>VLOOKUP(M500,'Lister og genveje'!$D$39:$J$46,7,0)</f>
        <v>0.75</v>
      </c>
    </row>
    <row r="501" spans="12:20" ht="16" thickBot="1">
      <c r="L501" s="30" t="str">
        <f t="shared" si="13"/>
        <v>EN60898</v>
      </c>
      <c r="M501" t="s">
        <v>152</v>
      </c>
      <c r="N501">
        <v>125</v>
      </c>
      <c r="O501" t="s">
        <v>155</v>
      </c>
      <c r="P501" t="s">
        <v>166</v>
      </c>
      <c r="Q501">
        <f>INDEX('Lister og genveje'!$E$39:$I$46,MATCH(M501,'Lister og genveje'!$D$39:$D$46,0),MATCH(P501,'Lister og genveje'!$E$38:$I$38,0),1)</f>
        <v>25</v>
      </c>
      <c r="R501" s="27">
        <f t="shared" si="14"/>
        <v>5</v>
      </c>
      <c r="S501" s="27">
        <f t="shared" si="15"/>
        <v>10</v>
      </c>
      <c r="T501" s="31">
        <f>VLOOKUP(M501,'Lister og genveje'!$D$39:$J$46,7,0)</f>
        <v>0.75</v>
      </c>
    </row>
    <row r="502" spans="12:20" ht="16" thickBot="1">
      <c r="L502" s="30" t="str">
        <f t="shared" si="13"/>
        <v>EN60898</v>
      </c>
      <c r="M502" t="str">
        <f>'Lister og genveje'!$D$39</f>
        <v>C60N</v>
      </c>
      <c r="N502">
        <v>0.5</v>
      </c>
      <c r="O502" t="s">
        <v>165</v>
      </c>
      <c r="P502" t="str">
        <f>'Lister og genveje'!$F$38</f>
        <v>1 Pol</v>
      </c>
      <c r="Q502">
        <f>INDEX('Lister og genveje'!$E$39:$I$46,MATCH(M502,'Lister og genveje'!$D$39:$D$46,0),MATCH(P502,'Lister og genveje'!$E$38:$I$38,0),1)</f>
        <v>3</v>
      </c>
      <c r="R502" s="27">
        <f t="shared" si="14"/>
        <v>10</v>
      </c>
      <c r="S502" s="27">
        <f t="shared" si="15"/>
        <v>14</v>
      </c>
      <c r="T502" s="31">
        <f>VLOOKUP(M502,'Lister og genveje'!$D$39:$J$46,7,0)</f>
        <v>0.75</v>
      </c>
    </row>
    <row r="503" spans="12:20" ht="16" thickBot="1">
      <c r="L503" s="30" t="str">
        <f t="shared" si="13"/>
        <v>EN60898</v>
      </c>
      <c r="M503" t="str">
        <f>'Lister og genveje'!$D$39</f>
        <v>C60N</v>
      </c>
      <c r="N503">
        <v>1</v>
      </c>
      <c r="O503" t="s">
        <v>165</v>
      </c>
      <c r="P503" t="str">
        <f>'Lister og genveje'!$F$38</f>
        <v>1 Pol</v>
      </c>
      <c r="Q503">
        <f>INDEX('Lister og genveje'!$E$39:$I$46,MATCH(M503,'Lister og genveje'!$D$39:$D$46,0),MATCH(P503,'Lister og genveje'!$E$38:$I$38,0),1)</f>
        <v>3</v>
      </c>
      <c r="R503" s="27">
        <f t="shared" si="14"/>
        <v>10</v>
      </c>
      <c r="S503" s="27">
        <f t="shared" si="15"/>
        <v>14</v>
      </c>
      <c r="T503" s="31">
        <f>VLOOKUP(M503,'Lister og genveje'!$D$39:$J$46,7,0)</f>
        <v>0.75</v>
      </c>
    </row>
    <row r="504" spans="12:20" ht="16" thickBot="1">
      <c r="L504" s="30" t="str">
        <f t="shared" ref="L504:L567" si="16">$E$54</f>
        <v>EN60898</v>
      </c>
      <c r="M504" t="str">
        <f>'Lister og genveje'!$D$39</f>
        <v>C60N</v>
      </c>
      <c r="N504">
        <v>2</v>
      </c>
      <c r="O504" t="s">
        <v>165</v>
      </c>
      <c r="P504" t="str">
        <f>'Lister og genveje'!$F$38</f>
        <v>1 Pol</v>
      </c>
      <c r="Q504">
        <f>INDEX('Lister og genveje'!$E$39:$I$46,MATCH(M504,'Lister og genveje'!$D$39:$D$46,0),MATCH(P504,'Lister og genveje'!$E$38:$I$38,0),1)</f>
        <v>3</v>
      </c>
      <c r="R504" s="27">
        <f t="shared" ref="R504:R567" si="17">VLOOKUP(O504,$F$54:$H$56,2,FALSE)</f>
        <v>10</v>
      </c>
      <c r="S504" s="27">
        <f t="shared" ref="S504:S567" si="18">VLOOKUP(O504,$F$54:$H$56,3,FALSE)</f>
        <v>14</v>
      </c>
      <c r="T504" s="31">
        <f>VLOOKUP(M504,'Lister og genveje'!$D$39:$J$46,7,0)</f>
        <v>0.75</v>
      </c>
    </row>
    <row r="505" spans="12:20" ht="16" thickBot="1">
      <c r="L505" s="30" t="str">
        <f t="shared" si="16"/>
        <v>EN60898</v>
      </c>
      <c r="M505" t="str">
        <f>'Lister og genveje'!$D$39</f>
        <v>C60N</v>
      </c>
      <c r="N505">
        <v>3</v>
      </c>
      <c r="O505" t="s">
        <v>165</v>
      </c>
      <c r="P505" t="str">
        <f>'Lister og genveje'!$F$38</f>
        <v>1 Pol</v>
      </c>
      <c r="Q505">
        <f>INDEX('Lister og genveje'!$E$39:$I$46,MATCH(M505,'Lister og genveje'!$D$39:$D$46,0),MATCH(P505,'Lister og genveje'!$E$38:$I$38,0),1)</f>
        <v>3</v>
      </c>
      <c r="R505" s="27">
        <f t="shared" si="17"/>
        <v>10</v>
      </c>
      <c r="S505" s="27">
        <f t="shared" si="18"/>
        <v>14</v>
      </c>
      <c r="T505" s="31">
        <f>VLOOKUP(M505,'Lister og genveje'!$D$39:$J$46,7,0)</f>
        <v>0.75</v>
      </c>
    </row>
    <row r="506" spans="12:20" ht="16" thickBot="1">
      <c r="L506" s="30" t="str">
        <f t="shared" si="16"/>
        <v>EN60898</v>
      </c>
      <c r="M506" t="str">
        <f>'Lister og genveje'!$D$39</f>
        <v>C60N</v>
      </c>
      <c r="N506">
        <v>4</v>
      </c>
      <c r="O506" t="s">
        <v>165</v>
      </c>
      <c r="P506" t="str">
        <f>'Lister og genveje'!$F$38</f>
        <v>1 Pol</v>
      </c>
      <c r="Q506">
        <f>INDEX('Lister og genveje'!$E$39:$I$46,MATCH(M506,'Lister og genveje'!$D$39:$D$46,0),MATCH(P506,'Lister og genveje'!$E$38:$I$38,0),1)</f>
        <v>3</v>
      </c>
      <c r="R506" s="27">
        <f t="shared" si="17"/>
        <v>10</v>
      </c>
      <c r="S506" s="27">
        <f t="shared" si="18"/>
        <v>14</v>
      </c>
      <c r="T506" s="31">
        <f>VLOOKUP(M506,'Lister og genveje'!$D$39:$J$46,7,0)</f>
        <v>0.75</v>
      </c>
    </row>
    <row r="507" spans="12:20" ht="16" thickBot="1">
      <c r="L507" s="30" t="str">
        <f t="shared" si="16"/>
        <v>EN60898</v>
      </c>
      <c r="M507" t="str">
        <f>'Lister og genveje'!$D$39</f>
        <v>C60N</v>
      </c>
      <c r="N507">
        <v>6</v>
      </c>
      <c r="O507" t="s">
        <v>165</v>
      </c>
      <c r="P507" t="str">
        <f>'Lister og genveje'!$F$38</f>
        <v>1 Pol</v>
      </c>
      <c r="Q507">
        <f>INDEX('Lister og genveje'!$E$39:$I$46,MATCH(M507,'Lister og genveje'!$D$39:$D$46,0),MATCH(P507,'Lister og genveje'!$E$38:$I$38,0),1)</f>
        <v>3</v>
      </c>
      <c r="R507" s="27">
        <f t="shared" si="17"/>
        <v>10</v>
      </c>
      <c r="S507" s="27">
        <f t="shared" si="18"/>
        <v>14</v>
      </c>
      <c r="T507" s="31">
        <f>VLOOKUP(M507,'Lister og genveje'!$D$39:$J$46,7,0)</f>
        <v>0.75</v>
      </c>
    </row>
    <row r="508" spans="12:20" ht="16" thickBot="1">
      <c r="L508" s="30" t="str">
        <f t="shared" si="16"/>
        <v>EN60898</v>
      </c>
      <c r="M508" t="str">
        <f>'Lister og genveje'!$D$39</f>
        <v>C60N</v>
      </c>
      <c r="N508">
        <v>10</v>
      </c>
      <c r="O508" t="s">
        <v>165</v>
      </c>
      <c r="P508" t="str">
        <f>'Lister og genveje'!$F$38</f>
        <v>1 Pol</v>
      </c>
      <c r="Q508">
        <f>INDEX('Lister og genveje'!$E$39:$I$46,MATCH(M508,'Lister og genveje'!$D$39:$D$46,0),MATCH(P508,'Lister og genveje'!$E$38:$I$38,0),1)</f>
        <v>3</v>
      </c>
      <c r="R508" s="27">
        <f t="shared" si="17"/>
        <v>10</v>
      </c>
      <c r="S508" s="27">
        <f t="shared" si="18"/>
        <v>14</v>
      </c>
      <c r="T508" s="31">
        <f>VLOOKUP(M508,'Lister og genveje'!$D$39:$J$46,7,0)</f>
        <v>0.75</v>
      </c>
    </row>
    <row r="509" spans="12:20" ht="16" thickBot="1">
      <c r="L509" s="30" t="str">
        <f t="shared" si="16"/>
        <v>EN60898</v>
      </c>
      <c r="M509" t="str">
        <f>'Lister og genveje'!$D$39</f>
        <v>C60N</v>
      </c>
      <c r="N509">
        <v>13</v>
      </c>
      <c r="O509" t="s">
        <v>165</v>
      </c>
      <c r="P509" t="str">
        <f>'Lister og genveje'!$F$38</f>
        <v>1 Pol</v>
      </c>
      <c r="Q509">
        <f>INDEX('Lister og genveje'!$E$39:$I$46,MATCH(M509,'Lister og genveje'!$D$39:$D$46,0),MATCH(P509,'Lister og genveje'!$E$38:$I$38,0),1)</f>
        <v>3</v>
      </c>
      <c r="R509" s="27">
        <f t="shared" si="17"/>
        <v>10</v>
      </c>
      <c r="S509" s="27">
        <f t="shared" si="18"/>
        <v>14</v>
      </c>
      <c r="T509" s="31">
        <f>VLOOKUP(M509,'Lister og genveje'!$D$39:$J$46,7,0)</f>
        <v>0.75</v>
      </c>
    </row>
    <row r="510" spans="12:20" ht="16" thickBot="1">
      <c r="L510" s="30" t="str">
        <f t="shared" si="16"/>
        <v>EN60898</v>
      </c>
      <c r="M510" t="str">
        <f>'Lister og genveje'!$D$39</f>
        <v>C60N</v>
      </c>
      <c r="N510">
        <v>16</v>
      </c>
      <c r="O510" t="s">
        <v>165</v>
      </c>
      <c r="P510" t="str">
        <f>'Lister og genveje'!$F$38</f>
        <v>1 Pol</v>
      </c>
      <c r="Q510">
        <f>INDEX('Lister og genveje'!$E$39:$I$46,MATCH(M510,'Lister og genveje'!$D$39:$D$46,0),MATCH(P510,'Lister og genveje'!$E$38:$I$38,0),1)</f>
        <v>3</v>
      </c>
      <c r="R510" s="27">
        <f t="shared" si="17"/>
        <v>10</v>
      </c>
      <c r="S510" s="27">
        <f t="shared" si="18"/>
        <v>14</v>
      </c>
      <c r="T510" s="31">
        <f>VLOOKUP(M510,'Lister og genveje'!$D$39:$J$46,7,0)</f>
        <v>0.75</v>
      </c>
    </row>
    <row r="511" spans="12:20" ht="16" thickBot="1">
      <c r="L511" s="30" t="str">
        <f t="shared" si="16"/>
        <v>EN60898</v>
      </c>
      <c r="M511" t="str">
        <f>'Lister og genveje'!$D$39</f>
        <v>C60N</v>
      </c>
      <c r="N511">
        <v>20</v>
      </c>
      <c r="O511" t="s">
        <v>165</v>
      </c>
      <c r="P511" t="str">
        <f>'Lister og genveje'!$F$38</f>
        <v>1 Pol</v>
      </c>
      <c r="Q511">
        <f>INDEX('Lister og genveje'!$E$39:$I$46,MATCH(M511,'Lister og genveje'!$D$39:$D$46,0),MATCH(P511,'Lister og genveje'!$E$38:$I$38,0),1)</f>
        <v>3</v>
      </c>
      <c r="R511" s="27">
        <f t="shared" si="17"/>
        <v>10</v>
      </c>
      <c r="S511" s="27">
        <f t="shared" si="18"/>
        <v>14</v>
      </c>
      <c r="T511" s="31">
        <f>VLOOKUP(M511,'Lister og genveje'!$D$39:$J$46,7,0)</f>
        <v>0.75</v>
      </c>
    </row>
    <row r="512" spans="12:20" ht="16" thickBot="1">
      <c r="L512" s="30" t="str">
        <f t="shared" si="16"/>
        <v>EN60898</v>
      </c>
      <c r="M512" t="str">
        <f>'Lister og genveje'!$D$39</f>
        <v>C60N</v>
      </c>
      <c r="N512">
        <v>25</v>
      </c>
      <c r="O512" t="s">
        <v>165</v>
      </c>
      <c r="P512" t="str">
        <f>'Lister og genveje'!$F$38</f>
        <v>1 Pol</v>
      </c>
      <c r="Q512">
        <f>INDEX('Lister og genveje'!$E$39:$I$46,MATCH(M512,'Lister og genveje'!$D$39:$D$46,0),MATCH(P512,'Lister og genveje'!$E$38:$I$38,0),1)</f>
        <v>3</v>
      </c>
      <c r="R512" s="27">
        <f t="shared" si="17"/>
        <v>10</v>
      </c>
      <c r="S512" s="27">
        <f t="shared" si="18"/>
        <v>14</v>
      </c>
      <c r="T512" s="31">
        <f>VLOOKUP(M512,'Lister og genveje'!$D$39:$J$46,7,0)</f>
        <v>0.75</v>
      </c>
    </row>
    <row r="513" spans="12:20" ht="16" thickBot="1">
      <c r="L513" s="30" t="str">
        <f t="shared" si="16"/>
        <v>EN60898</v>
      </c>
      <c r="M513" t="str">
        <f>'Lister og genveje'!$D$39</f>
        <v>C60N</v>
      </c>
      <c r="N513">
        <v>32</v>
      </c>
      <c r="O513" t="s">
        <v>165</v>
      </c>
      <c r="P513" t="str">
        <f>'Lister og genveje'!$F$38</f>
        <v>1 Pol</v>
      </c>
      <c r="Q513">
        <f>INDEX('Lister og genveje'!$E$39:$I$46,MATCH(M513,'Lister og genveje'!$D$39:$D$46,0),MATCH(P513,'Lister og genveje'!$E$38:$I$38,0),1)</f>
        <v>3</v>
      </c>
      <c r="R513" s="27">
        <f t="shared" si="17"/>
        <v>10</v>
      </c>
      <c r="S513" s="27">
        <f t="shared" si="18"/>
        <v>14</v>
      </c>
      <c r="T513" s="31">
        <f>VLOOKUP(M513,'Lister og genveje'!$D$39:$J$46,7,0)</f>
        <v>0.75</v>
      </c>
    </row>
    <row r="514" spans="12:20" ht="16" thickBot="1">
      <c r="L514" s="30" t="str">
        <f t="shared" si="16"/>
        <v>EN60898</v>
      </c>
      <c r="M514" t="str">
        <f>'Lister og genveje'!$D$39</f>
        <v>C60N</v>
      </c>
      <c r="N514">
        <v>40</v>
      </c>
      <c r="O514" t="s">
        <v>165</v>
      </c>
      <c r="P514" t="str">
        <f>'Lister og genveje'!$F$38</f>
        <v>1 Pol</v>
      </c>
      <c r="Q514">
        <f>INDEX('Lister og genveje'!$E$39:$I$46,MATCH(M514,'Lister og genveje'!$D$39:$D$46,0),MATCH(P514,'Lister og genveje'!$E$38:$I$38,0),1)</f>
        <v>3</v>
      </c>
      <c r="R514" s="27">
        <f t="shared" si="17"/>
        <v>10</v>
      </c>
      <c r="S514" s="27">
        <f t="shared" si="18"/>
        <v>14</v>
      </c>
      <c r="T514" s="31">
        <f>VLOOKUP(M514,'Lister og genveje'!$D$39:$J$46,7,0)</f>
        <v>0.75</v>
      </c>
    </row>
    <row r="515" spans="12:20" ht="16" thickBot="1">
      <c r="L515" s="30" t="str">
        <f t="shared" si="16"/>
        <v>EN60898</v>
      </c>
      <c r="M515" t="str">
        <f>'Lister og genveje'!$D$39</f>
        <v>C60N</v>
      </c>
      <c r="N515">
        <v>50</v>
      </c>
      <c r="O515" t="s">
        <v>165</v>
      </c>
      <c r="P515" t="str">
        <f>'Lister og genveje'!$F$38</f>
        <v>1 Pol</v>
      </c>
      <c r="Q515">
        <f>INDEX('Lister og genveje'!$E$39:$I$46,MATCH(M515,'Lister og genveje'!$D$39:$D$46,0),MATCH(P515,'Lister og genveje'!$E$38:$I$38,0),1)</f>
        <v>3</v>
      </c>
      <c r="R515" s="27">
        <f t="shared" si="17"/>
        <v>10</v>
      </c>
      <c r="S515" s="27">
        <f t="shared" si="18"/>
        <v>14</v>
      </c>
      <c r="T515" s="31">
        <f>VLOOKUP(M515,'Lister og genveje'!$D$39:$J$46,7,0)</f>
        <v>0.75</v>
      </c>
    </row>
    <row r="516" spans="12:20" ht="16" thickBot="1">
      <c r="L516" s="30" t="str">
        <f t="shared" si="16"/>
        <v>EN60898</v>
      </c>
      <c r="M516" t="str">
        <f>'Lister og genveje'!$D$39</f>
        <v>C60N</v>
      </c>
      <c r="N516">
        <v>63</v>
      </c>
      <c r="O516" t="s">
        <v>165</v>
      </c>
      <c r="P516" t="str">
        <f>'Lister og genveje'!$F$38</f>
        <v>1 Pol</v>
      </c>
      <c r="Q516">
        <f>INDEX('Lister og genveje'!$E$39:$I$46,MATCH(M516,'Lister og genveje'!$D$39:$D$46,0),MATCH(P516,'Lister og genveje'!$E$38:$I$38,0),1)</f>
        <v>3</v>
      </c>
      <c r="R516" s="27">
        <f t="shared" si="17"/>
        <v>10</v>
      </c>
      <c r="S516" s="27">
        <f t="shared" si="18"/>
        <v>14</v>
      </c>
      <c r="T516" s="31">
        <f>VLOOKUP(M516,'Lister og genveje'!$D$39:$J$46,7,0)</f>
        <v>0.75</v>
      </c>
    </row>
    <row r="517" spans="12:20" ht="16" thickBot="1">
      <c r="L517" s="30" t="str">
        <f t="shared" si="16"/>
        <v>EN60898</v>
      </c>
      <c r="M517" t="str">
        <f>'Lister og genveje'!$D$39</f>
        <v>C60N</v>
      </c>
      <c r="N517">
        <v>1</v>
      </c>
      <c r="O517" t="s">
        <v>165</v>
      </c>
      <c r="P517" t="str">
        <f>'Lister og genveje'!$G$38</f>
        <v>Flere poler</v>
      </c>
      <c r="Q517">
        <f>INDEX('Lister og genveje'!$E$39:$I$46,MATCH(M517,'Lister og genveje'!$D$39:$D$46,0),MATCH(P517,'Lister og genveje'!$E$38:$I$38,0),1)</f>
        <v>10</v>
      </c>
      <c r="R517" s="27">
        <f t="shared" si="17"/>
        <v>10</v>
      </c>
      <c r="S517" s="27">
        <f t="shared" si="18"/>
        <v>14</v>
      </c>
      <c r="T517" s="31">
        <f>VLOOKUP(M517,'Lister og genveje'!$D$39:$J$46,7,0)</f>
        <v>0.75</v>
      </c>
    </row>
    <row r="518" spans="12:20" ht="16" thickBot="1">
      <c r="L518" s="30" t="str">
        <f t="shared" si="16"/>
        <v>EN60898</v>
      </c>
      <c r="M518" t="str">
        <f>'Lister og genveje'!$D$39</f>
        <v>C60N</v>
      </c>
      <c r="N518">
        <v>2</v>
      </c>
      <c r="O518" t="s">
        <v>165</v>
      </c>
      <c r="P518" t="str">
        <f>'Lister og genveje'!$G$38</f>
        <v>Flere poler</v>
      </c>
      <c r="Q518">
        <f>INDEX('Lister og genveje'!$E$39:$I$46,MATCH(M518,'Lister og genveje'!$D$39:$D$46,0),MATCH(P518,'Lister og genveje'!$E$38:$I$38,0),1)</f>
        <v>10</v>
      </c>
      <c r="R518" s="27">
        <f t="shared" si="17"/>
        <v>10</v>
      </c>
      <c r="S518" s="27">
        <f t="shared" si="18"/>
        <v>14</v>
      </c>
      <c r="T518" s="31">
        <f>VLOOKUP(M518,'Lister og genveje'!$D$39:$J$46,7,0)</f>
        <v>0.75</v>
      </c>
    </row>
    <row r="519" spans="12:20" ht="16" thickBot="1">
      <c r="L519" s="30" t="str">
        <f t="shared" si="16"/>
        <v>EN60898</v>
      </c>
      <c r="M519" t="str">
        <f>'Lister og genveje'!$D$39</f>
        <v>C60N</v>
      </c>
      <c r="N519">
        <v>3</v>
      </c>
      <c r="O519" t="s">
        <v>165</v>
      </c>
      <c r="P519" t="str">
        <f>'Lister og genveje'!$G$38</f>
        <v>Flere poler</v>
      </c>
      <c r="Q519">
        <f>INDEX('Lister og genveje'!$E$39:$I$46,MATCH(M519,'Lister og genveje'!$D$39:$D$46,0),MATCH(P519,'Lister og genveje'!$E$38:$I$38,0),1)</f>
        <v>10</v>
      </c>
      <c r="R519" s="27">
        <f t="shared" si="17"/>
        <v>10</v>
      </c>
      <c r="S519" s="27">
        <f t="shared" si="18"/>
        <v>14</v>
      </c>
      <c r="T519" s="31">
        <f>VLOOKUP(M519,'Lister og genveje'!$D$39:$J$46,7,0)</f>
        <v>0.75</v>
      </c>
    </row>
    <row r="520" spans="12:20" ht="16" thickBot="1">
      <c r="L520" s="30" t="str">
        <f t="shared" si="16"/>
        <v>EN60898</v>
      </c>
      <c r="M520" t="str">
        <f>'Lister og genveje'!$D$39</f>
        <v>C60N</v>
      </c>
      <c r="N520">
        <v>4</v>
      </c>
      <c r="O520" t="s">
        <v>165</v>
      </c>
      <c r="P520" t="str">
        <f>'Lister og genveje'!$G$38</f>
        <v>Flere poler</v>
      </c>
      <c r="Q520">
        <f>INDEX('Lister og genveje'!$E$39:$I$46,MATCH(M520,'Lister og genveje'!$D$39:$D$46,0),MATCH(P520,'Lister og genveje'!$E$38:$I$38,0),1)</f>
        <v>10</v>
      </c>
      <c r="R520" s="27">
        <f t="shared" si="17"/>
        <v>10</v>
      </c>
      <c r="S520" s="27">
        <f t="shared" si="18"/>
        <v>14</v>
      </c>
      <c r="T520" s="31">
        <f>VLOOKUP(M520,'Lister og genveje'!$D$39:$J$46,7,0)</f>
        <v>0.75</v>
      </c>
    </row>
    <row r="521" spans="12:20" ht="16" thickBot="1">
      <c r="L521" s="30" t="str">
        <f t="shared" si="16"/>
        <v>EN60898</v>
      </c>
      <c r="M521" t="str">
        <f>'Lister og genveje'!$D$39</f>
        <v>C60N</v>
      </c>
      <c r="N521">
        <v>6</v>
      </c>
      <c r="O521" t="s">
        <v>165</v>
      </c>
      <c r="P521" t="str">
        <f>'Lister og genveje'!$G$38</f>
        <v>Flere poler</v>
      </c>
      <c r="Q521">
        <f>INDEX('Lister og genveje'!$E$39:$I$46,MATCH(M521,'Lister og genveje'!$D$39:$D$46,0),MATCH(P521,'Lister og genveje'!$E$38:$I$38,0),1)</f>
        <v>10</v>
      </c>
      <c r="R521" s="27">
        <f t="shared" si="17"/>
        <v>10</v>
      </c>
      <c r="S521" s="27">
        <f t="shared" si="18"/>
        <v>14</v>
      </c>
      <c r="T521" s="31">
        <f>VLOOKUP(M521,'Lister og genveje'!$D$39:$J$46,7,0)</f>
        <v>0.75</v>
      </c>
    </row>
    <row r="522" spans="12:20" ht="16" thickBot="1">
      <c r="L522" s="30" t="str">
        <f t="shared" si="16"/>
        <v>EN60898</v>
      </c>
      <c r="M522" t="str">
        <f>'Lister og genveje'!$D$39</f>
        <v>C60N</v>
      </c>
      <c r="N522">
        <v>10</v>
      </c>
      <c r="O522" t="s">
        <v>165</v>
      </c>
      <c r="P522" t="str">
        <f>'Lister og genveje'!$G$38</f>
        <v>Flere poler</v>
      </c>
      <c r="Q522">
        <f>INDEX('Lister og genveje'!$E$39:$I$46,MATCH(M522,'Lister og genveje'!$D$39:$D$46,0),MATCH(P522,'Lister og genveje'!$E$38:$I$38,0),1)</f>
        <v>10</v>
      </c>
      <c r="R522" s="27">
        <f t="shared" si="17"/>
        <v>10</v>
      </c>
      <c r="S522" s="27">
        <f t="shared" si="18"/>
        <v>14</v>
      </c>
      <c r="T522" s="31">
        <f>VLOOKUP(M522,'Lister og genveje'!$D$39:$J$46,7,0)</f>
        <v>0.75</v>
      </c>
    </row>
    <row r="523" spans="12:20" ht="16" thickBot="1">
      <c r="L523" s="30" t="str">
        <f t="shared" si="16"/>
        <v>EN60898</v>
      </c>
      <c r="M523" t="str">
        <f>'Lister og genveje'!$D$39</f>
        <v>C60N</v>
      </c>
      <c r="N523">
        <v>13</v>
      </c>
      <c r="O523" t="s">
        <v>165</v>
      </c>
      <c r="P523" t="str">
        <f>'Lister og genveje'!$G$38</f>
        <v>Flere poler</v>
      </c>
      <c r="Q523">
        <f>INDEX('Lister og genveje'!$E$39:$I$46,MATCH(M523,'Lister og genveje'!$D$39:$D$46,0),MATCH(P523,'Lister og genveje'!$E$38:$I$38,0),1)</f>
        <v>10</v>
      </c>
      <c r="R523" s="27">
        <f t="shared" si="17"/>
        <v>10</v>
      </c>
      <c r="S523" s="27">
        <f t="shared" si="18"/>
        <v>14</v>
      </c>
      <c r="T523" s="31">
        <f>VLOOKUP(M523,'Lister og genveje'!$D$39:$J$46,7,0)</f>
        <v>0.75</v>
      </c>
    </row>
    <row r="524" spans="12:20" ht="16" thickBot="1">
      <c r="L524" s="30" t="str">
        <f t="shared" si="16"/>
        <v>EN60898</v>
      </c>
      <c r="M524" t="str">
        <f>'Lister og genveje'!$D$39</f>
        <v>C60N</v>
      </c>
      <c r="N524">
        <v>16</v>
      </c>
      <c r="O524" t="s">
        <v>165</v>
      </c>
      <c r="P524" t="str">
        <f>'Lister og genveje'!$G$38</f>
        <v>Flere poler</v>
      </c>
      <c r="Q524">
        <f>INDEX('Lister og genveje'!$E$39:$I$46,MATCH(M524,'Lister og genveje'!$D$39:$D$46,0),MATCH(P524,'Lister og genveje'!$E$38:$I$38,0),1)</f>
        <v>10</v>
      </c>
      <c r="R524" s="27">
        <f t="shared" si="17"/>
        <v>10</v>
      </c>
      <c r="S524" s="27">
        <f t="shared" si="18"/>
        <v>14</v>
      </c>
      <c r="T524" s="31">
        <f>VLOOKUP(M524,'Lister og genveje'!$D$39:$J$46,7,0)</f>
        <v>0.75</v>
      </c>
    </row>
    <row r="525" spans="12:20" ht="16" thickBot="1">
      <c r="L525" s="30" t="str">
        <f t="shared" si="16"/>
        <v>EN60898</v>
      </c>
      <c r="M525" t="str">
        <f>'Lister og genveje'!$D$39</f>
        <v>C60N</v>
      </c>
      <c r="N525">
        <v>20</v>
      </c>
      <c r="O525" t="s">
        <v>165</v>
      </c>
      <c r="P525" t="str">
        <f>'Lister og genveje'!$G$38</f>
        <v>Flere poler</v>
      </c>
      <c r="Q525">
        <f>INDEX('Lister og genveje'!$E$39:$I$46,MATCH(M525,'Lister og genveje'!$D$39:$D$46,0),MATCH(P525,'Lister og genveje'!$E$38:$I$38,0),1)</f>
        <v>10</v>
      </c>
      <c r="R525" s="27">
        <f t="shared" si="17"/>
        <v>10</v>
      </c>
      <c r="S525" s="27">
        <f t="shared" si="18"/>
        <v>14</v>
      </c>
      <c r="T525" s="31">
        <f>VLOOKUP(M525,'Lister og genveje'!$D$39:$J$46,7,0)</f>
        <v>0.75</v>
      </c>
    </row>
    <row r="526" spans="12:20" ht="16" thickBot="1">
      <c r="L526" s="30" t="str">
        <f t="shared" si="16"/>
        <v>EN60898</v>
      </c>
      <c r="M526" t="str">
        <f>'Lister og genveje'!$D$39</f>
        <v>C60N</v>
      </c>
      <c r="N526">
        <v>25</v>
      </c>
      <c r="O526" t="s">
        <v>165</v>
      </c>
      <c r="P526" t="str">
        <f>'Lister og genveje'!$G$38</f>
        <v>Flere poler</v>
      </c>
      <c r="Q526">
        <f>INDEX('Lister og genveje'!$E$39:$I$46,MATCH(M526,'Lister og genveje'!$D$39:$D$46,0),MATCH(P526,'Lister og genveje'!$E$38:$I$38,0),1)</f>
        <v>10</v>
      </c>
      <c r="R526" s="27">
        <f t="shared" si="17"/>
        <v>10</v>
      </c>
      <c r="S526" s="27">
        <f t="shared" si="18"/>
        <v>14</v>
      </c>
      <c r="T526" s="31">
        <f>VLOOKUP(M526,'Lister og genveje'!$D$39:$J$46,7,0)</f>
        <v>0.75</v>
      </c>
    </row>
    <row r="527" spans="12:20" ht="16" thickBot="1">
      <c r="L527" s="30" t="str">
        <f t="shared" si="16"/>
        <v>EN60898</v>
      </c>
      <c r="M527" t="str">
        <f>'Lister og genveje'!$D$39</f>
        <v>C60N</v>
      </c>
      <c r="N527">
        <v>32</v>
      </c>
      <c r="O527" t="s">
        <v>165</v>
      </c>
      <c r="P527" t="str">
        <f>'Lister og genveje'!$G$38</f>
        <v>Flere poler</v>
      </c>
      <c r="Q527">
        <f>INDEX('Lister og genveje'!$E$39:$I$46,MATCH(M527,'Lister og genveje'!$D$39:$D$46,0),MATCH(P527,'Lister og genveje'!$E$38:$I$38,0),1)</f>
        <v>10</v>
      </c>
      <c r="R527" s="27">
        <f t="shared" si="17"/>
        <v>10</v>
      </c>
      <c r="S527" s="27">
        <f t="shared" si="18"/>
        <v>14</v>
      </c>
      <c r="T527" s="31">
        <f>VLOOKUP(M527,'Lister og genveje'!$D$39:$J$46,7,0)</f>
        <v>0.75</v>
      </c>
    </row>
    <row r="528" spans="12:20" ht="16" thickBot="1">
      <c r="L528" s="30" t="str">
        <f t="shared" si="16"/>
        <v>EN60898</v>
      </c>
      <c r="M528" t="str">
        <f>'Lister og genveje'!$D$39</f>
        <v>C60N</v>
      </c>
      <c r="N528">
        <v>40</v>
      </c>
      <c r="O528" t="s">
        <v>165</v>
      </c>
      <c r="P528" t="str">
        <f>'Lister og genveje'!$G$38</f>
        <v>Flere poler</v>
      </c>
      <c r="Q528">
        <f>INDEX('Lister og genveje'!$E$39:$I$46,MATCH(M528,'Lister og genveje'!$D$39:$D$46,0),MATCH(P528,'Lister og genveje'!$E$38:$I$38,0),1)</f>
        <v>10</v>
      </c>
      <c r="R528" s="27">
        <f t="shared" si="17"/>
        <v>10</v>
      </c>
      <c r="S528" s="27">
        <f t="shared" si="18"/>
        <v>14</v>
      </c>
      <c r="T528" s="31">
        <f>VLOOKUP(M528,'Lister og genveje'!$D$39:$J$46,7,0)</f>
        <v>0.75</v>
      </c>
    </row>
    <row r="529" spans="12:20" ht="16" thickBot="1">
      <c r="L529" s="30" t="str">
        <f t="shared" si="16"/>
        <v>EN60898</v>
      </c>
      <c r="M529" t="str">
        <f>'Lister og genveje'!$D$39</f>
        <v>C60N</v>
      </c>
      <c r="N529">
        <v>50</v>
      </c>
      <c r="O529" t="s">
        <v>165</v>
      </c>
      <c r="P529" t="str">
        <f>'Lister og genveje'!$G$38</f>
        <v>Flere poler</v>
      </c>
      <c r="Q529">
        <f>INDEX('Lister og genveje'!$E$39:$I$46,MATCH(M529,'Lister og genveje'!$D$39:$D$46,0),MATCH(P529,'Lister og genveje'!$E$38:$I$38,0),1)</f>
        <v>10</v>
      </c>
      <c r="R529" s="27">
        <f t="shared" si="17"/>
        <v>10</v>
      </c>
      <c r="S529" s="27">
        <f t="shared" si="18"/>
        <v>14</v>
      </c>
      <c r="T529" s="31">
        <f>VLOOKUP(M529,'Lister og genveje'!$D$39:$J$46,7,0)</f>
        <v>0.75</v>
      </c>
    </row>
    <row r="530" spans="12:20" ht="16" thickBot="1">
      <c r="L530" s="30" t="str">
        <f t="shared" si="16"/>
        <v>EN60898</v>
      </c>
      <c r="M530" t="str">
        <f>'Lister og genveje'!$D$39</f>
        <v>C60N</v>
      </c>
      <c r="N530">
        <v>63</v>
      </c>
      <c r="O530" t="s">
        <v>165</v>
      </c>
      <c r="P530" t="str">
        <f>'Lister og genveje'!$G$38</f>
        <v>Flere poler</v>
      </c>
      <c r="Q530">
        <f>INDEX('Lister og genveje'!$E$39:$I$46,MATCH(M530,'Lister og genveje'!$D$39:$D$46,0),MATCH(P530,'Lister og genveje'!$E$38:$I$38,0),1)</f>
        <v>10</v>
      </c>
      <c r="R530" s="27">
        <f t="shared" si="17"/>
        <v>10</v>
      </c>
      <c r="S530" s="27">
        <f t="shared" si="18"/>
        <v>14</v>
      </c>
      <c r="T530" s="31">
        <f>VLOOKUP(M530,'Lister og genveje'!$D$39:$J$46,7,0)</f>
        <v>0.75</v>
      </c>
    </row>
    <row r="531" spans="12:20" ht="16" thickBot="1">
      <c r="L531" s="30" t="str">
        <f t="shared" si="16"/>
        <v>EN60898</v>
      </c>
      <c r="M531" t="str">
        <f>'Lister og genveje'!$D$44</f>
        <v>C120N</v>
      </c>
      <c r="N531">
        <v>63</v>
      </c>
      <c r="O531" t="s">
        <v>165</v>
      </c>
      <c r="P531" t="s">
        <v>164</v>
      </c>
      <c r="Q531">
        <f>INDEX('Lister og genveje'!$E$39:$I$46,MATCH(M531,'Lister og genveje'!$D$39:$D$46,0),MATCH(P531,'Lister og genveje'!$E$38:$I$38,0),1)</f>
        <v>3</v>
      </c>
      <c r="R531" s="27">
        <f t="shared" si="17"/>
        <v>10</v>
      </c>
      <c r="S531" s="27">
        <f t="shared" si="18"/>
        <v>14</v>
      </c>
      <c r="T531" s="31">
        <f>VLOOKUP(M531,'Lister og genveje'!$D$39:$J$46,7,0)</f>
        <v>0.75</v>
      </c>
    </row>
    <row r="532" spans="12:20" ht="16" thickBot="1">
      <c r="L532" s="30" t="str">
        <f t="shared" si="16"/>
        <v>EN60898</v>
      </c>
      <c r="M532" t="str">
        <f>'Lister og genveje'!$D$44</f>
        <v>C120N</v>
      </c>
      <c r="N532">
        <v>80</v>
      </c>
      <c r="O532" t="s">
        <v>165</v>
      </c>
      <c r="P532" t="s">
        <v>164</v>
      </c>
      <c r="Q532">
        <f>INDEX('Lister og genveje'!$E$39:$I$46,MATCH(M532,'Lister og genveje'!$D$39:$D$46,0),MATCH(P532,'Lister og genveje'!$E$38:$I$38,0),1)</f>
        <v>3</v>
      </c>
      <c r="R532" s="27">
        <f t="shared" si="17"/>
        <v>10</v>
      </c>
      <c r="S532" s="27">
        <f t="shared" si="18"/>
        <v>14</v>
      </c>
      <c r="T532" s="31">
        <f>VLOOKUP(M532,'Lister og genveje'!$D$39:$J$46,7,0)</f>
        <v>0.75</v>
      </c>
    </row>
    <row r="533" spans="12:20" ht="16" thickBot="1">
      <c r="L533" s="30" t="str">
        <f t="shared" si="16"/>
        <v>EN60898</v>
      </c>
      <c r="M533" t="str">
        <f>'Lister og genveje'!$D$44</f>
        <v>C120N</v>
      </c>
      <c r="N533">
        <v>100</v>
      </c>
      <c r="O533" t="s">
        <v>165</v>
      </c>
      <c r="P533" t="s">
        <v>164</v>
      </c>
      <c r="Q533">
        <f>INDEX('Lister og genveje'!$E$39:$I$46,MATCH(M533,'Lister og genveje'!$D$39:$D$46,0),MATCH(P533,'Lister og genveje'!$E$38:$I$38,0),1)</f>
        <v>3</v>
      </c>
      <c r="R533" s="27">
        <f t="shared" si="17"/>
        <v>10</v>
      </c>
      <c r="S533" s="27">
        <f t="shared" si="18"/>
        <v>14</v>
      </c>
      <c r="T533" s="31">
        <f>VLOOKUP(M533,'Lister og genveje'!$D$39:$J$46,7,0)</f>
        <v>0.75</v>
      </c>
    </row>
    <row r="534" spans="12:20" ht="16" thickBot="1">
      <c r="L534" s="30" t="str">
        <f t="shared" si="16"/>
        <v>EN60898</v>
      </c>
      <c r="M534" t="str">
        <f>'Lister og genveje'!$D$44</f>
        <v>C120N</v>
      </c>
      <c r="N534">
        <v>125</v>
      </c>
      <c r="O534" t="s">
        <v>165</v>
      </c>
      <c r="P534" t="s">
        <v>164</v>
      </c>
      <c r="Q534">
        <f>INDEX('Lister og genveje'!$E$39:$I$46,MATCH(M534,'Lister og genveje'!$D$39:$D$46,0),MATCH(P534,'Lister og genveje'!$E$38:$I$38,0),1)</f>
        <v>3</v>
      </c>
      <c r="R534" s="27">
        <f t="shared" si="17"/>
        <v>10</v>
      </c>
      <c r="S534" s="27">
        <f t="shared" si="18"/>
        <v>14</v>
      </c>
      <c r="T534" s="31">
        <f>VLOOKUP(M534,'Lister og genveje'!$D$39:$J$46,7,0)</f>
        <v>0.75</v>
      </c>
    </row>
    <row r="535" spans="12:20" ht="16" thickBot="1">
      <c r="L535" s="30" t="str">
        <f t="shared" si="16"/>
        <v>EN60898</v>
      </c>
      <c r="M535" t="str">
        <f>'Lister og genveje'!$D$44</f>
        <v>C120N</v>
      </c>
      <c r="N535">
        <v>63</v>
      </c>
      <c r="O535" t="s">
        <v>165</v>
      </c>
      <c r="P535" t="str">
        <f>'Lister og genveje'!$G$38</f>
        <v>Flere poler</v>
      </c>
      <c r="Q535">
        <f>INDEX('Lister og genveje'!$E$39:$I$46,MATCH(M535,'Lister og genveje'!$D$39:$D$46,0),MATCH(P535,'Lister og genveje'!$E$38:$I$38,0),1)</f>
        <v>10</v>
      </c>
      <c r="R535" s="27">
        <f t="shared" si="17"/>
        <v>10</v>
      </c>
      <c r="S535" s="27">
        <f t="shared" si="18"/>
        <v>14</v>
      </c>
      <c r="T535" s="31">
        <f>VLOOKUP(M535,'Lister og genveje'!$D$39:$J$46,7,0)</f>
        <v>0.75</v>
      </c>
    </row>
    <row r="536" spans="12:20" ht="16" thickBot="1">
      <c r="L536" s="30" t="str">
        <f t="shared" si="16"/>
        <v>EN60898</v>
      </c>
      <c r="M536" t="str">
        <f>'Lister og genveje'!$D$44</f>
        <v>C120N</v>
      </c>
      <c r="N536">
        <v>80</v>
      </c>
      <c r="O536" t="s">
        <v>165</v>
      </c>
      <c r="P536" t="str">
        <f>'Lister og genveje'!$G$38</f>
        <v>Flere poler</v>
      </c>
      <c r="Q536">
        <f>INDEX('Lister og genveje'!$E$39:$I$46,MATCH(M536,'Lister og genveje'!$D$39:$D$46,0),MATCH(P536,'Lister og genveje'!$E$38:$I$38,0),1)</f>
        <v>10</v>
      </c>
      <c r="R536" s="27">
        <f t="shared" si="17"/>
        <v>10</v>
      </c>
      <c r="S536" s="27">
        <f t="shared" si="18"/>
        <v>14</v>
      </c>
      <c r="T536" s="31">
        <f>VLOOKUP(M536,'Lister og genveje'!$D$39:$J$46,7,0)</f>
        <v>0.75</v>
      </c>
    </row>
    <row r="537" spans="12:20" ht="16" thickBot="1">
      <c r="L537" s="30" t="str">
        <f t="shared" si="16"/>
        <v>EN60898</v>
      </c>
      <c r="M537" t="str">
        <f>'Lister og genveje'!$D$44</f>
        <v>C120N</v>
      </c>
      <c r="N537">
        <v>100</v>
      </c>
      <c r="O537" t="s">
        <v>165</v>
      </c>
      <c r="P537" t="str">
        <f>'Lister og genveje'!$G$38</f>
        <v>Flere poler</v>
      </c>
      <c r="Q537">
        <f>INDEX('Lister og genveje'!$E$39:$I$46,MATCH(M537,'Lister og genveje'!$D$39:$D$46,0),MATCH(P537,'Lister og genveje'!$E$38:$I$38,0),1)</f>
        <v>10</v>
      </c>
      <c r="R537" s="27">
        <f t="shared" si="17"/>
        <v>10</v>
      </c>
      <c r="S537" s="27">
        <f t="shared" si="18"/>
        <v>14</v>
      </c>
      <c r="T537" s="31">
        <f>VLOOKUP(M537,'Lister og genveje'!$D$39:$J$46,7,0)</f>
        <v>0.75</v>
      </c>
    </row>
    <row r="538" spans="12:20" ht="16" thickBot="1">
      <c r="L538" s="30" t="str">
        <f t="shared" si="16"/>
        <v>EN60898</v>
      </c>
      <c r="M538" t="str">
        <f>'Lister og genveje'!$D$44</f>
        <v>C120N</v>
      </c>
      <c r="N538">
        <v>125</v>
      </c>
      <c r="O538" t="s">
        <v>165</v>
      </c>
      <c r="P538" t="str">
        <f>'Lister og genveje'!$G$38</f>
        <v>Flere poler</v>
      </c>
      <c r="Q538">
        <f>INDEX('Lister og genveje'!$E$39:$I$46,MATCH(M538,'Lister og genveje'!$D$39:$D$46,0),MATCH(P538,'Lister og genveje'!$E$38:$I$38,0),1)</f>
        <v>10</v>
      </c>
      <c r="R538" s="27">
        <f t="shared" si="17"/>
        <v>10</v>
      </c>
      <c r="S538" s="27">
        <f t="shared" si="18"/>
        <v>14</v>
      </c>
      <c r="T538" s="31">
        <f>VLOOKUP(M538,'Lister og genveje'!$D$39:$J$46,7,0)</f>
        <v>0.75</v>
      </c>
    </row>
    <row r="539" spans="12:20" ht="16" thickBot="1">
      <c r="L539" s="30" t="str">
        <f t="shared" si="16"/>
        <v>EN60898</v>
      </c>
      <c r="M539" t="s">
        <v>151</v>
      </c>
      <c r="N539">
        <v>1</v>
      </c>
      <c r="O539" t="s">
        <v>165</v>
      </c>
      <c r="P539" t="s">
        <v>164</v>
      </c>
      <c r="Q539">
        <f>INDEX('Lister og genveje'!$E$39:$I$46,MATCH(M539,'Lister og genveje'!$D$39:$D$46,0),MATCH(P539,'Lister og genveje'!$E$38:$I$38,0),1)</f>
        <v>15</v>
      </c>
      <c r="R539" s="27">
        <f t="shared" si="17"/>
        <v>10</v>
      </c>
      <c r="S539" s="27">
        <f t="shared" si="18"/>
        <v>14</v>
      </c>
      <c r="T539" s="31">
        <f>VLOOKUP(M539,'Lister og genveje'!$D$39:$J$46,7,0)</f>
        <v>0.5</v>
      </c>
    </row>
    <row r="540" spans="12:20" ht="16" thickBot="1">
      <c r="L540" s="30" t="str">
        <f t="shared" si="16"/>
        <v>EN60898</v>
      </c>
      <c r="M540" t="s">
        <v>151</v>
      </c>
      <c r="N540">
        <v>2</v>
      </c>
      <c r="O540" t="s">
        <v>165</v>
      </c>
      <c r="P540" t="s">
        <v>164</v>
      </c>
      <c r="Q540">
        <f>INDEX('Lister og genveje'!$E$39:$I$46,MATCH(M540,'Lister og genveje'!$D$39:$D$46,0),MATCH(P540,'Lister og genveje'!$E$38:$I$38,0),1)</f>
        <v>15</v>
      </c>
      <c r="R540" s="27">
        <f t="shared" si="17"/>
        <v>10</v>
      </c>
      <c r="S540" s="27">
        <f t="shared" si="18"/>
        <v>14</v>
      </c>
      <c r="T540" s="31">
        <f>VLOOKUP(M540,'Lister og genveje'!$D$39:$J$46,7,0)</f>
        <v>0.5</v>
      </c>
    </row>
    <row r="541" spans="12:20" ht="16" thickBot="1">
      <c r="L541" s="30" t="str">
        <f t="shared" si="16"/>
        <v>EN60898</v>
      </c>
      <c r="M541" t="s">
        <v>151</v>
      </c>
      <c r="N541">
        <v>3</v>
      </c>
      <c r="O541" t="s">
        <v>165</v>
      </c>
      <c r="P541" t="s">
        <v>164</v>
      </c>
      <c r="Q541">
        <f>INDEX('Lister og genveje'!$E$39:$I$46,MATCH(M541,'Lister og genveje'!$D$39:$D$46,0),MATCH(P541,'Lister og genveje'!$E$38:$I$38,0),1)</f>
        <v>15</v>
      </c>
      <c r="R541" s="27">
        <f t="shared" si="17"/>
        <v>10</v>
      </c>
      <c r="S541" s="27">
        <f t="shared" si="18"/>
        <v>14</v>
      </c>
      <c r="T541" s="31">
        <f>VLOOKUP(M541,'Lister og genveje'!$D$39:$J$46,7,0)</f>
        <v>0.5</v>
      </c>
    </row>
    <row r="542" spans="12:20" ht="16" thickBot="1">
      <c r="L542" s="30" t="str">
        <f t="shared" si="16"/>
        <v>EN60898</v>
      </c>
      <c r="M542" t="s">
        <v>151</v>
      </c>
      <c r="N542">
        <v>4</v>
      </c>
      <c r="O542" t="s">
        <v>165</v>
      </c>
      <c r="P542" t="s">
        <v>164</v>
      </c>
      <c r="Q542">
        <f>INDEX('Lister og genveje'!$E$39:$I$46,MATCH(M542,'Lister og genveje'!$D$39:$D$46,0),MATCH(P542,'Lister og genveje'!$E$38:$I$38,0),1)</f>
        <v>15</v>
      </c>
      <c r="R542" s="27">
        <f t="shared" si="17"/>
        <v>10</v>
      </c>
      <c r="S542" s="27">
        <f t="shared" si="18"/>
        <v>14</v>
      </c>
      <c r="T542" s="31">
        <f>VLOOKUP(M542,'Lister og genveje'!$D$39:$J$46,7,0)</f>
        <v>0.5</v>
      </c>
    </row>
    <row r="543" spans="12:20" ht="16" thickBot="1">
      <c r="L543" s="30" t="str">
        <f t="shared" si="16"/>
        <v>EN60898</v>
      </c>
      <c r="M543" t="s">
        <v>151</v>
      </c>
      <c r="N543">
        <v>6</v>
      </c>
      <c r="O543" t="s">
        <v>165</v>
      </c>
      <c r="P543" t="s">
        <v>164</v>
      </c>
      <c r="Q543">
        <f>INDEX('Lister og genveje'!$E$39:$I$46,MATCH(M543,'Lister og genveje'!$D$39:$D$46,0),MATCH(P543,'Lister og genveje'!$E$38:$I$38,0),1)</f>
        <v>15</v>
      </c>
      <c r="R543" s="27">
        <f t="shared" si="17"/>
        <v>10</v>
      </c>
      <c r="S543" s="27">
        <f t="shared" si="18"/>
        <v>14</v>
      </c>
      <c r="T543" s="31">
        <f>VLOOKUP(M543,'Lister og genveje'!$D$39:$J$46,7,0)</f>
        <v>0.5</v>
      </c>
    </row>
    <row r="544" spans="12:20" ht="16" thickBot="1">
      <c r="L544" s="30" t="str">
        <f t="shared" si="16"/>
        <v>EN60898</v>
      </c>
      <c r="M544" t="s">
        <v>151</v>
      </c>
      <c r="N544">
        <v>10</v>
      </c>
      <c r="O544" t="s">
        <v>165</v>
      </c>
      <c r="P544" t="s">
        <v>164</v>
      </c>
      <c r="Q544">
        <f>INDEX('Lister og genveje'!$E$39:$I$46,MATCH(M544,'Lister og genveje'!$D$39:$D$46,0),MATCH(P544,'Lister og genveje'!$E$38:$I$38,0),1)</f>
        <v>15</v>
      </c>
      <c r="R544" s="27">
        <f t="shared" si="17"/>
        <v>10</v>
      </c>
      <c r="S544" s="27">
        <f t="shared" si="18"/>
        <v>14</v>
      </c>
      <c r="T544" s="31">
        <f>VLOOKUP(M544,'Lister og genveje'!$D$39:$J$46,7,0)</f>
        <v>0.5</v>
      </c>
    </row>
    <row r="545" spans="12:20" ht="16" thickBot="1">
      <c r="L545" s="30" t="str">
        <f t="shared" si="16"/>
        <v>EN60898</v>
      </c>
      <c r="M545" t="s">
        <v>151</v>
      </c>
      <c r="N545">
        <v>13</v>
      </c>
      <c r="O545" t="s">
        <v>165</v>
      </c>
      <c r="P545" t="s">
        <v>164</v>
      </c>
      <c r="Q545">
        <f>INDEX('Lister og genveje'!$E$39:$I$46,MATCH(M545,'Lister og genveje'!$D$39:$D$46,0),MATCH(P545,'Lister og genveje'!$E$38:$I$38,0),1)</f>
        <v>15</v>
      </c>
      <c r="R545" s="27">
        <f t="shared" si="17"/>
        <v>10</v>
      </c>
      <c r="S545" s="27">
        <f t="shared" si="18"/>
        <v>14</v>
      </c>
      <c r="T545" s="31">
        <f>VLOOKUP(M545,'Lister og genveje'!$D$39:$J$46,7,0)</f>
        <v>0.5</v>
      </c>
    </row>
    <row r="546" spans="12:20" ht="16" thickBot="1">
      <c r="L546" s="30" t="str">
        <f t="shared" si="16"/>
        <v>EN60898</v>
      </c>
      <c r="M546" t="s">
        <v>151</v>
      </c>
      <c r="N546">
        <v>16</v>
      </c>
      <c r="O546" t="s">
        <v>165</v>
      </c>
      <c r="P546" t="s">
        <v>164</v>
      </c>
      <c r="Q546">
        <f>INDEX('Lister og genveje'!$E$39:$I$46,MATCH(M546,'Lister og genveje'!$D$39:$D$46,0),MATCH(P546,'Lister og genveje'!$E$38:$I$38,0),1)</f>
        <v>15</v>
      </c>
      <c r="R546" s="27">
        <f t="shared" si="17"/>
        <v>10</v>
      </c>
      <c r="S546" s="27">
        <f t="shared" si="18"/>
        <v>14</v>
      </c>
      <c r="T546" s="31">
        <f>VLOOKUP(M546,'Lister og genveje'!$D$39:$J$46,7,0)</f>
        <v>0.5</v>
      </c>
    </row>
    <row r="547" spans="12:20" ht="16" thickBot="1">
      <c r="L547" s="30" t="str">
        <f t="shared" si="16"/>
        <v>EN60898</v>
      </c>
      <c r="M547" t="s">
        <v>151</v>
      </c>
      <c r="N547">
        <v>20</v>
      </c>
      <c r="O547" t="s">
        <v>165</v>
      </c>
      <c r="P547" t="s">
        <v>164</v>
      </c>
      <c r="Q547">
        <f>INDEX('Lister og genveje'!$E$39:$I$46,MATCH(M547,'Lister og genveje'!$D$39:$D$46,0),MATCH(P547,'Lister og genveje'!$E$38:$I$38,0),1)</f>
        <v>15</v>
      </c>
      <c r="R547" s="27">
        <f t="shared" si="17"/>
        <v>10</v>
      </c>
      <c r="S547" s="27">
        <f t="shared" si="18"/>
        <v>14</v>
      </c>
      <c r="T547" s="31">
        <f>VLOOKUP(M547,'Lister og genveje'!$D$39:$J$46,7,0)</f>
        <v>0.5</v>
      </c>
    </row>
    <row r="548" spans="12:20" ht="16" thickBot="1">
      <c r="L548" s="30" t="str">
        <f t="shared" si="16"/>
        <v>EN60898</v>
      </c>
      <c r="M548" t="s">
        <v>151</v>
      </c>
      <c r="N548">
        <v>25</v>
      </c>
      <c r="O548" t="s">
        <v>165</v>
      </c>
      <c r="P548" t="s">
        <v>164</v>
      </c>
      <c r="Q548">
        <f>INDEX('Lister og genveje'!$E$39:$I$46,MATCH(M548,'Lister og genveje'!$D$39:$D$46,0),MATCH(P548,'Lister og genveje'!$E$38:$I$38,0),1)</f>
        <v>15</v>
      </c>
      <c r="R548" s="27">
        <f t="shared" si="17"/>
        <v>10</v>
      </c>
      <c r="S548" s="27">
        <f t="shared" si="18"/>
        <v>14</v>
      </c>
      <c r="T548" s="31">
        <f>VLOOKUP(M548,'Lister og genveje'!$D$39:$J$46,7,0)</f>
        <v>0.5</v>
      </c>
    </row>
    <row r="549" spans="12:20" ht="16" thickBot="1">
      <c r="L549" s="30" t="str">
        <f t="shared" si="16"/>
        <v>EN60898</v>
      </c>
      <c r="M549" t="s">
        <v>151</v>
      </c>
      <c r="N549">
        <v>32</v>
      </c>
      <c r="O549" t="s">
        <v>165</v>
      </c>
      <c r="P549" t="s">
        <v>164</v>
      </c>
      <c r="Q549">
        <f>INDEX('Lister og genveje'!$E$39:$I$46,MATCH(M549,'Lister og genveje'!$D$39:$D$46,0),MATCH(P549,'Lister og genveje'!$E$38:$I$38,0),1)</f>
        <v>15</v>
      </c>
      <c r="R549" s="27">
        <f t="shared" si="17"/>
        <v>10</v>
      </c>
      <c r="S549" s="27">
        <f t="shared" si="18"/>
        <v>14</v>
      </c>
      <c r="T549" s="31">
        <f>VLOOKUP(M549,'Lister og genveje'!$D$39:$J$46,7,0)</f>
        <v>0.5</v>
      </c>
    </row>
    <row r="550" spans="12:20" ht="16" thickBot="1">
      <c r="L550" s="30" t="str">
        <f t="shared" si="16"/>
        <v>EN60898</v>
      </c>
      <c r="M550" t="s">
        <v>151</v>
      </c>
      <c r="N550">
        <v>40</v>
      </c>
      <c r="O550" t="s">
        <v>165</v>
      </c>
      <c r="P550" t="s">
        <v>164</v>
      </c>
      <c r="Q550">
        <f>INDEX('Lister og genveje'!$E$39:$I$46,MATCH(M550,'Lister og genveje'!$D$39:$D$46,0),MATCH(P550,'Lister og genveje'!$E$38:$I$38,0),1)</f>
        <v>15</v>
      </c>
      <c r="R550" s="27">
        <f t="shared" si="17"/>
        <v>10</v>
      </c>
      <c r="S550" s="27">
        <f t="shared" si="18"/>
        <v>14</v>
      </c>
      <c r="T550" s="31">
        <f>VLOOKUP(M550,'Lister og genveje'!$D$39:$J$46,7,0)</f>
        <v>0.5</v>
      </c>
    </row>
    <row r="551" spans="12:20" ht="16" thickBot="1">
      <c r="L551" s="30" t="str">
        <f t="shared" si="16"/>
        <v>EN60898</v>
      </c>
      <c r="M551" t="s">
        <v>151</v>
      </c>
      <c r="N551">
        <v>50</v>
      </c>
      <c r="O551" t="s">
        <v>165</v>
      </c>
      <c r="P551" t="s">
        <v>164</v>
      </c>
      <c r="Q551">
        <f>INDEX('Lister og genveje'!$E$39:$I$46,MATCH(M551,'Lister og genveje'!$D$39:$D$46,0),MATCH(P551,'Lister og genveje'!$E$38:$I$38,0),1)</f>
        <v>15</v>
      </c>
      <c r="R551" s="27">
        <f t="shared" si="17"/>
        <v>10</v>
      </c>
      <c r="S551" s="27">
        <f t="shared" si="18"/>
        <v>14</v>
      </c>
      <c r="T551" s="31">
        <f>VLOOKUP(M551,'Lister og genveje'!$D$39:$J$46,7,0)</f>
        <v>0.5</v>
      </c>
    </row>
    <row r="552" spans="12:20" ht="16" thickBot="1">
      <c r="L552" s="30" t="str">
        <f t="shared" si="16"/>
        <v>EN60898</v>
      </c>
      <c r="M552" t="s">
        <v>151</v>
      </c>
      <c r="N552">
        <v>63</v>
      </c>
      <c r="O552" t="s">
        <v>165</v>
      </c>
      <c r="P552" t="s">
        <v>164</v>
      </c>
      <c r="Q552">
        <f>INDEX('Lister og genveje'!$E$39:$I$46,MATCH(M552,'Lister og genveje'!$D$39:$D$46,0),MATCH(P552,'Lister og genveje'!$E$38:$I$38,0),1)</f>
        <v>15</v>
      </c>
      <c r="R552" s="27">
        <f t="shared" si="17"/>
        <v>10</v>
      </c>
      <c r="S552" s="27">
        <f t="shared" si="18"/>
        <v>14</v>
      </c>
      <c r="T552" s="31">
        <f>VLOOKUP(M552,'Lister og genveje'!$D$39:$J$46,7,0)</f>
        <v>0.5</v>
      </c>
    </row>
    <row r="553" spans="12:20" ht="16" thickBot="1">
      <c r="L553" s="30" t="str">
        <f t="shared" si="16"/>
        <v>EN60898</v>
      </c>
      <c r="M553" t="s">
        <v>151</v>
      </c>
      <c r="N553">
        <v>80</v>
      </c>
      <c r="O553" t="s">
        <v>165</v>
      </c>
      <c r="P553" t="s">
        <v>164</v>
      </c>
      <c r="Q553">
        <f>INDEX('Lister og genveje'!$E$39:$I$46,MATCH(M553,'Lister og genveje'!$D$39:$D$46,0),MATCH(P553,'Lister og genveje'!$E$38:$I$38,0),1)</f>
        <v>15</v>
      </c>
      <c r="R553" s="27">
        <f t="shared" si="17"/>
        <v>10</v>
      </c>
      <c r="S553" s="27">
        <f t="shared" si="18"/>
        <v>14</v>
      </c>
      <c r="T553" s="31">
        <f>VLOOKUP(M553,'Lister og genveje'!$D$39:$J$46,7,0)</f>
        <v>0.5</v>
      </c>
    </row>
    <row r="554" spans="12:20" ht="16" thickBot="1">
      <c r="L554" s="30" t="str">
        <f t="shared" si="16"/>
        <v>EN60898</v>
      </c>
      <c r="M554" t="s">
        <v>151</v>
      </c>
      <c r="N554">
        <v>100</v>
      </c>
      <c r="O554" t="s">
        <v>165</v>
      </c>
      <c r="P554" t="s">
        <v>164</v>
      </c>
      <c r="Q554">
        <f>INDEX('Lister og genveje'!$E$39:$I$46,MATCH(M554,'Lister og genveje'!$D$39:$D$46,0),MATCH(P554,'Lister og genveje'!$E$38:$I$38,0),1)</f>
        <v>15</v>
      </c>
      <c r="R554" s="27">
        <f t="shared" si="17"/>
        <v>10</v>
      </c>
      <c r="S554" s="27">
        <f t="shared" si="18"/>
        <v>14</v>
      </c>
      <c r="T554" s="31">
        <f>VLOOKUP(M554,'Lister og genveje'!$D$39:$J$46,7,0)</f>
        <v>0.5</v>
      </c>
    </row>
    <row r="555" spans="12:20" ht="16" thickBot="1">
      <c r="L555" s="30" t="str">
        <f t="shared" si="16"/>
        <v>EN60898</v>
      </c>
      <c r="M555" t="s">
        <v>151</v>
      </c>
      <c r="N555">
        <v>125</v>
      </c>
      <c r="O555" t="s">
        <v>165</v>
      </c>
      <c r="P555" t="s">
        <v>164</v>
      </c>
      <c r="Q555">
        <f>INDEX('Lister og genveje'!$E$39:$I$46,MATCH(M555,'Lister og genveje'!$D$39:$D$46,0),MATCH(P555,'Lister og genveje'!$E$38:$I$38,0),1)</f>
        <v>15</v>
      </c>
      <c r="R555" s="27">
        <f t="shared" si="17"/>
        <v>10</v>
      </c>
      <c r="S555" s="27">
        <f t="shared" si="18"/>
        <v>14</v>
      </c>
      <c r="T555" s="31">
        <f>VLOOKUP(M555,'Lister og genveje'!$D$39:$J$46,7,0)</f>
        <v>0.5</v>
      </c>
    </row>
    <row r="556" spans="12:20" ht="16" thickBot="1">
      <c r="L556" s="30" t="str">
        <f t="shared" si="16"/>
        <v>EN60898</v>
      </c>
      <c r="M556" t="s">
        <v>151</v>
      </c>
      <c r="N556">
        <v>1</v>
      </c>
      <c r="O556" t="s">
        <v>165</v>
      </c>
      <c r="P556" t="s">
        <v>166</v>
      </c>
      <c r="Q556">
        <f>INDEX('Lister og genveje'!$E$39:$I$46,MATCH(M556,'Lister og genveje'!$D$39:$D$46,0),MATCH(P556,'Lister og genveje'!$E$38:$I$38,0),1)</f>
        <v>30</v>
      </c>
      <c r="R556" s="27">
        <f t="shared" si="17"/>
        <v>10</v>
      </c>
      <c r="S556" s="27">
        <f t="shared" si="18"/>
        <v>14</v>
      </c>
      <c r="T556" s="31">
        <f>VLOOKUP(M556,'Lister og genveje'!$D$39:$J$46,7,0)</f>
        <v>0.5</v>
      </c>
    </row>
    <row r="557" spans="12:20" ht="16" thickBot="1">
      <c r="L557" s="30" t="str">
        <f t="shared" si="16"/>
        <v>EN60898</v>
      </c>
      <c r="M557" t="s">
        <v>151</v>
      </c>
      <c r="N557">
        <v>2</v>
      </c>
      <c r="O557" t="s">
        <v>165</v>
      </c>
      <c r="P557" t="s">
        <v>166</v>
      </c>
      <c r="Q557">
        <f>INDEX('Lister og genveje'!$E$39:$I$46,MATCH(M557,'Lister og genveje'!$D$39:$D$46,0),MATCH(P557,'Lister og genveje'!$E$38:$I$38,0),1)</f>
        <v>30</v>
      </c>
      <c r="R557" s="27">
        <f t="shared" si="17"/>
        <v>10</v>
      </c>
      <c r="S557" s="27">
        <f t="shared" si="18"/>
        <v>14</v>
      </c>
      <c r="T557" s="31">
        <f>VLOOKUP(M557,'Lister og genveje'!$D$39:$J$46,7,0)</f>
        <v>0.5</v>
      </c>
    </row>
    <row r="558" spans="12:20" ht="16" thickBot="1">
      <c r="L558" s="30" t="str">
        <f t="shared" si="16"/>
        <v>EN60898</v>
      </c>
      <c r="M558" t="s">
        <v>151</v>
      </c>
      <c r="N558">
        <v>3</v>
      </c>
      <c r="O558" t="s">
        <v>165</v>
      </c>
      <c r="P558" t="s">
        <v>166</v>
      </c>
      <c r="Q558">
        <f>INDEX('Lister og genveje'!$E$39:$I$46,MATCH(M558,'Lister og genveje'!$D$39:$D$46,0),MATCH(P558,'Lister og genveje'!$E$38:$I$38,0),1)</f>
        <v>30</v>
      </c>
      <c r="R558" s="27">
        <f t="shared" si="17"/>
        <v>10</v>
      </c>
      <c r="S558" s="27">
        <f t="shared" si="18"/>
        <v>14</v>
      </c>
      <c r="T558" s="31">
        <f>VLOOKUP(M558,'Lister og genveje'!$D$39:$J$46,7,0)</f>
        <v>0.5</v>
      </c>
    </row>
    <row r="559" spans="12:20" ht="16" thickBot="1">
      <c r="L559" s="30" t="str">
        <f t="shared" si="16"/>
        <v>EN60898</v>
      </c>
      <c r="M559" t="s">
        <v>151</v>
      </c>
      <c r="N559">
        <v>4</v>
      </c>
      <c r="O559" t="s">
        <v>165</v>
      </c>
      <c r="P559" t="s">
        <v>166</v>
      </c>
      <c r="Q559">
        <f>INDEX('Lister og genveje'!$E$39:$I$46,MATCH(M559,'Lister og genveje'!$D$39:$D$46,0),MATCH(P559,'Lister og genveje'!$E$38:$I$38,0),1)</f>
        <v>30</v>
      </c>
      <c r="R559" s="27">
        <f t="shared" si="17"/>
        <v>10</v>
      </c>
      <c r="S559" s="27">
        <f t="shared" si="18"/>
        <v>14</v>
      </c>
      <c r="T559" s="31">
        <f>VLOOKUP(M559,'Lister og genveje'!$D$39:$J$46,7,0)</f>
        <v>0.5</v>
      </c>
    </row>
    <row r="560" spans="12:20" ht="16" thickBot="1">
      <c r="L560" s="30" t="str">
        <f t="shared" si="16"/>
        <v>EN60898</v>
      </c>
      <c r="M560" t="s">
        <v>151</v>
      </c>
      <c r="N560">
        <v>6</v>
      </c>
      <c r="O560" t="s">
        <v>165</v>
      </c>
      <c r="P560" t="s">
        <v>166</v>
      </c>
      <c r="Q560">
        <f>INDEX('Lister og genveje'!$E$39:$I$46,MATCH(M560,'Lister og genveje'!$D$39:$D$46,0),MATCH(P560,'Lister og genveje'!$E$38:$I$38,0),1)</f>
        <v>30</v>
      </c>
      <c r="R560" s="27">
        <f t="shared" si="17"/>
        <v>10</v>
      </c>
      <c r="S560" s="27">
        <f t="shared" si="18"/>
        <v>14</v>
      </c>
      <c r="T560" s="31">
        <f>VLOOKUP(M560,'Lister og genveje'!$D$39:$J$46,7,0)</f>
        <v>0.5</v>
      </c>
    </row>
    <row r="561" spans="12:20" ht="16" thickBot="1">
      <c r="L561" s="30" t="str">
        <f t="shared" si="16"/>
        <v>EN60898</v>
      </c>
      <c r="M561" t="s">
        <v>151</v>
      </c>
      <c r="N561">
        <v>10</v>
      </c>
      <c r="O561" t="s">
        <v>165</v>
      </c>
      <c r="P561" t="s">
        <v>166</v>
      </c>
      <c r="Q561">
        <f>INDEX('Lister og genveje'!$E$39:$I$46,MATCH(M561,'Lister og genveje'!$D$39:$D$46,0),MATCH(P561,'Lister og genveje'!$E$38:$I$38,0),1)</f>
        <v>30</v>
      </c>
      <c r="R561" s="27">
        <f t="shared" si="17"/>
        <v>10</v>
      </c>
      <c r="S561" s="27">
        <f t="shared" si="18"/>
        <v>14</v>
      </c>
      <c r="T561" s="31">
        <f>VLOOKUP(M561,'Lister og genveje'!$D$39:$J$46,7,0)</f>
        <v>0.5</v>
      </c>
    </row>
    <row r="562" spans="12:20" ht="16" thickBot="1">
      <c r="L562" s="30" t="str">
        <f t="shared" si="16"/>
        <v>EN60898</v>
      </c>
      <c r="M562" t="s">
        <v>151</v>
      </c>
      <c r="N562">
        <v>13</v>
      </c>
      <c r="O562" t="s">
        <v>165</v>
      </c>
      <c r="P562" t="s">
        <v>166</v>
      </c>
      <c r="Q562">
        <f>INDEX('Lister og genveje'!$E$39:$I$46,MATCH(M562,'Lister og genveje'!$D$39:$D$46,0),MATCH(P562,'Lister og genveje'!$E$38:$I$38,0),1)</f>
        <v>30</v>
      </c>
      <c r="R562" s="27">
        <f t="shared" si="17"/>
        <v>10</v>
      </c>
      <c r="S562" s="27">
        <f t="shared" si="18"/>
        <v>14</v>
      </c>
      <c r="T562" s="31">
        <f>VLOOKUP(M562,'Lister og genveje'!$D$39:$J$46,7,0)</f>
        <v>0.5</v>
      </c>
    </row>
    <row r="563" spans="12:20" ht="16" thickBot="1">
      <c r="L563" s="30" t="str">
        <f t="shared" si="16"/>
        <v>EN60898</v>
      </c>
      <c r="M563" t="s">
        <v>151</v>
      </c>
      <c r="N563">
        <v>16</v>
      </c>
      <c r="O563" t="s">
        <v>165</v>
      </c>
      <c r="P563" t="s">
        <v>166</v>
      </c>
      <c r="Q563">
        <f>INDEX('Lister og genveje'!$E$39:$I$46,MATCH(M563,'Lister og genveje'!$D$39:$D$46,0),MATCH(P563,'Lister og genveje'!$E$38:$I$38,0),1)</f>
        <v>30</v>
      </c>
      <c r="R563" s="27">
        <f t="shared" si="17"/>
        <v>10</v>
      </c>
      <c r="S563" s="27">
        <f t="shared" si="18"/>
        <v>14</v>
      </c>
      <c r="T563" s="31">
        <f>VLOOKUP(M563,'Lister og genveje'!$D$39:$J$46,7,0)</f>
        <v>0.5</v>
      </c>
    </row>
    <row r="564" spans="12:20" ht="16" thickBot="1">
      <c r="L564" s="30" t="str">
        <f t="shared" si="16"/>
        <v>EN60898</v>
      </c>
      <c r="M564" t="s">
        <v>151</v>
      </c>
      <c r="N564">
        <v>20</v>
      </c>
      <c r="O564" t="s">
        <v>165</v>
      </c>
      <c r="P564" t="s">
        <v>166</v>
      </c>
      <c r="Q564">
        <f>INDEX('Lister og genveje'!$E$39:$I$46,MATCH(M564,'Lister og genveje'!$D$39:$D$46,0),MATCH(P564,'Lister og genveje'!$E$38:$I$38,0),1)</f>
        <v>30</v>
      </c>
      <c r="R564" s="27">
        <f t="shared" si="17"/>
        <v>10</v>
      </c>
      <c r="S564" s="27">
        <f t="shared" si="18"/>
        <v>14</v>
      </c>
      <c r="T564" s="31">
        <f>VLOOKUP(M564,'Lister og genveje'!$D$39:$J$46,7,0)</f>
        <v>0.5</v>
      </c>
    </row>
    <row r="565" spans="12:20" ht="16" thickBot="1">
      <c r="L565" s="30" t="str">
        <f t="shared" si="16"/>
        <v>EN60898</v>
      </c>
      <c r="M565" t="s">
        <v>151</v>
      </c>
      <c r="N565">
        <v>25</v>
      </c>
      <c r="O565" t="s">
        <v>165</v>
      </c>
      <c r="P565" t="s">
        <v>166</v>
      </c>
      <c r="Q565">
        <f>INDEX('Lister og genveje'!$E$39:$I$46,MATCH(M565,'Lister og genveje'!$D$39:$D$46,0),MATCH(P565,'Lister og genveje'!$E$38:$I$38,0),1)</f>
        <v>30</v>
      </c>
      <c r="R565" s="27">
        <f t="shared" si="17"/>
        <v>10</v>
      </c>
      <c r="S565" s="27">
        <f t="shared" si="18"/>
        <v>14</v>
      </c>
      <c r="T565" s="31">
        <f>VLOOKUP(M565,'Lister og genveje'!$D$39:$J$46,7,0)</f>
        <v>0.5</v>
      </c>
    </row>
    <row r="566" spans="12:20" ht="16" thickBot="1">
      <c r="L566" s="30" t="str">
        <f t="shared" si="16"/>
        <v>EN60898</v>
      </c>
      <c r="M566" t="s">
        <v>151</v>
      </c>
      <c r="N566">
        <v>32</v>
      </c>
      <c r="O566" t="s">
        <v>165</v>
      </c>
      <c r="P566" t="s">
        <v>166</v>
      </c>
      <c r="Q566">
        <f>INDEX('Lister og genveje'!$E$39:$I$46,MATCH(M566,'Lister og genveje'!$D$39:$D$46,0),MATCH(P566,'Lister og genveje'!$E$38:$I$38,0),1)</f>
        <v>30</v>
      </c>
      <c r="R566" s="27">
        <f t="shared" si="17"/>
        <v>10</v>
      </c>
      <c r="S566" s="27">
        <f t="shared" si="18"/>
        <v>14</v>
      </c>
      <c r="T566" s="31">
        <f>VLOOKUP(M566,'Lister og genveje'!$D$39:$J$46,7,0)</f>
        <v>0.5</v>
      </c>
    </row>
    <row r="567" spans="12:20" ht="16" thickBot="1">
      <c r="L567" s="30" t="str">
        <f t="shared" si="16"/>
        <v>EN60898</v>
      </c>
      <c r="M567" t="s">
        <v>151</v>
      </c>
      <c r="N567">
        <v>40</v>
      </c>
      <c r="O567" t="s">
        <v>165</v>
      </c>
      <c r="P567" t="s">
        <v>166</v>
      </c>
      <c r="Q567">
        <f>INDEX('Lister og genveje'!$E$39:$I$46,MATCH(M567,'Lister og genveje'!$D$39:$D$46,0),MATCH(P567,'Lister og genveje'!$E$38:$I$38,0),1)</f>
        <v>30</v>
      </c>
      <c r="R567" s="27">
        <f t="shared" si="17"/>
        <v>10</v>
      </c>
      <c r="S567" s="27">
        <f t="shared" si="18"/>
        <v>14</v>
      </c>
      <c r="T567" s="31">
        <f>VLOOKUP(M567,'Lister og genveje'!$D$39:$J$46,7,0)</f>
        <v>0.5</v>
      </c>
    </row>
    <row r="568" spans="12:20" ht="16" thickBot="1">
      <c r="L568" s="30" t="str">
        <f t="shared" ref="L568:L596" si="19">$E$54</f>
        <v>EN60898</v>
      </c>
      <c r="M568" t="s">
        <v>151</v>
      </c>
      <c r="N568">
        <v>50</v>
      </c>
      <c r="O568" t="s">
        <v>165</v>
      </c>
      <c r="P568" t="s">
        <v>166</v>
      </c>
      <c r="Q568">
        <f>INDEX('Lister og genveje'!$E$39:$I$46,MATCH(M568,'Lister og genveje'!$D$39:$D$46,0),MATCH(P568,'Lister og genveje'!$E$38:$I$38,0),1)</f>
        <v>30</v>
      </c>
      <c r="R568" s="27">
        <f t="shared" ref="R568:R596" si="20">VLOOKUP(O568,$F$54:$H$56,2,FALSE)</f>
        <v>10</v>
      </c>
      <c r="S568" s="27">
        <f t="shared" ref="S568:S596" si="21">VLOOKUP(O568,$F$54:$H$56,3,FALSE)</f>
        <v>14</v>
      </c>
      <c r="T568" s="31">
        <f>VLOOKUP(M568,'Lister og genveje'!$D$39:$J$46,7,0)</f>
        <v>0.5</v>
      </c>
    </row>
    <row r="569" spans="12:20" ht="16" thickBot="1">
      <c r="L569" s="30" t="str">
        <f t="shared" si="19"/>
        <v>EN60898</v>
      </c>
      <c r="M569" t="s">
        <v>151</v>
      </c>
      <c r="N569">
        <v>63</v>
      </c>
      <c r="O569" t="s">
        <v>165</v>
      </c>
      <c r="P569" t="s">
        <v>166</v>
      </c>
      <c r="Q569">
        <f>INDEX('Lister og genveje'!$E$39:$I$46,MATCH(M569,'Lister og genveje'!$D$39:$D$46,0),MATCH(P569,'Lister og genveje'!$E$38:$I$38,0),1)</f>
        <v>30</v>
      </c>
      <c r="R569" s="27">
        <f t="shared" si="20"/>
        <v>10</v>
      </c>
      <c r="S569" s="27">
        <f t="shared" si="21"/>
        <v>14</v>
      </c>
      <c r="T569" s="31">
        <f>VLOOKUP(M569,'Lister og genveje'!$D$39:$J$46,7,0)</f>
        <v>0.5</v>
      </c>
    </row>
    <row r="570" spans="12:20" ht="16" thickBot="1">
      <c r="L570" s="30" t="str">
        <f t="shared" si="19"/>
        <v>EN60898</v>
      </c>
      <c r="M570" t="s">
        <v>151</v>
      </c>
      <c r="N570">
        <v>80</v>
      </c>
      <c r="O570" t="s">
        <v>165</v>
      </c>
      <c r="P570" t="s">
        <v>166</v>
      </c>
      <c r="Q570">
        <f>INDEX('Lister og genveje'!$E$39:$I$46,MATCH(M570,'Lister og genveje'!$D$39:$D$46,0),MATCH(P570,'Lister og genveje'!$E$38:$I$38,0),1)</f>
        <v>30</v>
      </c>
      <c r="R570" s="27">
        <f t="shared" si="20"/>
        <v>10</v>
      </c>
      <c r="S570" s="27">
        <f t="shared" si="21"/>
        <v>14</v>
      </c>
      <c r="T570" s="31">
        <f>VLOOKUP(M570,'Lister og genveje'!$D$39:$J$46,7,0)</f>
        <v>0.5</v>
      </c>
    </row>
    <row r="571" spans="12:20" ht="16" thickBot="1">
      <c r="L571" s="30" t="str">
        <f t="shared" si="19"/>
        <v>EN60898</v>
      </c>
      <c r="M571" t="s">
        <v>151</v>
      </c>
      <c r="N571">
        <v>100</v>
      </c>
      <c r="O571" t="s">
        <v>165</v>
      </c>
      <c r="P571" t="s">
        <v>166</v>
      </c>
      <c r="Q571">
        <f>INDEX('Lister og genveje'!$E$39:$I$46,MATCH(M571,'Lister og genveje'!$D$39:$D$46,0),MATCH(P571,'Lister og genveje'!$E$38:$I$38,0),1)</f>
        <v>30</v>
      </c>
      <c r="R571" s="27">
        <f t="shared" si="20"/>
        <v>10</v>
      </c>
      <c r="S571" s="27">
        <f t="shared" si="21"/>
        <v>14</v>
      </c>
      <c r="T571" s="31">
        <f>VLOOKUP(M571,'Lister og genveje'!$D$39:$J$46,7,0)</f>
        <v>0.5</v>
      </c>
    </row>
    <row r="572" spans="12:20" ht="16" thickBot="1">
      <c r="L572" s="30" t="str">
        <f t="shared" si="19"/>
        <v>EN60898</v>
      </c>
      <c r="M572" t="s">
        <v>151</v>
      </c>
      <c r="N572">
        <v>125</v>
      </c>
      <c r="O572" t="s">
        <v>165</v>
      </c>
      <c r="P572" t="s">
        <v>166</v>
      </c>
      <c r="Q572">
        <f>INDEX('Lister og genveje'!$E$39:$I$46,MATCH(M572,'Lister og genveje'!$D$39:$D$46,0),MATCH(P572,'Lister og genveje'!$E$38:$I$38,0),1)</f>
        <v>30</v>
      </c>
      <c r="R572" s="27">
        <f t="shared" si="20"/>
        <v>10</v>
      </c>
      <c r="S572" s="27">
        <f t="shared" si="21"/>
        <v>14</v>
      </c>
      <c r="T572" s="31">
        <f>VLOOKUP(M572,'Lister og genveje'!$D$39:$J$46,7,0)</f>
        <v>0.5</v>
      </c>
    </row>
    <row r="573" spans="12:20" ht="16" thickBot="1">
      <c r="L573" s="30" t="str">
        <f t="shared" si="19"/>
        <v>EN60898</v>
      </c>
      <c r="M573" t="s">
        <v>152</v>
      </c>
      <c r="N573">
        <v>10</v>
      </c>
      <c r="O573" t="s">
        <v>165</v>
      </c>
      <c r="P573" t="s">
        <v>164</v>
      </c>
      <c r="Q573">
        <f>INDEX('Lister og genveje'!$E$39:$I$46,MATCH(M573,'Lister og genveje'!$D$39:$D$46,0),MATCH(P573,'Lister og genveje'!$E$38:$I$38,0),1)</f>
        <v>4.5</v>
      </c>
      <c r="R573" s="27">
        <f t="shared" si="20"/>
        <v>10</v>
      </c>
      <c r="S573" s="27">
        <f t="shared" si="21"/>
        <v>14</v>
      </c>
      <c r="T573" s="31">
        <f>VLOOKUP(M573,'Lister og genveje'!$D$39:$J$46,7,0)</f>
        <v>0.75</v>
      </c>
    </row>
    <row r="574" spans="12:20" ht="16" thickBot="1">
      <c r="L574" s="30" t="str">
        <f t="shared" si="19"/>
        <v>EN60898</v>
      </c>
      <c r="M574" t="s">
        <v>152</v>
      </c>
      <c r="N574">
        <v>13</v>
      </c>
      <c r="O574" t="s">
        <v>165</v>
      </c>
      <c r="P574" t="s">
        <v>164</v>
      </c>
      <c r="Q574">
        <f>INDEX('Lister og genveje'!$E$39:$I$46,MATCH(M574,'Lister og genveje'!$D$39:$D$46,0),MATCH(P574,'Lister og genveje'!$E$38:$I$38,0),1)</f>
        <v>4.5</v>
      </c>
      <c r="R574" s="27">
        <f t="shared" si="20"/>
        <v>10</v>
      </c>
      <c r="S574" s="27">
        <f t="shared" si="21"/>
        <v>14</v>
      </c>
      <c r="T574" s="31">
        <f>VLOOKUP(M574,'Lister og genveje'!$D$39:$J$46,7,0)</f>
        <v>0.75</v>
      </c>
    </row>
    <row r="575" spans="12:20" ht="16" thickBot="1">
      <c r="L575" s="30" t="str">
        <f t="shared" si="19"/>
        <v>EN60898</v>
      </c>
      <c r="M575" t="s">
        <v>152</v>
      </c>
      <c r="N575">
        <v>16</v>
      </c>
      <c r="O575" t="s">
        <v>165</v>
      </c>
      <c r="P575" t="s">
        <v>164</v>
      </c>
      <c r="Q575">
        <f>INDEX('Lister og genveje'!$E$39:$I$46,MATCH(M575,'Lister og genveje'!$D$39:$D$46,0),MATCH(P575,'Lister og genveje'!$E$38:$I$38,0),1)</f>
        <v>4.5</v>
      </c>
      <c r="R575" s="27">
        <f t="shared" si="20"/>
        <v>10</v>
      </c>
      <c r="S575" s="27">
        <f t="shared" si="21"/>
        <v>14</v>
      </c>
      <c r="T575" s="31">
        <f>VLOOKUP(M575,'Lister og genveje'!$D$39:$J$46,7,0)</f>
        <v>0.75</v>
      </c>
    </row>
    <row r="576" spans="12:20" ht="16" thickBot="1">
      <c r="L576" s="30" t="str">
        <f t="shared" si="19"/>
        <v>EN60898</v>
      </c>
      <c r="M576" t="s">
        <v>152</v>
      </c>
      <c r="N576">
        <v>20</v>
      </c>
      <c r="O576" t="s">
        <v>165</v>
      </c>
      <c r="P576" t="s">
        <v>164</v>
      </c>
      <c r="Q576">
        <f>INDEX('Lister og genveje'!$E$39:$I$46,MATCH(M576,'Lister og genveje'!$D$39:$D$46,0),MATCH(P576,'Lister og genveje'!$E$38:$I$38,0),1)</f>
        <v>4.5</v>
      </c>
      <c r="R576" s="27">
        <f t="shared" si="20"/>
        <v>10</v>
      </c>
      <c r="S576" s="27">
        <f t="shared" si="21"/>
        <v>14</v>
      </c>
      <c r="T576" s="31">
        <f>VLOOKUP(M576,'Lister og genveje'!$D$39:$J$46,7,0)</f>
        <v>0.75</v>
      </c>
    </row>
    <row r="577" spans="12:20" ht="16" thickBot="1">
      <c r="L577" s="30" t="str">
        <f t="shared" si="19"/>
        <v>EN60898</v>
      </c>
      <c r="M577" t="s">
        <v>152</v>
      </c>
      <c r="N577">
        <v>25</v>
      </c>
      <c r="O577" t="s">
        <v>165</v>
      </c>
      <c r="P577" t="s">
        <v>164</v>
      </c>
      <c r="Q577">
        <f>INDEX('Lister og genveje'!$E$39:$I$46,MATCH(M577,'Lister og genveje'!$D$39:$D$46,0),MATCH(P577,'Lister og genveje'!$E$38:$I$38,0),1)</f>
        <v>4.5</v>
      </c>
      <c r="R577" s="27">
        <f t="shared" si="20"/>
        <v>10</v>
      </c>
      <c r="S577" s="27">
        <f t="shared" si="21"/>
        <v>14</v>
      </c>
      <c r="T577" s="31">
        <f>VLOOKUP(M577,'Lister og genveje'!$D$39:$J$46,7,0)</f>
        <v>0.75</v>
      </c>
    </row>
    <row r="578" spans="12:20" ht="16" thickBot="1">
      <c r="L578" s="30" t="str">
        <f t="shared" si="19"/>
        <v>EN60898</v>
      </c>
      <c r="M578" t="s">
        <v>152</v>
      </c>
      <c r="N578">
        <v>32</v>
      </c>
      <c r="O578" t="s">
        <v>165</v>
      </c>
      <c r="P578" t="s">
        <v>164</v>
      </c>
      <c r="Q578">
        <f>INDEX('Lister og genveje'!$E$39:$I$46,MATCH(M578,'Lister og genveje'!$D$39:$D$46,0),MATCH(P578,'Lister og genveje'!$E$38:$I$38,0),1)</f>
        <v>4.5</v>
      </c>
      <c r="R578" s="27">
        <f t="shared" si="20"/>
        <v>10</v>
      </c>
      <c r="S578" s="27">
        <f t="shared" si="21"/>
        <v>14</v>
      </c>
      <c r="T578" s="31">
        <f>VLOOKUP(M578,'Lister og genveje'!$D$39:$J$46,7,0)</f>
        <v>0.75</v>
      </c>
    </row>
    <row r="579" spans="12:20" ht="16" thickBot="1">
      <c r="L579" s="30" t="str">
        <f t="shared" si="19"/>
        <v>EN60898</v>
      </c>
      <c r="M579" t="s">
        <v>152</v>
      </c>
      <c r="N579">
        <v>40</v>
      </c>
      <c r="O579" t="s">
        <v>165</v>
      </c>
      <c r="P579" t="s">
        <v>164</v>
      </c>
      <c r="Q579">
        <f>INDEX('Lister og genveje'!$E$39:$I$46,MATCH(M579,'Lister og genveje'!$D$39:$D$46,0),MATCH(P579,'Lister og genveje'!$E$38:$I$38,0),1)</f>
        <v>4.5</v>
      </c>
      <c r="R579" s="27">
        <f t="shared" si="20"/>
        <v>10</v>
      </c>
      <c r="S579" s="27">
        <f t="shared" si="21"/>
        <v>14</v>
      </c>
      <c r="T579" s="31">
        <f>VLOOKUP(M579,'Lister og genveje'!$D$39:$J$46,7,0)</f>
        <v>0.75</v>
      </c>
    </row>
    <row r="580" spans="12:20" ht="16" thickBot="1">
      <c r="L580" s="30" t="str">
        <f t="shared" si="19"/>
        <v>EN60898</v>
      </c>
      <c r="M580" t="s">
        <v>152</v>
      </c>
      <c r="N580">
        <v>50</v>
      </c>
      <c r="O580" t="s">
        <v>165</v>
      </c>
      <c r="P580" t="s">
        <v>164</v>
      </c>
      <c r="Q580">
        <f>INDEX('Lister og genveje'!$E$39:$I$46,MATCH(M580,'Lister og genveje'!$D$39:$D$46,0),MATCH(P580,'Lister og genveje'!$E$38:$I$38,0),1)</f>
        <v>4.5</v>
      </c>
      <c r="R580" s="27">
        <f t="shared" si="20"/>
        <v>10</v>
      </c>
      <c r="S580" s="27">
        <f t="shared" si="21"/>
        <v>14</v>
      </c>
      <c r="T580" s="31">
        <f>VLOOKUP(M580,'Lister og genveje'!$D$39:$J$46,7,0)</f>
        <v>0.75</v>
      </c>
    </row>
    <row r="581" spans="12:20" ht="16" thickBot="1">
      <c r="L581" s="30" t="str">
        <f t="shared" si="19"/>
        <v>EN60898</v>
      </c>
      <c r="M581" t="s">
        <v>152</v>
      </c>
      <c r="N581">
        <v>63</v>
      </c>
      <c r="O581" t="s">
        <v>165</v>
      </c>
      <c r="P581" t="s">
        <v>164</v>
      </c>
      <c r="Q581">
        <f>INDEX('Lister og genveje'!$E$39:$I$46,MATCH(M581,'Lister og genveje'!$D$39:$D$46,0),MATCH(P581,'Lister og genveje'!$E$38:$I$38,0),1)</f>
        <v>4.5</v>
      </c>
      <c r="R581" s="27">
        <f t="shared" si="20"/>
        <v>10</v>
      </c>
      <c r="S581" s="27">
        <f t="shared" si="21"/>
        <v>14</v>
      </c>
      <c r="T581" s="31">
        <f>VLOOKUP(M581,'Lister og genveje'!$D$39:$J$46,7,0)</f>
        <v>0.75</v>
      </c>
    </row>
    <row r="582" spans="12:20" ht="16" thickBot="1">
      <c r="L582" s="30" t="str">
        <f t="shared" si="19"/>
        <v>EN60898</v>
      </c>
      <c r="M582" t="s">
        <v>152</v>
      </c>
      <c r="N582">
        <v>80</v>
      </c>
      <c r="O582" t="s">
        <v>165</v>
      </c>
      <c r="P582" t="s">
        <v>164</v>
      </c>
      <c r="Q582">
        <f>INDEX('Lister og genveje'!$E$39:$I$46,MATCH(M582,'Lister og genveje'!$D$39:$D$46,0),MATCH(P582,'Lister og genveje'!$E$38:$I$38,0),1)</f>
        <v>4.5</v>
      </c>
      <c r="R582" s="27">
        <f t="shared" si="20"/>
        <v>10</v>
      </c>
      <c r="S582" s="27">
        <f t="shared" si="21"/>
        <v>14</v>
      </c>
      <c r="T582" s="31">
        <f>VLOOKUP(M582,'Lister og genveje'!$D$39:$J$46,7,0)</f>
        <v>0.75</v>
      </c>
    </row>
    <row r="583" spans="12:20" ht="16" thickBot="1">
      <c r="L583" s="30" t="str">
        <f t="shared" si="19"/>
        <v>EN60898</v>
      </c>
      <c r="M583" t="s">
        <v>152</v>
      </c>
      <c r="N583">
        <v>100</v>
      </c>
      <c r="O583" t="s">
        <v>165</v>
      </c>
      <c r="P583" t="s">
        <v>164</v>
      </c>
      <c r="Q583">
        <f>INDEX('Lister og genveje'!$E$39:$I$46,MATCH(M583,'Lister og genveje'!$D$39:$D$46,0),MATCH(P583,'Lister og genveje'!$E$38:$I$38,0),1)</f>
        <v>4.5</v>
      </c>
      <c r="R583" s="27">
        <f t="shared" si="20"/>
        <v>10</v>
      </c>
      <c r="S583" s="27">
        <f t="shared" si="21"/>
        <v>14</v>
      </c>
      <c r="T583" s="31">
        <f>VLOOKUP(M583,'Lister og genveje'!$D$39:$J$46,7,0)</f>
        <v>0.75</v>
      </c>
    </row>
    <row r="584" spans="12:20" ht="16" thickBot="1">
      <c r="L584" s="30" t="str">
        <f t="shared" si="19"/>
        <v>EN60898</v>
      </c>
      <c r="M584" t="s">
        <v>152</v>
      </c>
      <c r="N584">
        <v>125</v>
      </c>
      <c r="O584" t="s">
        <v>165</v>
      </c>
      <c r="P584" t="s">
        <v>164</v>
      </c>
      <c r="Q584">
        <f>INDEX('Lister og genveje'!$E$39:$I$46,MATCH(M584,'Lister og genveje'!$D$39:$D$46,0),MATCH(P584,'Lister og genveje'!$E$38:$I$38,0),1)</f>
        <v>4.5</v>
      </c>
      <c r="R584" s="27">
        <f t="shared" si="20"/>
        <v>10</v>
      </c>
      <c r="S584" s="27">
        <f t="shared" si="21"/>
        <v>14</v>
      </c>
      <c r="T584" s="31">
        <f>VLOOKUP(M584,'Lister og genveje'!$D$39:$J$46,7,0)</f>
        <v>0.75</v>
      </c>
    </row>
    <row r="585" spans="12:20" ht="16" thickBot="1">
      <c r="L585" s="30" t="str">
        <f t="shared" si="19"/>
        <v>EN60898</v>
      </c>
      <c r="M585" t="s">
        <v>152</v>
      </c>
      <c r="N585">
        <v>10</v>
      </c>
      <c r="O585" t="s">
        <v>165</v>
      </c>
      <c r="P585" t="s">
        <v>166</v>
      </c>
      <c r="Q585">
        <f>INDEX('Lister og genveje'!$E$39:$I$46,MATCH(M585,'Lister og genveje'!$D$39:$D$46,0),MATCH(P585,'Lister og genveje'!$E$38:$I$38,0),1)</f>
        <v>25</v>
      </c>
      <c r="R585" s="27">
        <f t="shared" si="20"/>
        <v>10</v>
      </c>
      <c r="S585" s="27">
        <f t="shared" si="21"/>
        <v>14</v>
      </c>
      <c r="T585" s="31">
        <f>VLOOKUP(M585,'Lister og genveje'!$D$39:$J$46,7,0)</f>
        <v>0.75</v>
      </c>
    </row>
    <row r="586" spans="12:20" ht="16" thickBot="1">
      <c r="L586" s="30" t="str">
        <f t="shared" si="19"/>
        <v>EN60898</v>
      </c>
      <c r="M586" t="s">
        <v>152</v>
      </c>
      <c r="N586">
        <v>13</v>
      </c>
      <c r="O586" t="s">
        <v>165</v>
      </c>
      <c r="P586" t="s">
        <v>166</v>
      </c>
      <c r="Q586">
        <f>INDEX('Lister og genveje'!$E$39:$I$46,MATCH(M586,'Lister og genveje'!$D$39:$D$46,0),MATCH(P586,'Lister og genveje'!$E$38:$I$38,0),1)</f>
        <v>25</v>
      </c>
      <c r="R586" s="27">
        <f t="shared" si="20"/>
        <v>10</v>
      </c>
      <c r="S586" s="27">
        <f t="shared" si="21"/>
        <v>14</v>
      </c>
      <c r="T586" s="31">
        <f>VLOOKUP(M586,'Lister og genveje'!$D$39:$J$46,7,0)</f>
        <v>0.75</v>
      </c>
    </row>
    <row r="587" spans="12:20" ht="16" thickBot="1">
      <c r="L587" s="30" t="str">
        <f t="shared" si="19"/>
        <v>EN60898</v>
      </c>
      <c r="M587" t="s">
        <v>152</v>
      </c>
      <c r="N587">
        <v>16</v>
      </c>
      <c r="O587" t="s">
        <v>165</v>
      </c>
      <c r="P587" t="s">
        <v>166</v>
      </c>
      <c r="Q587">
        <f>INDEX('Lister og genveje'!$E$39:$I$46,MATCH(M587,'Lister og genveje'!$D$39:$D$46,0),MATCH(P587,'Lister og genveje'!$E$38:$I$38,0),1)</f>
        <v>25</v>
      </c>
      <c r="R587" s="27">
        <f t="shared" si="20"/>
        <v>10</v>
      </c>
      <c r="S587" s="27">
        <f t="shared" si="21"/>
        <v>14</v>
      </c>
      <c r="T587" s="31">
        <f>VLOOKUP(M587,'Lister og genveje'!$D$39:$J$46,7,0)</f>
        <v>0.75</v>
      </c>
    </row>
    <row r="588" spans="12:20" ht="16" thickBot="1">
      <c r="L588" s="30" t="str">
        <f t="shared" si="19"/>
        <v>EN60898</v>
      </c>
      <c r="M588" t="s">
        <v>152</v>
      </c>
      <c r="N588">
        <v>20</v>
      </c>
      <c r="O588" t="s">
        <v>165</v>
      </c>
      <c r="P588" t="s">
        <v>166</v>
      </c>
      <c r="Q588">
        <f>INDEX('Lister og genveje'!$E$39:$I$46,MATCH(M588,'Lister og genveje'!$D$39:$D$46,0),MATCH(P588,'Lister og genveje'!$E$38:$I$38,0),1)</f>
        <v>25</v>
      </c>
      <c r="R588" s="27">
        <f t="shared" si="20"/>
        <v>10</v>
      </c>
      <c r="S588" s="27">
        <f t="shared" si="21"/>
        <v>14</v>
      </c>
      <c r="T588" s="31">
        <f>VLOOKUP(M588,'Lister og genveje'!$D$39:$J$46,7,0)</f>
        <v>0.75</v>
      </c>
    </row>
    <row r="589" spans="12:20" ht="16" thickBot="1">
      <c r="L589" s="30" t="str">
        <f t="shared" si="19"/>
        <v>EN60898</v>
      </c>
      <c r="M589" t="s">
        <v>152</v>
      </c>
      <c r="N589">
        <v>25</v>
      </c>
      <c r="O589" t="s">
        <v>165</v>
      </c>
      <c r="P589" t="s">
        <v>166</v>
      </c>
      <c r="Q589">
        <f>INDEX('Lister og genveje'!$E$39:$I$46,MATCH(M589,'Lister og genveje'!$D$39:$D$46,0),MATCH(P589,'Lister og genveje'!$E$38:$I$38,0),1)</f>
        <v>25</v>
      </c>
      <c r="R589" s="27">
        <f t="shared" si="20"/>
        <v>10</v>
      </c>
      <c r="S589" s="27">
        <f t="shared" si="21"/>
        <v>14</v>
      </c>
      <c r="T589" s="31">
        <f>VLOOKUP(M589,'Lister og genveje'!$D$39:$J$46,7,0)</f>
        <v>0.75</v>
      </c>
    </row>
    <row r="590" spans="12:20" ht="16" thickBot="1">
      <c r="L590" s="30" t="str">
        <f t="shared" si="19"/>
        <v>EN60898</v>
      </c>
      <c r="M590" t="s">
        <v>152</v>
      </c>
      <c r="N590">
        <v>32</v>
      </c>
      <c r="O590" t="s">
        <v>165</v>
      </c>
      <c r="P590" t="s">
        <v>166</v>
      </c>
      <c r="Q590">
        <f>INDEX('Lister og genveje'!$E$39:$I$46,MATCH(M590,'Lister og genveje'!$D$39:$D$46,0),MATCH(P590,'Lister og genveje'!$E$38:$I$38,0),1)</f>
        <v>25</v>
      </c>
      <c r="R590" s="27">
        <f t="shared" si="20"/>
        <v>10</v>
      </c>
      <c r="S590" s="27">
        <f t="shared" si="21"/>
        <v>14</v>
      </c>
      <c r="T590" s="31">
        <f>VLOOKUP(M590,'Lister og genveje'!$D$39:$J$46,7,0)</f>
        <v>0.75</v>
      </c>
    </row>
    <row r="591" spans="12:20" ht="16" thickBot="1">
      <c r="L591" s="30" t="str">
        <f t="shared" si="19"/>
        <v>EN60898</v>
      </c>
      <c r="M591" t="s">
        <v>152</v>
      </c>
      <c r="N591">
        <v>40</v>
      </c>
      <c r="O591" t="s">
        <v>165</v>
      </c>
      <c r="P591" t="s">
        <v>166</v>
      </c>
      <c r="Q591">
        <f>INDEX('Lister og genveje'!$E$39:$I$46,MATCH(M591,'Lister og genveje'!$D$39:$D$46,0),MATCH(P591,'Lister og genveje'!$E$38:$I$38,0),1)</f>
        <v>25</v>
      </c>
      <c r="R591" s="27">
        <f t="shared" si="20"/>
        <v>10</v>
      </c>
      <c r="S591" s="27">
        <f t="shared" si="21"/>
        <v>14</v>
      </c>
      <c r="T591" s="31">
        <f>VLOOKUP(M591,'Lister og genveje'!$D$39:$J$46,7,0)</f>
        <v>0.75</v>
      </c>
    </row>
    <row r="592" spans="12:20" ht="16" thickBot="1">
      <c r="L592" s="30" t="str">
        <f t="shared" si="19"/>
        <v>EN60898</v>
      </c>
      <c r="M592" t="s">
        <v>152</v>
      </c>
      <c r="N592">
        <v>50</v>
      </c>
      <c r="O592" t="s">
        <v>165</v>
      </c>
      <c r="P592" t="s">
        <v>166</v>
      </c>
      <c r="Q592">
        <f>INDEX('Lister og genveje'!$E$39:$I$46,MATCH(M592,'Lister og genveje'!$D$39:$D$46,0),MATCH(P592,'Lister og genveje'!$E$38:$I$38,0),1)</f>
        <v>25</v>
      </c>
      <c r="R592" s="27">
        <f t="shared" si="20"/>
        <v>10</v>
      </c>
      <c r="S592" s="27">
        <f t="shared" si="21"/>
        <v>14</v>
      </c>
      <c r="T592" s="31">
        <f>VLOOKUP(M592,'Lister og genveje'!$D$39:$J$46,7,0)</f>
        <v>0.75</v>
      </c>
    </row>
    <row r="593" spans="12:20" ht="16" thickBot="1">
      <c r="L593" s="30" t="str">
        <f t="shared" si="19"/>
        <v>EN60898</v>
      </c>
      <c r="M593" t="s">
        <v>152</v>
      </c>
      <c r="N593">
        <v>63</v>
      </c>
      <c r="O593" t="s">
        <v>165</v>
      </c>
      <c r="P593" t="s">
        <v>166</v>
      </c>
      <c r="Q593">
        <f>INDEX('Lister og genveje'!$E$39:$I$46,MATCH(M593,'Lister og genveje'!$D$39:$D$46,0),MATCH(P593,'Lister og genveje'!$E$38:$I$38,0),1)</f>
        <v>25</v>
      </c>
      <c r="R593" s="27">
        <f t="shared" si="20"/>
        <v>10</v>
      </c>
      <c r="S593" s="27">
        <f t="shared" si="21"/>
        <v>14</v>
      </c>
      <c r="T593" s="31">
        <f>VLOOKUP(M593,'Lister og genveje'!$D$39:$J$46,7,0)</f>
        <v>0.75</v>
      </c>
    </row>
    <row r="594" spans="12:20" ht="16" thickBot="1">
      <c r="L594" s="30" t="str">
        <f t="shared" si="19"/>
        <v>EN60898</v>
      </c>
      <c r="M594" t="s">
        <v>152</v>
      </c>
      <c r="N594">
        <v>80</v>
      </c>
      <c r="O594" t="s">
        <v>165</v>
      </c>
      <c r="P594" t="s">
        <v>166</v>
      </c>
      <c r="Q594">
        <f>INDEX('Lister og genveje'!$E$39:$I$46,MATCH(M594,'Lister og genveje'!$D$39:$D$46,0),MATCH(P594,'Lister og genveje'!$E$38:$I$38,0),1)</f>
        <v>25</v>
      </c>
      <c r="R594" s="27">
        <f t="shared" si="20"/>
        <v>10</v>
      </c>
      <c r="S594" s="27">
        <f t="shared" si="21"/>
        <v>14</v>
      </c>
      <c r="T594" s="31">
        <f>VLOOKUP(M594,'Lister og genveje'!$D$39:$J$46,7,0)</f>
        <v>0.75</v>
      </c>
    </row>
    <row r="595" spans="12:20" ht="16" thickBot="1">
      <c r="L595" s="30" t="str">
        <f t="shared" si="19"/>
        <v>EN60898</v>
      </c>
      <c r="M595" t="s">
        <v>152</v>
      </c>
      <c r="N595">
        <v>100</v>
      </c>
      <c r="O595" t="s">
        <v>165</v>
      </c>
      <c r="P595" t="s">
        <v>166</v>
      </c>
      <c r="Q595">
        <f>INDEX('Lister og genveje'!$E$39:$I$46,MATCH(M595,'Lister og genveje'!$D$39:$D$46,0),MATCH(P595,'Lister og genveje'!$E$38:$I$38,0),1)</f>
        <v>25</v>
      </c>
      <c r="R595" s="27">
        <f t="shared" si="20"/>
        <v>10</v>
      </c>
      <c r="S595" s="27">
        <f t="shared" si="21"/>
        <v>14</v>
      </c>
      <c r="T595" s="31">
        <f>VLOOKUP(M595,'Lister og genveje'!$D$39:$J$46,7,0)</f>
        <v>0.75</v>
      </c>
    </row>
    <row r="596" spans="12:20" ht="16" thickBot="1">
      <c r="L596" s="33" t="str">
        <f t="shared" si="19"/>
        <v>EN60898</v>
      </c>
      <c r="M596" s="34" t="s">
        <v>152</v>
      </c>
      <c r="N596" s="34">
        <v>125</v>
      </c>
      <c r="O596" s="34" t="s">
        <v>165</v>
      </c>
      <c r="P596" s="34" t="s">
        <v>166</v>
      </c>
      <c r="Q596" s="34">
        <f>INDEX('Lister og genveje'!$E$39:$I$46,MATCH(M596,'Lister og genveje'!$D$39:$D$46,0),MATCH(P596,'Lister og genveje'!$E$38:$I$38,0),1)</f>
        <v>25</v>
      </c>
      <c r="R596" s="27">
        <f t="shared" si="20"/>
        <v>10</v>
      </c>
      <c r="S596" s="27">
        <f t="shared" si="21"/>
        <v>14</v>
      </c>
      <c r="T596" s="35">
        <f>VLOOKUP(M596,'Lister og genveje'!$D$39:$J$46,7,0)</f>
        <v>0.75</v>
      </c>
    </row>
    <row r="597" spans="12:20">
      <c r="L597" s="78" t="s">
        <v>153</v>
      </c>
      <c r="M597" t="s">
        <v>148</v>
      </c>
      <c r="N597">
        <v>1</v>
      </c>
      <c r="O597" t="s">
        <v>38</v>
      </c>
      <c r="P597" t="str">
        <f>'Lister og genveje'!$F$38</f>
        <v>1 Pol</v>
      </c>
      <c r="Q597">
        <f>INDEX('Lister og genveje'!$E$39:$I$46,MATCH(M597,'Lister og genveje'!$D$39:$D$46,0),MATCH(P597,'Lister og genveje'!$E$38:$I$38,0),1)</f>
        <v>3</v>
      </c>
      <c r="R597">
        <f>HLOOKUP(O597,'Lister og genveje'!$E$50:$G$52,2,0)</f>
        <v>3.2</v>
      </c>
      <c r="S597">
        <f>HLOOKUP(O597,'Lister og genveje'!$E$50:$G$52,3,0)</f>
        <v>4.8</v>
      </c>
      <c r="T597">
        <f>VLOOKUP(M597,'Lister og genveje'!$D$39:$J$46,7,0)</f>
        <v>0.5</v>
      </c>
    </row>
    <row r="598" spans="12:20">
      <c r="L598" s="78" t="s">
        <v>153</v>
      </c>
      <c r="M598" t="s">
        <v>148</v>
      </c>
      <c r="N598">
        <v>1</v>
      </c>
      <c r="O598" t="s">
        <v>38</v>
      </c>
      <c r="P598" t="str">
        <f>'Lister og genveje'!$F$38</f>
        <v>1 Pol</v>
      </c>
      <c r="Q598">
        <f>INDEX('Lister og genveje'!$E$39:$I$46,MATCH(M598,'Lister og genveje'!$D$39:$D$46,0),MATCH(P598,'Lister og genveje'!$E$38:$I$38,0),1)</f>
        <v>3</v>
      </c>
      <c r="R598">
        <f>HLOOKUP(O598,'Lister og genveje'!$E$50:$G$52,2,0)</f>
        <v>3.2</v>
      </c>
      <c r="S598">
        <f>HLOOKUP(O598,'Lister og genveje'!$E$50:$G$52,3,0)</f>
        <v>4.8</v>
      </c>
      <c r="T598">
        <f>VLOOKUP(M598,'Lister og genveje'!$D$39:$J$46,7,0)</f>
        <v>0.5</v>
      </c>
    </row>
    <row r="599" spans="12:20">
      <c r="L599" s="78" t="s">
        <v>153</v>
      </c>
      <c r="M599" t="s">
        <v>148</v>
      </c>
      <c r="N599">
        <v>2</v>
      </c>
      <c r="O599" t="s">
        <v>38</v>
      </c>
      <c r="P599" t="str">
        <f>'Lister og genveje'!$F$38</f>
        <v>1 Pol</v>
      </c>
      <c r="Q599">
        <f>INDEX('Lister og genveje'!$E$39:$I$46,MATCH(M599,'Lister og genveje'!$D$39:$D$46,0),MATCH(P599,'Lister og genveje'!$E$38:$I$38,0),1)</f>
        <v>3</v>
      </c>
      <c r="R599">
        <f>HLOOKUP(O599,'Lister og genveje'!$E$50:$G$52,2,0)</f>
        <v>3.2</v>
      </c>
      <c r="S599">
        <f>HLOOKUP(O599,'Lister og genveje'!$E$50:$G$52,3,0)</f>
        <v>4.8</v>
      </c>
      <c r="T599">
        <f>VLOOKUP(M599,'Lister og genveje'!$D$39:$J$46,7,0)</f>
        <v>0.5</v>
      </c>
    </row>
    <row r="600" spans="12:20">
      <c r="L600" s="78" t="s">
        <v>153</v>
      </c>
      <c r="M600" t="s">
        <v>148</v>
      </c>
      <c r="N600">
        <v>3</v>
      </c>
      <c r="O600" t="s">
        <v>38</v>
      </c>
      <c r="P600" t="str">
        <f>'Lister og genveje'!$F$38</f>
        <v>1 Pol</v>
      </c>
      <c r="Q600">
        <f>INDEX('Lister og genveje'!$E$39:$I$46,MATCH(M600,'Lister og genveje'!$D$39:$D$46,0),MATCH(P600,'Lister og genveje'!$E$38:$I$38,0),1)</f>
        <v>3</v>
      </c>
      <c r="R600">
        <f>HLOOKUP(O600,'Lister og genveje'!$E$50:$G$52,2,0)</f>
        <v>3.2</v>
      </c>
      <c r="S600">
        <f>HLOOKUP(O600,'Lister og genveje'!$E$50:$G$52,3,0)</f>
        <v>4.8</v>
      </c>
      <c r="T600">
        <f>VLOOKUP(M600,'Lister og genveje'!$D$39:$J$46,7,0)</f>
        <v>0.5</v>
      </c>
    </row>
    <row r="601" spans="12:20">
      <c r="L601" s="78" t="s">
        <v>153</v>
      </c>
      <c r="M601" t="s">
        <v>148</v>
      </c>
      <c r="N601">
        <v>4</v>
      </c>
      <c r="O601" t="s">
        <v>38</v>
      </c>
      <c r="P601" t="str">
        <f>'Lister og genveje'!$F$38</f>
        <v>1 Pol</v>
      </c>
      <c r="Q601">
        <f>INDEX('Lister og genveje'!$E$39:$I$46,MATCH(M601,'Lister og genveje'!$D$39:$D$46,0),MATCH(P601,'Lister og genveje'!$E$38:$I$38,0),1)</f>
        <v>3</v>
      </c>
      <c r="R601">
        <f>HLOOKUP(O601,'Lister og genveje'!$E$50:$G$52,2,0)</f>
        <v>3.2</v>
      </c>
      <c r="S601">
        <f>HLOOKUP(O601,'Lister og genveje'!$E$50:$G$52,3,0)</f>
        <v>4.8</v>
      </c>
      <c r="T601">
        <f>VLOOKUP(M601,'Lister og genveje'!$D$39:$J$46,7,0)</f>
        <v>0.5</v>
      </c>
    </row>
    <row r="602" spans="12:20">
      <c r="L602" s="78" t="s">
        <v>153</v>
      </c>
      <c r="M602" t="s">
        <v>148</v>
      </c>
      <c r="N602">
        <v>6</v>
      </c>
      <c r="O602" t="s">
        <v>38</v>
      </c>
      <c r="P602" t="str">
        <f>'Lister og genveje'!$F$38</f>
        <v>1 Pol</v>
      </c>
      <c r="Q602">
        <f>INDEX('Lister og genveje'!$E$39:$I$46,MATCH(M602,'Lister og genveje'!$D$39:$D$46,0),MATCH(P602,'Lister og genveje'!$E$38:$I$38,0),1)</f>
        <v>3</v>
      </c>
      <c r="R602">
        <f>HLOOKUP(O602,'Lister og genveje'!$E$50:$G$52,2,0)</f>
        <v>3.2</v>
      </c>
      <c r="S602">
        <f>HLOOKUP(O602,'Lister og genveje'!$E$50:$G$52,3,0)</f>
        <v>4.8</v>
      </c>
      <c r="T602">
        <f>VLOOKUP(M602,'Lister og genveje'!$D$39:$J$46,7,0)</f>
        <v>0.5</v>
      </c>
    </row>
    <row r="603" spans="12:20">
      <c r="L603" s="78" t="s">
        <v>153</v>
      </c>
      <c r="M603" t="s">
        <v>148</v>
      </c>
      <c r="N603">
        <v>10</v>
      </c>
      <c r="O603" t="s">
        <v>38</v>
      </c>
      <c r="P603" t="str">
        <f>'Lister og genveje'!$F$38</f>
        <v>1 Pol</v>
      </c>
      <c r="Q603">
        <f>INDEX('Lister og genveje'!$E$39:$I$46,MATCH(M603,'Lister og genveje'!$D$39:$D$46,0),MATCH(P603,'Lister og genveje'!$E$38:$I$38,0),1)</f>
        <v>3</v>
      </c>
      <c r="R603">
        <f>HLOOKUP(O603,'Lister og genveje'!$E$50:$G$52,2,0)</f>
        <v>3.2</v>
      </c>
      <c r="S603">
        <f>HLOOKUP(O603,'Lister og genveje'!$E$50:$G$52,3,0)</f>
        <v>4.8</v>
      </c>
      <c r="T603">
        <f>VLOOKUP(M603,'Lister og genveje'!$D$39:$J$46,7,0)</f>
        <v>0.5</v>
      </c>
    </row>
    <row r="604" spans="12:20">
      <c r="L604" s="78" t="s">
        <v>153</v>
      </c>
      <c r="M604" t="s">
        <v>148</v>
      </c>
      <c r="N604">
        <v>13</v>
      </c>
      <c r="O604" t="s">
        <v>38</v>
      </c>
      <c r="P604" t="str">
        <f>'Lister og genveje'!$F$38</f>
        <v>1 Pol</v>
      </c>
      <c r="Q604">
        <f>INDEX('Lister og genveje'!$E$39:$I$46,MATCH(M604,'Lister og genveje'!$D$39:$D$46,0),MATCH(P604,'Lister og genveje'!$E$38:$I$38,0),1)</f>
        <v>3</v>
      </c>
      <c r="R604">
        <f>HLOOKUP(O604,'Lister og genveje'!$E$50:$G$52,2,0)</f>
        <v>3.2</v>
      </c>
      <c r="S604">
        <f>HLOOKUP(O604,'Lister og genveje'!$E$50:$G$52,3,0)</f>
        <v>4.8</v>
      </c>
      <c r="T604">
        <f>VLOOKUP(M604,'Lister og genveje'!$D$39:$J$46,7,0)</f>
        <v>0.5</v>
      </c>
    </row>
    <row r="605" spans="12:20">
      <c r="L605" s="78" t="s">
        <v>153</v>
      </c>
      <c r="M605" t="s">
        <v>148</v>
      </c>
      <c r="N605">
        <v>16</v>
      </c>
      <c r="O605" t="s">
        <v>38</v>
      </c>
      <c r="P605" t="str">
        <f>'Lister og genveje'!$F$38</f>
        <v>1 Pol</v>
      </c>
      <c r="Q605">
        <f>INDEX('Lister og genveje'!$E$39:$I$46,MATCH(M605,'Lister og genveje'!$D$39:$D$46,0),MATCH(P605,'Lister og genveje'!$E$38:$I$38,0),1)</f>
        <v>3</v>
      </c>
      <c r="R605">
        <f>HLOOKUP(O605,'Lister og genveje'!$E$50:$G$52,2,0)</f>
        <v>3.2</v>
      </c>
      <c r="S605">
        <f>HLOOKUP(O605,'Lister og genveje'!$E$50:$G$52,3,0)</f>
        <v>4.8</v>
      </c>
      <c r="T605">
        <f>VLOOKUP(M605,'Lister og genveje'!$D$39:$J$46,7,0)</f>
        <v>0.5</v>
      </c>
    </row>
    <row r="606" spans="12:20">
      <c r="L606" s="78" t="s">
        <v>153</v>
      </c>
      <c r="M606" t="s">
        <v>148</v>
      </c>
      <c r="N606">
        <v>20</v>
      </c>
      <c r="O606" t="s">
        <v>38</v>
      </c>
      <c r="P606" t="str">
        <f>'Lister og genveje'!$F$38</f>
        <v>1 Pol</v>
      </c>
      <c r="Q606">
        <f>INDEX('Lister og genveje'!$E$39:$I$46,MATCH(M606,'Lister og genveje'!$D$39:$D$46,0),MATCH(P606,'Lister og genveje'!$E$38:$I$38,0),1)</f>
        <v>3</v>
      </c>
      <c r="R606">
        <f>HLOOKUP(O606,'Lister og genveje'!$E$50:$G$52,2,0)</f>
        <v>3.2</v>
      </c>
      <c r="S606">
        <f>HLOOKUP(O606,'Lister og genveje'!$E$50:$G$52,3,0)</f>
        <v>4.8</v>
      </c>
      <c r="T606">
        <f>VLOOKUP(M606,'Lister og genveje'!$D$39:$J$46,7,0)</f>
        <v>0.5</v>
      </c>
    </row>
    <row r="607" spans="12:20">
      <c r="L607" s="78" t="s">
        <v>153</v>
      </c>
      <c r="M607" t="s">
        <v>148</v>
      </c>
      <c r="N607">
        <v>25</v>
      </c>
      <c r="O607" t="s">
        <v>38</v>
      </c>
      <c r="P607" t="str">
        <f>'Lister og genveje'!$F$38</f>
        <v>1 Pol</v>
      </c>
      <c r="Q607">
        <f>INDEX('Lister og genveje'!$E$39:$I$46,MATCH(M607,'Lister og genveje'!$D$39:$D$46,0),MATCH(P607,'Lister og genveje'!$E$38:$I$38,0),1)</f>
        <v>3</v>
      </c>
      <c r="R607">
        <f>HLOOKUP(O607,'Lister og genveje'!$E$50:$G$52,2,0)</f>
        <v>3.2</v>
      </c>
      <c r="S607">
        <f>HLOOKUP(O607,'Lister og genveje'!$E$50:$G$52,3,0)</f>
        <v>4.8</v>
      </c>
      <c r="T607">
        <f>VLOOKUP(M607,'Lister og genveje'!$D$39:$J$46,7,0)</f>
        <v>0.5</v>
      </c>
    </row>
    <row r="608" spans="12:20">
      <c r="L608" s="78" t="s">
        <v>153</v>
      </c>
      <c r="M608" t="s">
        <v>148</v>
      </c>
      <c r="N608">
        <v>32</v>
      </c>
      <c r="O608" t="s">
        <v>38</v>
      </c>
      <c r="P608" t="str">
        <f>'Lister og genveje'!$F$38</f>
        <v>1 Pol</v>
      </c>
      <c r="Q608">
        <f>INDEX('Lister og genveje'!$E$39:$I$46,MATCH(M608,'Lister og genveje'!$D$39:$D$46,0),MATCH(P608,'Lister og genveje'!$E$38:$I$38,0),1)</f>
        <v>3</v>
      </c>
      <c r="R608">
        <f>HLOOKUP(O608,'Lister og genveje'!$E$50:$G$52,2,0)</f>
        <v>3.2</v>
      </c>
      <c r="S608">
        <f>HLOOKUP(O608,'Lister og genveje'!$E$50:$G$52,3,0)</f>
        <v>4.8</v>
      </c>
      <c r="T608">
        <f>VLOOKUP(M608,'Lister og genveje'!$D$39:$J$46,7,0)</f>
        <v>0.5</v>
      </c>
    </row>
    <row r="609" spans="12:20">
      <c r="L609" s="78" t="s">
        <v>153</v>
      </c>
      <c r="M609" t="s">
        <v>148</v>
      </c>
      <c r="N609">
        <v>40</v>
      </c>
      <c r="O609" t="s">
        <v>38</v>
      </c>
      <c r="P609" t="str">
        <f>'Lister og genveje'!$F$38</f>
        <v>1 Pol</v>
      </c>
      <c r="Q609">
        <f>INDEX('Lister og genveje'!$E$39:$I$46,MATCH(M609,'Lister og genveje'!$D$39:$D$46,0),MATCH(P609,'Lister og genveje'!$E$38:$I$38,0),1)</f>
        <v>3</v>
      </c>
      <c r="R609">
        <f>HLOOKUP(O609,'Lister og genveje'!$E$50:$G$52,2,0)</f>
        <v>3.2</v>
      </c>
      <c r="S609">
        <f>HLOOKUP(O609,'Lister og genveje'!$E$50:$G$52,3,0)</f>
        <v>4.8</v>
      </c>
      <c r="T609">
        <f>VLOOKUP(M609,'Lister og genveje'!$D$39:$J$46,7,0)</f>
        <v>0.5</v>
      </c>
    </row>
    <row r="610" spans="12:20">
      <c r="L610" s="78" t="s">
        <v>153</v>
      </c>
      <c r="M610" t="s">
        <v>148</v>
      </c>
      <c r="N610">
        <v>50</v>
      </c>
      <c r="O610" t="s">
        <v>38</v>
      </c>
      <c r="P610" t="str">
        <f>'Lister og genveje'!$F$38</f>
        <v>1 Pol</v>
      </c>
      <c r="Q610">
        <f>INDEX('Lister og genveje'!$E$39:$I$46,MATCH(M610,'Lister og genveje'!$D$39:$D$46,0),MATCH(P610,'Lister og genveje'!$E$38:$I$38,0),1)</f>
        <v>3</v>
      </c>
      <c r="R610">
        <f>HLOOKUP(O610,'Lister og genveje'!$E$50:$G$52,2,0)</f>
        <v>3.2</v>
      </c>
      <c r="S610">
        <f>HLOOKUP(O610,'Lister og genveje'!$E$50:$G$52,3,0)</f>
        <v>4.8</v>
      </c>
      <c r="T610">
        <f>VLOOKUP(M610,'Lister og genveje'!$D$39:$J$46,7,0)</f>
        <v>0.5</v>
      </c>
    </row>
    <row r="611" spans="12:20">
      <c r="L611" s="78" t="s">
        <v>153</v>
      </c>
      <c r="M611" t="s">
        <v>148</v>
      </c>
      <c r="N611">
        <v>63</v>
      </c>
      <c r="O611" t="s">
        <v>38</v>
      </c>
      <c r="P611" t="str">
        <f>'Lister og genveje'!$F$38</f>
        <v>1 Pol</v>
      </c>
      <c r="Q611">
        <f>INDEX('Lister og genveje'!$E$39:$I$46,MATCH(M611,'Lister og genveje'!$D$39:$D$46,0),MATCH(P611,'Lister og genveje'!$E$38:$I$38,0),1)</f>
        <v>3</v>
      </c>
      <c r="R611">
        <f>HLOOKUP(O611,'Lister og genveje'!$E$50:$G$52,2,0)</f>
        <v>3.2</v>
      </c>
      <c r="S611">
        <f>HLOOKUP(O611,'Lister og genveje'!$E$50:$G$52,3,0)</f>
        <v>4.8</v>
      </c>
      <c r="T611">
        <f>VLOOKUP(M611,'Lister og genveje'!$D$39:$J$46,7,0)</f>
        <v>0.5</v>
      </c>
    </row>
    <row r="612" spans="12:20">
      <c r="L612" s="78" t="s">
        <v>153</v>
      </c>
      <c r="M612" t="s">
        <v>148</v>
      </c>
      <c r="N612">
        <v>1</v>
      </c>
      <c r="O612" t="s">
        <v>155</v>
      </c>
      <c r="P612" t="str">
        <f>'Lister og genveje'!$F$38</f>
        <v>1 Pol</v>
      </c>
      <c r="Q612">
        <f>INDEX('Lister og genveje'!$E$39:$I$46,MATCH(M612,'Lister og genveje'!$D$39:$D$46,0),MATCH(P612,'Lister og genveje'!$E$38:$I$38,0),1)</f>
        <v>3</v>
      </c>
      <c r="R612">
        <f>HLOOKUP(O612,'Lister og genveje'!$E$50:$G$52,2,0)</f>
        <v>7</v>
      </c>
      <c r="S612">
        <f>HLOOKUP(O612,'Lister og genveje'!$E$50:$G$52,3,0)</f>
        <v>10</v>
      </c>
      <c r="T612">
        <f>VLOOKUP(M612,'Lister og genveje'!$D$39:$J$46,7,0)</f>
        <v>0.5</v>
      </c>
    </row>
    <row r="613" spans="12:20">
      <c r="L613" s="78" t="s">
        <v>153</v>
      </c>
      <c r="M613" t="s">
        <v>148</v>
      </c>
      <c r="N613">
        <v>1</v>
      </c>
      <c r="O613" t="s">
        <v>155</v>
      </c>
      <c r="P613" t="str">
        <f>'Lister og genveje'!$F$38</f>
        <v>1 Pol</v>
      </c>
      <c r="Q613">
        <f>INDEX('Lister og genveje'!$E$39:$I$46,MATCH(M613,'Lister og genveje'!$D$39:$D$46,0),MATCH(P613,'Lister og genveje'!$E$38:$I$38,0),1)</f>
        <v>3</v>
      </c>
      <c r="R613">
        <f>HLOOKUP(O613,'Lister og genveje'!$E$50:$G$52,2,0)</f>
        <v>7</v>
      </c>
      <c r="S613">
        <f>HLOOKUP(O613,'Lister og genveje'!$E$50:$G$52,3,0)</f>
        <v>10</v>
      </c>
      <c r="T613">
        <f>VLOOKUP(M613,'Lister og genveje'!$D$39:$J$46,7,0)</f>
        <v>0.5</v>
      </c>
    </row>
    <row r="614" spans="12:20">
      <c r="L614" s="78" t="s">
        <v>153</v>
      </c>
      <c r="M614" t="s">
        <v>148</v>
      </c>
      <c r="N614">
        <v>2</v>
      </c>
      <c r="O614" t="s">
        <v>155</v>
      </c>
      <c r="P614" t="str">
        <f>'Lister og genveje'!$F$38</f>
        <v>1 Pol</v>
      </c>
      <c r="Q614">
        <f>INDEX('Lister og genveje'!$E$39:$I$46,MATCH(M614,'Lister og genveje'!$D$39:$D$46,0),MATCH(P614,'Lister og genveje'!$E$38:$I$38,0),1)</f>
        <v>3</v>
      </c>
      <c r="R614">
        <f>HLOOKUP(O614,'Lister og genveje'!$E$50:$G$52,2,0)</f>
        <v>7</v>
      </c>
      <c r="S614">
        <f>HLOOKUP(O614,'Lister og genveje'!$E$50:$G$52,3,0)</f>
        <v>10</v>
      </c>
      <c r="T614">
        <f>VLOOKUP(M614,'Lister og genveje'!$D$39:$J$46,7,0)</f>
        <v>0.5</v>
      </c>
    </row>
    <row r="615" spans="12:20">
      <c r="L615" s="78" t="s">
        <v>153</v>
      </c>
      <c r="M615" t="s">
        <v>148</v>
      </c>
      <c r="N615">
        <v>3</v>
      </c>
      <c r="O615" t="s">
        <v>155</v>
      </c>
      <c r="P615" t="str">
        <f>'Lister og genveje'!$F$38</f>
        <v>1 Pol</v>
      </c>
      <c r="Q615">
        <f>INDEX('Lister og genveje'!$E$39:$I$46,MATCH(M615,'Lister og genveje'!$D$39:$D$46,0),MATCH(P615,'Lister og genveje'!$E$38:$I$38,0),1)</f>
        <v>3</v>
      </c>
      <c r="R615">
        <f>HLOOKUP(O615,'Lister og genveje'!$E$50:$G$52,2,0)</f>
        <v>7</v>
      </c>
      <c r="S615">
        <f>HLOOKUP(O615,'Lister og genveje'!$E$50:$G$52,3,0)</f>
        <v>10</v>
      </c>
      <c r="T615">
        <f>VLOOKUP(M615,'Lister og genveje'!$D$39:$J$46,7,0)</f>
        <v>0.5</v>
      </c>
    </row>
    <row r="616" spans="12:20">
      <c r="L616" s="78" t="s">
        <v>153</v>
      </c>
      <c r="M616" t="s">
        <v>148</v>
      </c>
      <c r="N616">
        <v>4</v>
      </c>
      <c r="O616" t="s">
        <v>155</v>
      </c>
      <c r="P616" t="str">
        <f>'Lister og genveje'!$F$38</f>
        <v>1 Pol</v>
      </c>
      <c r="Q616">
        <f>INDEX('Lister og genveje'!$E$39:$I$46,MATCH(M616,'Lister og genveje'!$D$39:$D$46,0),MATCH(P616,'Lister og genveje'!$E$38:$I$38,0),1)</f>
        <v>3</v>
      </c>
      <c r="R616">
        <f>HLOOKUP(O616,'Lister og genveje'!$E$50:$G$52,2,0)</f>
        <v>7</v>
      </c>
      <c r="S616">
        <f>HLOOKUP(O616,'Lister og genveje'!$E$50:$G$52,3,0)</f>
        <v>10</v>
      </c>
      <c r="T616">
        <f>VLOOKUP(M616,'Lister og genveje'!$D$39:$J$46,7,0)</f>
        <v>0.5</v>
      </c>
    </row>
    <row r="617" spans="12:20">
      <c r="L617" s="78" t="s">
        <v>153</v>
      </c>
      <c r="M617" t="s">
        <v>148</v>
      </c>
      <c r="N617">
        <v>6</v>
      </c>
      <c r="O617" t="s">
        <v>155</v>
      </c>
      <c r="P617" t="str">
        <f>'Lister og genveje'!$F$38</f>
        <v>1 Pol</v>
      </c>
      <c r="Q617">
        <f>INDEX('Lister og genveje'!$E$39:$I$46,MATCH(M617,'Lister og genveje'!$D$39:$D$46,0),MATCH(P617,'Lister og genveje'!$E$38:$I$38,0),1)</f>
        <v>3</v>
      </c>
      <c r="R617">
        <f>HLOOKUP(O617,'Lister og genveje'!$E$50:$G$52,2,0)</f>
        <v>7</v>
      </c>
      <c r="S617">
        <f>HLOOKUP(O617,'Lister og genveje'!$E$50:$G$52,3,0)</f>
        <v>10</v>
      </c>
      <c r="T617">
        <f>VLOOKUP(M617,'Lister og genveje'!$D$39:$J$46,7,0)</f>
        <v>0.5</v>
      </c>
    </row>
    <row r="618" spans="12:20">
      <c r="L618" s="78" t="s">
        <v>153</v>
      </c>
      <c r="M618" t="s">
        <v>148</v>
      </c>
      <c r="N618">
        <v>10</v>
      </c>
      <c r="O618" t="s">
        <v>155</v>
      </c>
      <c r="P618" t="str">
        <f>'Lister og genveje'!$F$38</f>
        <v>1 Pol</v>
      </c>
      <c r="Q618">
        <f>INDEX('Lister og genveje'!$E$39:$I$46,MATCH(M618,'Lister og genveje'!$D$39:$D$46,0),MATCH(P618,'Lister og genveje'!$E$38:$I$38,0),1)</f>
        <v>3</v>
      </c>
      <c r="R618">
        <f>HLOOKUP(O618,'Lister og genveje'!$E$50:$G$52,2,0)</f>
        <v>7</v>
      </c>
      <c r="S618">
        <f>HLOOKUP(O618,'Lister og genveje'!$E$50:$G$52,3,0)</f>
        <v>10</v>
      </c>
      <c r="T618">
        <f>VLOOKUP(M618,'Lister og genveje'!$D$39:$J$46,7,0)</f>
        <v>0.5</v>
      </c>
    </row>
    <row r="619" spans="12:20">
      <c r="L619" s="78" t="s">
        <v>153</v>
      </c>
      <c r="M619" t="s">
        <v>148</v>
      </c>
      <c r="N619">
        <v>13</v>
      </c>
      <c r="O619" t="s">
        <v>155</v>
      </c>
      <c r="P619" t="str">
        <f>'Lister og genveje'!$F$38</f>
        <v>1 Pol</v>
      </c>
      <c r="Q619">
        <f>INDEX('Lister og genveje'!$E$39:$I$46,MATCH(M619,'Lister og genveje'!$D$39:$D$46,0),MATCH(P619,'Lister og genveje'!$E$38:$I$38,0),1)</f>
        <v>3</v>
      </c>
      <c r="R619">
        <f>HLOOKUP(O619,'Lister og genveje'!$E$50:$G$52,2,0)</f>
        <v>7</v>
      </c>
      <c r="S619">
        <f>HLOOKUP(O619,'Lister og genveje'!$E$50:$G$52,3,0)</f>
        <v>10</v>
      </c>
      <c r="T619">
        <f>VLOOKUP(M619,'Lister og genveje'!$D$39:$J$46,7,0)</f>
        <v>0.5</v>
      </c>
    </row>
    <row r="620" spans="12:20">
      <c r="L620" s="78" t="s">
        <v>153</v>
      </c>
      <c r="M620" t="s">
        <v>148</v>
      </c>
      <c r="N620">
        <v>16</v>
      </c>
      <c r="O620" t="s">
        <v>155</v>
      </c>
      <c r="P620" t="str">
        <f>'Lister og genveje'!$F$38</f>
        <v>1 Pol</v>
      </c>
      <c r="Q620">
        <f>INDEX('Lister og genveje'!$E$39:$I$46,MATCH(M620,'Lister og genveje'!$D$39:$D$46,0),MATCH(P620,'Lister og genveje'!$E$38:$I$38,0),1)</f>
        <v>3</v>
      </c>
      <c r="R620">
        <f>HLOOKUP(O620,'Lister og genveje'!$E$50:$G$52,2,0)</f>
        <v>7</v>
      </c>
      <c r="S620">
        <f>HLOOKUP(O620,'Lister og genveje'!$E$50:$G$52,3,0)</f>
        <v>10</v>
      </c>
      <c r="T620">
        <f>VLOOKUP(M620,'Lister og genveje'!$D$39:$J$46,7,0)</f>
        <v>0.5</v>
      </c>
    </row>
    <row r="621" spans="12:20">
      <c r="L621" s="78" t="s">
        <v>153</v>
      </c>
      <c r="M621" t="s">
        <v>148</v>
      </c>
      <c r="N621">
        <v>20</v>
      </c>
      <c r="O621" t="s">
        <v>155</v>
      </c>
      <c r="P621" t="str">
        <f>'Lister og genveje'!$F$38</f>
        <v>1 Pol</v>
      </c>
      <c r="Q621">
        <f>INDEX('Lister og genveje'!$E$39:$I$46,MATCH(M621,'Lister og genveje'!$D$39:$D$46,0),MATCH(P621,'Lister og genveje'!$E$38:$I$38,0),1)</f>
        <v>3</v>
      </c>
      <c r="R621">
        <f>HLOOKUP(O621,'Lister og genveje'!$E$50:$G$52,2,0)</f>
        <v>7</v>
      </c>
      <c r="S621">
        <f>HLOOKUP(O621,'Lister og genveje'!$E$50:$G$52,3,0)</f>
        <v>10</v>
      </c>
      <c r="T621">
        <f>VLOOKUP(M621,'Lister og genveje'!$D$39:$J$46,7,0)</f>
        <v>0.5</v>
      </c>
    </row>
    <row r="622" spans="12:20">
      <c r="L622" s="78" t="s">
        <v>153</v>
      </c>
      <c r="M622" t="s">
        <v>148</v>
      </c>
      <c r="N622">
        <v>25</v>
      </c>
      <c r="O622" t="s">
        <v>155</v>
      </c>
      <c r="P622" t="str">
        <f>'Lister og genveje'!$F$38</f>
        <v>1 Pol</v>
      </c>
      <c r="Q622">
        <f>INDEX('Lister og genveje'!$E$39:$I$46,MATCH(M622,'Lister og genveje'!$D$39:$D$46,0),MATCH(P622,'Lister og genveje'!$E$38:$I$38,0),1)</f>
        <v>3</v>
      </c>
      <c r="R622">
        <f>HLOOKUP(O622,'Lister og genveje'!$E$50:$G$52,2,0)</f>
        <v>7</v>
      </c>
      <c r="S622">
        <f>HLOOKUP(O622,'Lister og genveje'!$E$50:$G$52,3,0)</f>
        <v>10</v>
      </c>
      <c r="T622">
        <f>VLOOKUP(M622,'Lister og genveje'!$D$39:$J$46,7,0)</f>
        <v>0.5</v>
      </c>
    </row>
    <row r="623" spans="12:20">
      <c r="L623" s="78" t="s">
        <v>153</v>
      </c>
      <c r="M623" t="s">
        <v>148</v>
      </c>
      <c r="N623">
        <v>32</v>
      </c>
      <c r="O623" t="s">
        <v>155</v>
      </c>
      <c r="P623" t="str">
        <f>'Lister og genveje'!$F$38</f>
        <v>1 Pol</v>
      </c>
      <c r="Q623">
        <f>INDEX('Lister og genveje'!$E$39:$I$46,MATCH(M623,'Lister og genveje'!$D$39:$D$46,0),MATCH(P623,'Lister og genveje'!$E$38:$I$38,0),1)</f>
        <v>3</v>
      </c>
      <c r="R623">
        <f>HLOOKUP(O623,'Lister og genveje'!$E$50:$G$52,2,0)</f>
        <v>7</v>
      </c>
      <c r="S623">
        <f>HLOOKUP(O623,'Lister og genveje'!$E$50:$G$52,3,0)</f>
        <v>10</v>
      </c>
      <c r="T623">
        <f>VLOOKUP(M623,'Lister og genveje'!$D$39:$J$46,7,0)</f>
        <v>0.5</v>
      </c>
    </row>
    <row r="624" spans="12:20">
      <c r="L624" s="78" t="s">
        <v>153</v>
      </c>
      <c r="M624" t="s">
        <v>148</v>
      </c>
      <c r="N624">
        <v>40</v>
      </c>
      <c r="O624" t="s">
        <v>155</v>
      </c>
      <c r="P624" t="str">
        <f>'Lister og genveje'!$F$38</f>
        <v>1 Pol</v>
      </c>
      <c r="Q624">
        <f>INDEX('Lister og genveje'!$E$39:$I$46,MATCH(M624,'Lister og genveje'!$D$39:$D$46,0),MATCH(P624,'Lister og genveje'!$E$38:$I$38,0),1)</f>
        <v>3</v>
      </c>
      <c r="R624">
        <f>HLOOKUP(O624,'Lister og genveje'!$E$50:$G$52,2,0)</f>
        <v>7</v>
      </c>
      <c r="S624">
        <f>HLOOKUP(O624,'Lister og genveje'!$E$50:$G$52,3,0)</f>
        <v>10</v>
      </c>
      <c r="T624">
        <f>VLOOKUP(M624,'Lister og genveje'!$D$39:$J$46,7,0)</f>
        <v>0.5</v>
      </c>
    </row>
    <row r="625" spans="12:20">
      <c r="L625" s="78" t="s">
        <v>153</v>
      </c>
      <c r="M625" t="s">
        <v>148</v>
      </c>
      <c r="N625">
        <v>50</v>
      </c>
      <c r="O625" t="s">
        <v>155</v>
      </c>
      <c r="P625" t="str">
        <f>'Lister og genveje'!$F$38</f>
        <v>1 Pol</v>
      </c>
      <c r="Q625">
        <f>INDEX('Lister og genveje'!$E$39:$I$46,MATCH(M625,'Lister og genveje'!$D$39:$D$46,0),MATCH(P625,'Lister og genveje'!$E$38:$I$38,0),1)</f>
        <v>3</v>
      </c>
      <c r="R625">
        <f>HLOOKUP(O625,'Lister og genveje'!$E$50:$G$52,2,0)</f>
        <v>7</v>
      </c>
      <c r="S625">
        <f>HLOOKUP(O625,'Lister og genveje'!$E$50:$G$52,3,0)</f>
        <v>10</v>
      </c>
      <c r="T625">
        <f>VLOOKUP(M625,'Lister og genveje'!$D$39:$J$46,7,0)</f>
        <v>0.5</v>
      </c>
    </row>
    <row r="626" spans="12:20">
      <c r="L626" s="78" t="s">
        <v>153</v>
      </c>
      <c r="M626" t="s">
        <v>148</v>
      </c>
      <c r="N626">
        <v>63</v>
      </c>
      <c r="O626" t="s">
        <v>155</v>
      </c>
      <c r="P626" t="str">
        <f>'Lister og genveje'!$F$38</f>
        <v>1 Pol</v>
      </c>
      <c r="Q626">
        <f>INDEX('Lister og genveje'!$E$39:$I$46,MATCH(M626,'Lister og genveje'!$D$39:$D$46,0),MATCH(P626,'Lister og genveje'!$E$38:$I$38,0),1)</f>
        <v>3</v>
      </c>
      <c r="R626">
        <f>HLOOKUP(O626,'Lister og genveje'!$E$50:$G$52,2,0)</f>
        <v>7</v>
      </c>
      <c r="S626">
        <f>HLOOKUP(O626,'Lister og genveje'!$E$50:$G$52,3,0)</f>
        <v>10</v>
      </c>
      <c r="T626">
        <f>VLOOKUP(M626,'Lister og genveje'!$D$39:$J$46,7,0)</f>
        <v>0.5</v>
      </c>
    </row>
    <row r="627" spans="12:20">
      <c r="L627" s="78" t="s">
        <v>153</v>
      </c>
      <c r="M627" t="s">
        <v>148</v>
      </c>
      <c r="N627">
        <v>1</v>
      </c>
      <c r="O627" t="s">
        <v>165</v>
      </c>
      <c r="P627" t="str">
        <f>'Lister og genveje'!$F$38</f>
        <v>1 Pol</v>
      </c>
      <c r="Q627">
        <f>INDEX('Lister og genveje'!$E$39:$I$46,MATCH(M627,'Lister og genveje'!$D$39:$D$46,0),MATCH(P627,'Lister og genveje'!$E$38:$I$38,0),1)</f>
        <v>3</v>
      </c>
      <c r="R627">
        <f>HLOOKUP(O627,'Lister og genveje'!$E$50:$G$52,2,0)</f>
        <v>10</v>
      </c>
      <c r="S627">
        <f>HLOOKUP(O627,'Lister og genveje'!$E$50:$G$52,3,0)</f>
        <v>14</v>
      </c>
      <c r="T627">
        <f>VLOOKUP(M627,'Lister og genveje'!$D$39:$J$46,7,0)</f>
        <v>0.5</v>
      </c>
    </row>
    <row r="628" spans="12:20">
      <c r="L628" s="78" t="s">
        <v>153</v>
      </c>
      <c r="M628" t="s">
        <v>148</v>
      </c>
      <c r="N628">
        <v>1</v>
      </c>
      <c r="O628" t="s">
        <v>165</v>
      </c>
      <c r="P628" t="str">
        <f>'Lister og genveje'!$F$38</f>
        <v>1 Pol</v>
      </c>
      <c r="Q628">
        <f>INDEX('Lister og genveje'!$E$39:$I$46,MATCH(M628,'Lister og genveje'!$D$39:$D$46,0),MATCH(P628,'Lister og genveje'!$E$38:$I$38,0),1)</f>
        <v>3</v>
      </c>
      <c r="R628">
        <f>HLOOKUP(O628,'Lister og genveje'!$E$50:$G$52,2,0)</f>
        <v>10</v>
      </c>
      <c r="S628">
        <f>HLOOKUP(O628,'Lister og genveje'!$E$50:$G$52,3,0)</f>
        <v>14</v>
      </c>
      <c r="T628">
        <f>VLOOKUP(M628,'Lister og genveje'!$D$39:$J$46,7,0)</f>
        <v>0.5</v>
      </c>
    </row>
    <row r="629" spans="12:20">
      <c r="L629" s="78" t="s">
        <v>153</v>
      </c>
      <c r="M629" t="s">
        <v>148</v>
      </c>
      <c r="N629">
        <v>2</v>
      </c>
      <c r="O629" t="s">
        <v>165</v>
      </c>
      <c r="P629" t="str">
        <f>'Lister og genveje'!$F$38</f>
        <v>1 Pol</v>
      </c>
      <c r="Q629">
        <f>INDEX('Lister og genveje'!$E$39:$I$46,MATCH(M629,'Lister og genveje'!$D$39:$D$46,0),MATCH(P629,'Lister og genveje'!$E$38:$I$38,0),1)</f>
        <v>3</v>
      </c>
      <c r="R629">
        <f>HLOOKUP(O629,'Lister og genveje'!$E$50:$G$52,2,0)</f>
        <v>10</v>
      </c>
      <c r="S629">
        <f>HLOOKUP(O629,'Lister og genveje'!$E$50:$G$52,3,0)</f>
        <v>14</v>
      </c>
      <c r="T629">
        <f>VLOOKUP(M629,'Lister og genveje'!$D$39:$J$46,7,0)</f>
        <v>0.5</v>
      </c>
    </row>
    <row r="630" spans="12:20">
      <c r="L630" s="78" t="s">
        <v>153</v>
      </c>
      <c r="M630" t="s">
        <v>148</v>
      </c>
      <c r="N630">
        <v>3</v>
      </c>
      <c r="O630" t="s">
        <v>165</v>
      </c>
      <c r="P630" t="str">
        <f>'Lister og genveje'!$F$38</f>
        <v>1 Pol</v>
      </c>
      <c r="Q630">
        <f>INDEX('Lister og genveje'!$E$39:$I$46,MATCH(M630,'Lister og genveje'!$D$39:$D$46,0),MATCH(P630,'Lister og genveje'!$E$38:$I$38,0),1)</f>
        <v>3</v>
      </c>
      <c r="R630">
        <f>HLOOKUP(O630,'Lister og genveje'!$E$50:$G$52,2,0)</f>
        <v>10</v>
      </c>
      <c r="S630">
        <f>HLOOKUP(O630,'Lister og genveje'!$E$50:$G$52,3,0)</f>
        <v>14</v>
      </c>
      <c r="T630">
        <f>VLOOKUP(M630,'Lister og genveje'!$D$39:$J$46,7,0)</f>
        <v>0.5</v>
      </c>
    </row>
    <row r="631" spans="12:20">
      <c r="L631" s="78" t="s">
        <v>153</v>
      </c>
      <c r="M631" t="s">
        <v>148</v>
      </c>
      <c r="N631">
        <v>4</v>
      </c>
      <c r="O631" t="s">
        <v>165</v>
      </c>
      <c r="P631" t="str">
        <f>'Lister og genveje'!$F$38</f>
        <v>1 Pol</v>
      </c>
      <c r="Q631">
        <f>INDEX('Lister og genveje'!$E$39:$I$46,MATCH(M631,'Lister og genveje'!$D$39:$D$46,0),MATCH(P631,'Lister og genveje'!$E$38:$I$38,0),1)</f>
        <v>3</v>
      </c>
      <c r="R631">
        <f>HLOOKUP(O631,'Lister og genveje'!$E$50:$G$52,2,0)</f>
        <v>10</v>
      </c>
      <c r="S631">
        <f>HLOOKUP(O631,'Lister og genveje'!$E$50:$G$52,3,0)</f>
        <v>14</v>
      </c>
      <c r="T631">
        <f>VLOOKUP(M631,'Lister og genveje'!$D$39:$J$46,7,0)</f>
        <v>0.5</v>
      </c>
    </row>
    <row r="632" spans="12:20">
      <c r="L632" s="78" t="s">
        <v>153</v>
      </c>
      <c r="M632" t="s">
        <v>148</v>
      </c>
      <c r="N632">
        <v>6</v>
      </c>
      <c r="O632" t="s">
        <v>165</v>
      </c>
      <c r="P632" t="str">
        <f>'Lister og genveje'!$F$38</f>
        <v>1 Pol</v>
      </c>
      <c r="Q632">
        <f>INDEX('Lister og genveje'!$E$39:$I$46,MATCH(M632,'Lister og genveje'!$D$39:$D$46,0),MATCH(P632,'Lister og genveje'!$E$38:$I$38,0),1)</f>
        <v>3</v>
      </c>
      <c r="R632">
        <f>HLOOKUP(O632,'Lister og genveje'!$E$50:$G$52,2,0)</f>
        <v>10</v>
      </c>
      <c r="S632">
        <f>HLOOKUP(O632,'Lister og genveje'!$E$50:$G$52,3,0)</f>
        <v>14</v>
      </c>
      <c r="T632">
        <f>VLOOKUP(M632,'Lister og genveje'!$D$39:$J$46,7,0)</f>
        <v>0.5</v>
      </c>
    </row>
    <row r="633" spans="12:20">
      <c r="L633" s="78" t="s">
        <v>153</v>
      </c>
      <c r="M633" t="s">
        <v>148</v>
      </c>
      <c r="N633">
        <v>10</v>
      </c>
      <c r="O633" t="s">
        <v>165</v>
      </c>
      <c r="P633" t="str">
        <f>'Lister og genveje'!$F$38</f>
        <v>1 Pol</v>
      </c>
      <c r="Q633">
        <f>INDEX('Lister og genveje'!$E$39:$I$46,MATCH(M633,'Lister og genveje'!$D$39:$D$46,0),MATCH(P633,'Lister og genveje'!$E$38:$I$38,0),1)</f>
        <v>3</v>
      </c>
      <c r="R633">
        <f>HLOOKUP(O633,'Lister og genveje'!$E$50:$G$52,2,0)</f>
        <v>10</v>
      </c>
      <c r="S633">
        <f>HLOOKUP(O633,'Lister og genveje'!$E$50:$G$52,3,0)</f>
        <v>14</v>
      </c>
      <c r="T633">
        <f>VLOOKUP(M633,'Lister og genveje'!$D$39:$J$46,7,0)</f>
        <v>0.5</v>
      </c>
    </row>
    <row r="634" spans="12:20">
      <c r="L634" s="78" t="s">
        <v>153</v>
      </c>
      <c r="M634" t="s">
        <v>148</v>
      </c>
      <c r="N634">
        <v>13</v>
      </c>
      <c r="O634" t="s">
        <v>165</v>
      </c>
      <c r="P634" t="str">
        <f>'Lister og genveje'!$F$38</f>
        <v>1 Pol</v>
      </c>
      <c r="Q634">
        <f>INDEX('Lister og genveje'!$E$39:$I$46,MATCH(M634,'Lister og genveje'!$D$39:$D$46,0),MATCH(P634,'Lister og genveje'!$E$38:$I$38,0),1)</f>
        <v>3</v>
      </c>
      <c r="R634">
        <f>HLOOKUP(O634,'Lister og genveje'!$E$50:$G$52,2,0)</f>
        <v>10</v>
      </c>
      <c r="S634">
        <f>HLOOKUP(O634,'Lister og genveje'!$E$50:$G$52,3,0)</f>
        <v>14</v>
      </c>
      <c r="T634">
        <f>VLOOKUP(M634,'Lister og genveje'!$D$39:$J$46,7,0)</f>
        <v>0.5</v>
      </c>
    </row>
    <row r="635" spans="12:20">
      <c r="L635" s="78" t="s">
        <v>153</v>
      </c>
      <c r="M635" t="s">
        <v>148</v>
      </c>
      <c r="N635">
        <v>16</v>
      </c>
      <c r="O635" t="s">
        <v>165</v>
      </c>
      <c r="P635" t="str">
        <f>'Lister og genveje'!$F$38</f>
        <v>1 Pol</v>
      </c>
      <c r="Q635">
        <f>INDEX('Lister og genveje'!$E$39:$I$46,MATCH(M635,'Lister og genveje'!$D$39:$D$46,0),MATCH(P635,'Lister og genveje'!$E$38:$I$38,0),1)</f>
        <v>3</v>
      </c>
      <c r="R635">
        <f>HLOOKUP(O635,'Lister og genveje'!$E$50:$G$52,2,0)</f>
        <v>10</v>
      </c>
      <c r="S635">
        <f>HLOOKUP(O635,'Lister og genveje'!$E$50:$G$52,3,0)</f>
        <v>14</v>
      </c>
      <c r="T635">
        <f>VLOOKUP(M635,'Lister og genveje'!$D$39:$J$46,7,0)</f>
        <v>0.5</v>
      </c>
    </row>
    <row r="636" spans="12:20">
      <c r="L636" s="78" t="s">
        <v>153</v>
      </c>
      <c r="M636" t="s">
        <v>148</v>
      </c>
      <c r="N636">
        <v>20</v>
      </c>
      <c r="O636" t="s">
        <v>165</v>
      </c>
      <c r="P636" t="str">
        <f>'Lister og genveje'!$F$38</f>
        <v>1 Pol</v>
      </c>
      <c r="Q636">
        <f>INDEX('Lister og genveje'!$E$39:$I$46,MATCH(M636,'Lister og genveje'!$D$39:$D$46,0),MATCH(P636,'Lister og genveje'!$E$38:$I$38,0),1)</f>
        <v>3</v>
      </c>
      <c r="R636">
        <f>HLOOKUP(O636,'Lister og genveje'!$E$50:$G$52,2,0)</f>
        <v>10</v>
      </c>
      <c r="S636">
        <f>HLOOKUP(O636,'Lister og genveje'!$E$50:$G$52,3,0)</f>
        <v>14</v>
      </c>
      <c r="T636">
        <f>VLOOKUP(M636,'Lister og genveje'!$D$39:$J$46,7,0)</f>
        <v>0.5</v>
      </c>
    </row>
    <row r="637" spans="12:20">
      <c r="L637" s="78" t="s">
        <v>153</v>
      </c>
      <c r="M637" t="s">
        <v>148</v>
      </c>
      <c r="N637">
        <v>25</v>
      </c>
      <c r="O637" t="s">
        <v>165</v>
      </c>
      <c r="P637" t="str">
        <f>'Lister og genveje'!$F$38</f>
        <v>1 Pol</v>
      </c>
      <c r="Q637">
        <f>INDEX('Lister og genveje'!$E$39:$I$46,MATCH(M637,'Lister og genveje'!$D$39:$D$46,0),MATCH(P637,'Lister og genveje'!$E$38:$I$38,0),1)</f>
        <v>3</v>
      </c>
      <c r="R637">
        <f>HLOOKUP(O637,'Lister og genveje'!$E$50:$G$52,2,0)</f>
        <v>10</v>
      </c>
      <c r="S637">
        <f>HLOOKUP(O637,'Lister og genveje'!$E$50:$G$52,3,0)</f>
        <v>14</v>
      </c>
      <c r="T637">
        <f>VLOOKUP(M637,'Lister og genveje'!$D$39:$J$46,7,0)</f>
        <v>0.5</v>
      </c>
    </row>
    <row r="638" spans="12:20">
      <c r="L638" s="78" t="s">
        <v>153</v>
      </c>
      <c r="M638" t="s">
        <v>148</v>
      </c>
      <c r="N638">
        <v>32</v>
      </c>
      <c r="O638" t="s">
        <v>165</v>
      </c>
      <c r="P638" t="str">
        <f>'Lister og genveje'!$F$38</f>
        <v>1 Pol</v>
      </c>
      <c r="Q638">
        <f>INDEX('Lister og genveje'!$E$39:$I$46,MATCH(M638,'Lister og genveje'!$D$39:$D$46,0),MATCH(P638,'Lister og genveje'!$E$38:$I$38,0),1)</f>
        <v>3</v>
      </c>
      <c r="R638">
        <f>HLOOKUP(O638,'Lister og genveje'!$E$50:$G$52,2,0)</f>
        <v>10</v>
      </c>
      <c r="S638">
        <f>HLOOKUP(O638,'Lister og genveje'!$E$50:$G$52,3,0)</f>
        <v>14</v>
      </c>
      <c r="T638">
        <f>VLOOKUP(M638,'Lister og genveje'!$D$39:$J$46,7,0)</f>
        <v>0.5</v>
      </c>
    </row>
    <row r="639" spans="12:20">
      <c r="L639" s="78" t="s">
        <v>153</v>
      </c>
      <c r="M639" t="s">
        <v>148</v>
      </c>
      <c r="N639">
        <v>40</v>
      </c>
      <c r="O639" t="s">
        <v>165</v>
      </c>
      <c r="P639" t="str">
        <f>'Lister og genveje'!$F$38</f>
        <v>1 Pol</v>
      </c>
      <c r="Q639">
        <f>INDEX('Lister og genveje'!$E$39:$I$46,MATCH(M639,'Lister og genveje'!$D$39:$D$46,0),MATCH(P639,'Lister og genveje'!$E$38:$I$38,0),1)</f>
        <v>3</v>
      </c>
      <c r="R639">
        <f>HLOOKUP(O639,'Lister og genveje'!$E$50:$G$52,2,0)</f>
        <v>10</v>
      </c>
      <c r="S639">
        <f>HLOOKUP(O639,'Lister og genveje'!$E$50:$G$52,3,0)</f>
        <v>14</v>
      </c>
      <c r="T639">
        <f>VLOOKUP(M639,'Lister og genveje'!$D$39:$J$46,7,0)</f>
        <v>0.5</v>
      </c>
    </row>
    <row r="640" spans="12:20">
      <c r="L640" s="78" t="s">
        <v>153</v>
      </c>
      <c r="M640" t="s">
        <v>148</v>
      </c>
      <c r="N640">
        <v>50</v>
      </c>
      <c r="O640" t="s">
        <v>165</v>
      </c>
      <c r="P640" t="str">
        <f>'Lister og genveje'!$F$38</f>
        <v>1 Pol</v>
      </c>
      <c r="Q640">
        <f>INDEX('Lister og genveje'!$E$39:$I$46,MATCH(M640,'Lister og genveje'!$D$39:$D$46,0),MATCH(P640,'Lister og genveje'!$E$38:$I$38,0),1)</f>
        <v>3</v>
      </c>
      <c r="R640">
        <f>HLOOKUP(O640,'Lister og genveje'!$E$50:$G$52,2,0)</f>
        <v>10</v>
      </c>
      <c r="S640">
        <f>HLOOKUP(O640,'Lister og genveje'!$E$50:$G$52,3,0)</f>
        <v>14</v>
      </c>
      <c r="T640">
        <f>VLOOKUP(M640,'Lister og genveje'!$D$39:$J$46,7,0)</f>
        <v>0.5</v>
      </c>
    </row>
    <row r="641" spans="12:20">
      <c r="L641" s="78" t="s">
        <v>153</v>
      </c>
      <c r="M641" t="s">
        <v>148</v>
      </c>
      <c r="N641">
        <v>63</v>
      </c>
      <c r="O641" t="s">
        <v>165</v>
      </c>
      <c r="P641" t="str">
        <f>'Lister og genveje'!$F$38</f>
        <v>1 Pol</v>
      </c>
      <c r="Q641">
        <f>INDEX('Lister og genveje'!$E$39:$I$46,MATCH(M641,'Lister og genveje'!$D$39:$D$46,0),MATCH(P641,'Lister og genveje'!$E$38:$I$38,0),1)</f>
        <v>3</v>
      </c>
      <c r="R641">
        <f>HLOOKUP(O641,'Lister og genveje'!$E$50:$G$52,2,0)</f>
        <v>10</v>
      </c>
      <c r="S641">
        <f>HLOOKUP(O641,'Lister og genveje'!$E$50:$G$52,3,0)</f>
        <v>14</v>
      </c>
      <c r="T641">
        <f>VLOOKUP(M641,'Lister og genveje'!$D$39:$J$46,7,0)</f>
        <v>0.5</v>
      </c>
    </row>
    <row r="642" spans="12:20">
      <c r="L642" s="78" t="s">
        <v>153</v>
      </c>
      <c r="M642" t="s">
        <v>148</v>
      </c>
      <c r="N642">
        <v>1</v>
      </c>
      <c r="O642" t="s">
        <v>38</v>
      </c>
      <c r="P642" t="s">
        <v>162</v>
      </c>
      <c r="Q642">
        <f>INDEX('Lister og genveje'!$E$39:$I$46,MATCH(M642,'Lister og genveje'!$D$39:$D$46,0),MATCH(P642,'Lister og genveje'!$E$38:$I$38,0),1)</f>
        <v>15</v>
      </c>
      <c r="R642">
        <f>HLOOKUP(O642,'Lister og genveje'!$E$50:$G$52,2,0)</f>
        <v>3.2</v>
      </c>
      <c r="S642">
        <f>HLOOKUP(O642,'Lister og genveje'!$E$50:$G$52,3,0)</f>
        <v>4.8</v>
      </c>
      <c r="T642">
        <f>VLOOKUP(M642,'Lister og genveje'!$D$39:$J$46,7,0)</f>
        <v>0.5</v>
      </c>
    </row>
    <row r="643" spans="12:20">
      <c r="L643" s="78" t="s">
        <v>153</v>
      </c>
      <c r="M643" t="s">
        <v>148</v>
      </c>
      <c r="N643">
        <v>1</v>
      </c>
      <c r="O643" t="s">
        <v>38</v>
      </c>
      <c r="P643" t="s">
        <v>162</v>
      </c>
      <c r="Q643">
        <f>INDEX('Lister og genveje'!$E$39:$I$46,MATCH(M643,'Lister og genveje'!$D$39:$D$46,0),MATCH(P643,'Lister og genveje'!$E$38:$I$38,0),1)</f>
        <v>15</v>
      </c>
      <c r="R643">
        <f>HLOOKUP(O643,'Lister og genveje'!$E$50:$G$52,2,0)</f>
        <v>3.2</v>
      </c>
      <c r="S643">
        <f>HLOOKUP(O643,'Lister og genveje'!$E$50:$G$52,3,0)</f>
        <v>4.8</v>
      </c>
      <c r="T643">
        <f>VLOOKUP(M643,'Lister og genveje'!$D$39:$J$46,7,0)</f>
        <v>0.5</v>
      </c>
    </row>
    <row r="644" spans="12:20">
      <c r="L644" s="78" t="s">
        <v>153</v>
      </c>
      <c r="M644" t="s">
        <v>148</v>
      </c>
      <c r="N644">
        <v>2</v>
      </c>
      <c r="O644" t="s">
        <v>38</v>
      </c>
      <c r="P644" t="s">
        <v>162</v>
      </c>
      <c r="Q644">
        <f>INDEX('Lister og genveje'!$E$39:$I$46,MATCH(M644,'Lister og genveje'!$D$39:$D$46,0),MATCH(P644,'Lister og genveje'!$E$38:$I$38,0),1)</f>
        <v>15</v>
      </c>
      <c r="R644">
        <f>HLOOKUP(O644,'Lister og genveje'!$E$50:$G$52,2,0)</f>
        <v>3.2</v>
      </c>
      <c r="S644">
        <f>HLOOKUP(O644,'Lister og genveje'!$E$50:$G$52,3,0)</f>
        <v>4.8</v>
      </c>
      <c r="T644">
        <f>VLOOKUP(M644,'Lister og genveje'!$D$39:$J$46,7,0)</f>
        <v>0.5</v>
      </c>
    </row>
    <row r="645" spans="12:20">
      <c r="L645" s="78" t="s">
        <v>153</v>
      </c>
      <c r="M645" t="s">
        <v>148</v>
      </c>
      <c r="N645">
        <v>3</v>
      </c>
      <c r="O645" t="s">
        <v>38</v>
      </c>
      <c r="P645" t="s">
        <v>162</v>
      </c>
      <c r="Q645">
        <f>INDEX('Lister og genveje'!$E$39:$I$46,MATCH(M645,'Lister og genveje'!$D$39:$D$46,0),MATCH(P645,'Lister og genveje'!$E$38:$I$38,0),1)</f>
        <v>15</v>
      </c>
      <c r="R645">
        <f>HLOOKUP(O645,'Lister og genveje'!$E$50:$G$52,2,0)</f>
        <v>3.2</v>
      </c>
      <c r="S645">
        <f>HLOOKUP(O645,'Lister og genveje'!$E$50:$G$52,3,0)</f>
        <v>4.8</v>
      </c>
      <c r="T645">
        <f>VLOOKUP(M645,'Lister og genveje'!$D$39:$J$46,7,0)</f>
        <v>0.5</v>
      </c>
    </row>
    <row r="646" spans="12:20">
      <c r="L646" s="78" t="s">
        <v>153</v>
      </c>
      <c r="M646" t="s">
        <v>148</v>
      </c>
      <c r="N646">
        <v>4</v>
      </c>
      <c r="O646" t="s">
        <v>38</v>
      </c>
      <c r="P646" t="s">
        <v>162</v>
      </c>
      <c r="Q646">
        <f>INDEX('Lister og genveje'!$E$39:$I$46,MATCH(M646,'Lister og genveje'!$D$39:$D$46,0),MATCH(P646,'Lister og genveje'!$E$38:$I$38,0),1)</f>
        <v>15</v>
      </c>
      <c r="R646">
        <f>HLOOKUP(O646,'Lister og genveje'!$E$50:$G$52,2,0)</f>
        <v>3.2</v>
      </c>
      <c r="S646">
        <f>HLOOKUP(O646,'Lister og genveje'!$E$50:$G$52,3,0)</f>
        <v>4.8</v>
      </c>
      <c r="T646">
        <f>VLOOKUP(M646,'Lister og genveje'!$D$39:$J$46,7,0)</f>
        <v>0.5</v>
      </c>
    </row>
    <row r="647" spans="12:20">
      <c r="L647" s="78" t="s">
        <v>153</v>
      </c>
      <c r="M647" t="s">
        <v>148</v>
      </c>
      <c r="N647">
        <v>6</v>
      </c>
      <c r="O647" t="s">
        <v>38</v>
      </c>
      <c r="P647" t="s">
        <v>162</v>
      </c>
      <c r="Q647">
        <f>INDEX('Lister og genveje'!$E$39:$I$46,MATCH(M647,'Lister og genveje'!$D$39:$D$46,0),MATCH(P647,'Lister og genveje'!$E$38:$I$38,0),1)</f>
        <v>15</v>
      </c>
      <c r="R647">
        <f>HLOOKUP(O647,'Lister og genveje'!$E$50:$G$52,2,0)</f>
        <v>3.2</v>
      </c>
      <c r="S647">
        <f>HLOOKUP(O647,'Lister og genveje'!$E$50:$G$52,3,0)</f>
        <v>4.8</v>
      </c>
      <c r="T647">
        <f>VLOOKUP(M647,'Lister og genveje'!$D$39:$J$46,7,0)</f>
        <v>0.5</v>
      </c>
    </row>
    <row r="648" spans="12:20">
      <c r="L648" s="78" t="s">
        <v>153</v>
      </c>
      <c r="M648" t="s">
        <v>148</v>
      </c>
      <c r="N648">
        <v>10</v>
      </c>
      <c r="O648" t="s">
        <v>38</v>
      </c>
      <c r="P648" t="s">
        <v>162</v>
      </c>
      <c r="Q648">
        <f>INDEX('Lister og genveje'!$E$39:$I$46,MATCH(M648,'Lister og genveje'!$D$39:$D$46,0),MATCH(P648,'Lister og genveje'!$E$38:$I$38,0),1)</f>
        <v>15</v>
      </c>
      <c r="R648">
        <f>HLOOKUP(O648,'Lister og genveje'!$E$50:$G$52,2,0)</f>
        <v>3.2</v>
      </c>
      <c r="S648">
        <f>HLOOKUP(O648,'Lister og genveje'!$E$50:$G$52,3,0)</f>
        <v>4.8</v>
      </c>
      <c r="T648">
        <f>VLOOKUP(M648,'Lister og genveje'!$D$39:$J$46,7,0)</f>
        <v>0.5</v>
      </c>
    </row>
    <row r="649" spans="12:20">
      <c r="L649" s="78" t="s">
        <v>153</v>
      </c>
      <c r="M649" t="s">
        <v>148</v>
      </c>
      <c r="N649">
        <v>13</v>
      </c>
      <c r="O649" t="s">
        <v>38</v>
      </c>
      <c r="P649" t="s">
        <v>162</v>
      </c>
      <c r="Q649">
        <f>INDEX('Lister og genveje'!$E$39:$I$46,MATCH(M649,'Lister og genveje'!$D$39:$D$46,0),MATCH(P649,'Lister og genveje'!$E$38:$I$38,0),1)</f>
        <v>15</v>
      </c>
      <c r="R649">
        <f>HLOOKUP(O649,'Lister og genveje'!$E$50:$G$52,2,0)</f>
        <v>3.2</v>
      </c>
      <c r="S649">
        <f>HLOOKUP(O649,'Lister og genveje'!$E$50:$G$52,3,0)</f>
        <v>4.8</v>
      </c>
      <c r="T649">
        <f>VLOOKUP(M649,'Lister og genveje'!$D$39:$J$46,7,0)</f>
        <v>0.5</v>
      </c>
    </row>
    <row r="650" spans="12:20">
      <c r="L650" s="78" t="s">
        <v>153</v>
      </c>
      <c r="M650" t="s">
        <v>148</v>
      </c>
      <c r="N650">
        <v>16</v>
      </c>
      <c r="O650" t="s">
        <v>38</v>
      </c>
      <c r="P650" t="s">
        <v>162</v>
      </c>
      <c r="Q650">
        <f>INDEX('Lister og genveje'!$E$39:$I$46,MATCH(M650,'Lister og genveje'!$D$39:$D$46,0),MATCH(P650,'Lister og genveje'!$E$38:$I$38,0),1)</f>
        <v>15</v>
      </c>
      <c r="R650">
        <f>HLOOKUP(O650,'Lister og genveje'!$E$50:$G$52,2,0)</f>
        <v>3.2</v>
      </c>
      <c r="S650">
        <f>HLOOKUP(O650,'Lister og genveje'!$E$50:$G$52,3,0)</f>
        <v>4.8</v>
      </c>
      <c r="T650">
        <f>VLOOKUP(M650,'Lister og genveje'!$D$39:$J$46,7,0)</f>
        <v>0.5</v>
      </c>
    </row>
    <row r="651" spans="12:20">
      <c r="L651" s="78" t="s">
        <v>153</v>
      </c>
      <c r="M651" t="s">
        <v>148</v>
      </c>
      <c r="N651">
        <v>20</v>
      </c>
      <c r="O651" t="s">
        <v>38</v>
      </c>
      <c r="P651" t="s">
        <v>162</v>
      </c>
      <c r="Q651">
        <f>INDEX('Lister og genveje'!$E$39:$I$46,MATCH(M651,'Lister og genveje'!$D$39:$D$46,0),MATCH(P651,'Lister og genveje'!$E$38:$I$38,0),1)</f>
        <v>15</v>
      </c>
      <c r="R651">
        <f>HLOOKUP(O651,'Lister og genveje'!$E$50:$G$52,2,0)</f>
        <v>3.2</v>
      </c>
      <c r="S651">
        <f>HLOOKUP(O651,'Lister og genveje'!$E$50:$G$52,3,0)</f>
        <v>4.8</v>
      </c>
      <c r="T651">
        <f>VLOOKUP(M651,'Lister og genveje'!$D$39:$J$46,7,0)</f>
        <v>0.5</v>
      </c>
    </row>
    <row r="652" spans="12:20">
      <c r="L652" s="78" t="s">
        <v>153</v>
      </c>
      <c r="M652" t="s">
        <v>148</v>
      </c>
      <c r="N652">
        <v>25</v>
      </c>
      <c r="O652" t="s">
        <v>38</v>
      </c>
      <c r="P652" t="s">
        <v>162</v>
      </c>
      <c r="Q652">
        <f>INDEX('Lister og genveje'!$E$39:$I$46,MATCH(M652,'Lister og genveje'!$D$39:$D$46,0),MATCH(P652,'Lister og genveje'!$E$38:$I$38,0),1)</f>
        <v>15</v>
      </c>
      <c r="R652">
        <f>HLOOKUP(O652,'Lister og genveje'!$E$50:$G$52,2,0)</f>
        <v>3.2</v>
      </c>
      <c r="S652">
        <f>HLOOKUP(O652,'Lister og genveje'!$E$50:$G$52,3,0)</f>
        <v>4.8</v>
      </c>
      <c r="T652">
        <f>VLOOKUP(M652,'Lister og genveje'!$D$39:$J$46,7,0)</f>
        <v>0.5</v>
      </c>
    </row>
    <row r="653" spans="12:20">
      <c r="L653" s="78" t="s">
        <v>153</v>
      </c>
      <c r="M653" t="s">
        <v>148</v>
      </c>
      <c r="N653">
        <v>32</v>
      </c>
      <c r="O653" t="s">
        <v>38</v>
      </c>
      <c r="P653" t="s">
        <v>162</v>
      </c>
      <c r="Q653">
        <f>INDEX('Lister og genveje'!$E$39:$I$46,MATCH(M653,'Lister og genveje'!$D$39:$D$46,0),MATCH(P653,'Lister og genveje'!$E$38:$I$38,0),1)</f>
        <v>15</v>
      </c>
      <c r="R653">
        <f>HLOOKUP(O653,'Lister og genveje'!$E$50:$G$52,2,0)</f>
        <v>3.2</v>
      </c>
      <c r="S653">
        <f>HLOOKUP(O653,'Lister og genveje'!$E$50:$G$52,3,0)</f>
        <v>4.8</v>
      </c>
      <c r="T653">
        <f>VLOOKUP(M653,'Lister og genveje'!$D$39:$J$46,7,0)</f>
        <v>0.5</v>
      </c>
    </row>
    <row r="654" spans="12:20">
      <c r="L654" s="78" t="s">
        <v>153</v>
      </c>
      <c r="M654" t="s">
        <v>148</v>
      </c>
      <c r="N654">
        <v>40</v>
      </c>
      <c r="O654" t="s">
        <v>38</v>
      </c>
      <c r="P654" t="s">
        <v>162</v>
      </c>
      <c r="Q654">
        <f>INDEX('Lister og genveje'!$E$39:$I$46,MATCH(M654,'Lister og genveje'!$D$39:$D$46,0),MATCH(P654,'Lister og genveje'!$E$38:$I$38,0),1)</f>
        <v>15</v>
      </c>
      <c r="R654">
        <f>HLOOKUP(O654,'Lister og genveje'!$E$50:$G$52,2,0)</f>
        <v>3.2</v>
      </c>
      <c r="S654">
        <f>HLOOKUP(O654,'Lister og genveje'!$E$50:$G$52,3,0)</f>
        <v>4.8</v>
      </c>
      <c r="T654">
        <f>VLOOKUP(M654,'Lister og genveje'!$D$39:$J$46,7,0)</f>
        <v>0.5</v>
      </c>
    </row>
    <row r="655" spans="12:20">
      <c r="L655" s="78" t="s">
        <v>153</v>
      </c>
      <c r="M655" t="s">
        <v>148</v>
      </c>
      <c r="N655">
        <v>50</v>
      </c>
      <c r="O655" t="s">
        <v>38</v>
      </c>
      <c r="P655" t="s">
        <v>162</v>
      </c>
      <c r="Q655">
        <f>INDEX('Lister og genveje'!$E$39:$I$46,MATCH(M655,'Lister og genveje'!$D$39:$D$46,0),MATCH(P655,'Lister og genveje'!$E$38:$I$38,0),1)</f>
        <v>15</v>
      </c>
      <c r="R655">
        <f>HLOOKUP(O655,'Lister og genveje'!$E$50:$G$52,2,0)</f>
        <v>3.2</v>
      </c>
      <c r="S655">
        <f>HLOOKUP(O655,'Lister og genveje'!$E$50:$G$52,3,0)</f>
        <v>4.8</v>
      </c>
      <c r="T655">
        <f>VLOOKUP(M655,'Lister og genveje'!$D$39:$J$46,7,0)</f>
        <v>0.5</v>
      </c>
    </row>
    <row r="656" spans="12:20">
      <c r="L656" s="78" t="s">
        <v>153</v>
      </c>
      <c r="M656" t="s">
        <v>148</v>
      </c>
      <c r="N656">
        <v>63</v>
      </c>
      <c r="O656" t="s">
        <v>38</v>
      </c>
      <c r="P656" t="s">
        <v>162</v>
      </c>
      <c r="Q656">
        <f>INDEX('Lister og genveje'!$E$39:$I$46,MATCH(M656,'Lister og genveje'!$D$39:$D$46,0),MATCH(P656,'Lister og genveje'!$E$38:$I$38,0),1)</f>
        <v>15</v>
      </c>
      <c r="R656">
        <f>HLOOKUP(O656,'Lister og genveje'!$E$50:$G$52,2,0)</f>
        <v>3.2</v>
      </c>
      <c r="S656">
        <f>HLOOKUP(O656,'Lister og genveje'!$E$50:$G$52,3,0)</f>
        <v>4.8</v>
      </c>
      <c r="T656">
        <f>VLOOKUP(M656,'Lister og genveje'!$D$39:$J$46,7,0)</f>
        <v>0.5</v>
      </c>
    </row>
    <row r="657" spans="12:20">
      <c r="L657" s="78" t="s">
        <v>153</v>
      </c>
      <c r="M657" t="s">
        <v>148</v>
      </c>
      <c r="N657">
        <v>1</v>
      </c>
      <c r="O657" t="s">
        <v>155</v>
      </c>
      <c r="P657" t="s">
        <v>162</v>
      </c>
      <c r="Q657">
        <f>INDEX('Lister og genveje'!$E$39:$I$46,MATCH(M657,'Lister og genveje'!$D$39:$D$46,0),MATCH(P657,'Lister og genveje'!$E$38:$I$38,0),1)</f>
        <v>15</v>
      </c>
      <c r="R657">
        <f>HLOOKUP(O657,'Lister og genveje'!$E$50:$G$52,2,0)</f>
        <v>7</v>
      </c>
      <c r="S657">
        <f>HLOOKUP(O657,'Lister og genveje'!$E$50:$G$52,3,0)</f>
        <v>10</v>
      </c>
      <c r="T657">
        <f>VLOOKUP(M657,'Lister og genveje'!$D$39:$J$46,7,0)</f>
        <v>0.5</v>
      </c>
    </row>
    <row r="658" spans="12:20">
      <c r="L658" s="78" t="s">
        <v>153</v>
      </c>
      <c r="M658" t="s">
        <v>148</v>
      </c>
      <c r="N658">
        <v>1</v>
      </c>
      <c r="O658" t="s">
        <v>155</v>
      </c>
      <c r="P658" t="s">
        <v>162</v>
      </c>
      <c r="Q658">
        <f>INDEX('Lister og genveje'!$E$39:$I$46,MATCH(M658,'Lister og genveje'!$D$39:$D$46,0),MATCH(P658,'Lister og genveje'!$E$38:$I$38,0),1)</f>
        <v>15</v>
      </c>
      <c r="R658">
        <f>HLOOKUP(O658,'Lister og genveje'!$E$50:$G$52,2,0)</f>
        <v>7</v>
      </c>
      <c r="S658">
        <f>HLOOKUP(O658,'Lister og genveje'!$E$50:$G$52,3,0)</f>
        <v>10</v>
      </c>
      <c r="T658">
        <f>VLOOKUP(M658,'Lister og genveje'!$D$39:$J$46,7,0)</f>
        <v>0.5</v>
      </c>
    </row>
    <row r="659" spans="12:20">
      <c r="L659" s="78" t="s">
        <v>153</v>
      </c>
      <c r="M659" t="s">
        <v>148</v>
      </c>
      <c r="N659">
        <v>2</v>
      </c>
      <c r="O659" t="s">
        <v>155</v>
      </c>
      <c r="P659" t="s">
        <v>162</v>
      </c>
      <c r="Q659">
        <f>INDEX('Lister og genveje'!$E$39:$I$46,MATCH(M659,'Lister og genveje'!$D$39:$D$46,0),MATCH(P659,'Lister og genveje'!$E$38:$I$38,0),1)</f>
        <v>15</v>
      </c>
      <c r="R659">
        <f>HLOOKUP(O659,'Lister og genveje'!$E$50:$G$52,2,0)</f>
        <v>7</v>
      </c>
      <c r="S659">
        <f>HLOOKUP(O659,'Lister og genveje'!$E$50:$G$52,3,0)</f>
        <v>10</v>
      </c>
      <c r="T659">
        <f>VLOOKUP(M659,'Lister og genveje'!$D$39:$J$46,7,0)</f>
        <v>0.5</v>
      </c>
    </row>
    <row r="660" spans="12:20">
      <c r="L660" s="78" t="s">
        <v>153</v>
      </c>
      <c r="M660" t="s">
        <v>148</v>
      </c>
      <c r="N660">
        <v>3</v>
      </c>
      <c r="O660" t="s">
        <v>155</v>
      </c>
      <c r="P660" t="s">
        <v>162</v>
      </c>
      <c r="Q660">
        <f>INDEX('Lister og genveje'!$E$39:$I$46,MATCH(M660,'Lister og genveje'!$D$39:$D$46,0),MATCH(P660,'Lister og genveje'!$E$38:$I$38,0),1)</f>
        <v>15</v>
      </c>
      <c r="R660">
        <f>HLOOKUP(O660,'Lister og genveje'!$E$50:$G$52,2,0)</f>
        <v>7</v>
      </c>
      <c r="S660">
        <f>HLOOKUP(O660,'Lister og genveje'!$E$50:$G$52,3,0)</f>
        <v>10</v>
      </c>
      <c r="T660">
        <f>VLOOKUP(M660,'Lister og genveje'!$D$39:$J$46,7,0)</f>
        <v>0.5</v>
      </c>
    </row>
    <row r="661" spans="12:20">
      <c r="L661" s="78" t="s">
        <v>153</v>
      </c>
      <c r="M661" t="s">
        <v>148</v>
      </c>
      <c r="N661">
        <v>4</v>
      </c>
      <c r="O661" t="s">
        <v>155</v>
      </c>
      <c r="P661" t="s">
        <v>162</v>
      </c>
      <c r="Q661">
        <f>INDEX('Lister og genveje'!$E$39:$I$46,MATCH(M661,'Lister og genveje'!$D$39:$D$46,0),MATCH(P661,'Lister og genveje'!$E$38:$I$38,0),1)</f>
        <v>15</v>
      </c>
      <c r="R661">
        <f>HLOOKUP(O661,'Lister og genveje'!$E$50:$G$52,2,0)</f>
        <v>7</v>
      </c>
      <c r="S661">
        <f>HLOOKUP(O661,'Lister og genveje'!$E$50:$G$52,3,0)</f>
        <v>10</v>
      </c>
      <c r="T661">
        <f>VLOOKUP(M661,'Lister og genveje'!$D$39:$J$46,7,0)</f>
        <v>0.5</v>
      </c>
    </row>
    <row r="662" spans="12:20">
      <c r="L662" s="78" t="s">
        <v>153</v>
      </c>
      <c r="M662" t="s">
        <v>148</v>
      </c>
      <c r="N662">
        <v>6</v>
      </c>
      <c r="O662" t="s">
        <v>155</v>
      </c>
      <c r="P662" t="s">
        <v>162</v>
      </c>
      <c r="Q662">
        <f>INDEX('Lister og genveje'!$E$39:$I$46,MATCH(M662,'Lister og genveje'!$D$39:$D$46,0),MATCH(P662,'Lister og genveje'!$E$38:$I$38,0),1)</f>
        <v>15</v>
      </c>
      <c r="R662">
        <f>HLOOKUP(O662,'Lister og genveje'!$E$50:$G$52,2,0)</f>
        <v>7</v>
      </c>
      <c r="S662">
        <f>HLOOKUP(O662,'Lister og genveje'!$E$50:$G$52,3,0)</f>
        <v>10</v>
      </c>
      <c r="T662">
        <f>VLOOKUP(M662,'Lister og genveje'!$D$39:$J$46,7,0)</f>
        <v>0.5</v>
      </c>
    </row>
    <row r="663" spans="12:20">
      <c r="L663" s="78" t="s">
        <v>153</v>
      </c>
      <c r="M663" t="s">
        <v>148</v>
      </c>
      <c r="N663">
        <v>10</v>
      </c>
      <c r="O663" t="s">
        <v>155</v>
      </c>
      <c r="P663" t="s">
        <v>162</v>
      </c>
      <c r="Q663">
        <f>INDEX('Lister og genveje'!$E$39:$I$46,MATCH(M663,'Lister og genveje'!$D$39:$D$46,0),MATCH(P663,'Lister og genveje'!$E$38:$I$38,0),1)</f>
        <v>15</v>
      </c>
      <c r="R663">
        <f>HLOOKUP(O663,'Lister og genveje'!$E$50:$G$52,2,0)</f>
        <v>7</v>
      </c>
      <c r="S663">
        <f>HLOOKUP(O663,'Lister og genveje'!$E$50:$G$52,3,0)</f>
        <v>10</v>
      </c>
      <c r="T663">
        <f>VLOOKUP(M663,'Lister og genveje'!$D$39:$J$46,7,0)</f>
        <v>0.5</v>
      </c>
    </row>
    <row r="664" spans="12:20">
      <c r="L664" s="78" t="s">
        <v>153</v>
      </c>
      <c r="M664" t="s">
        <v>148</v>
      </c>
      <c r="N664">
        <v>13</v>
      </c>
      <c r="O664" t="s">
        <v>155</v>
      </c>
      <c r="P664" t="s">
        <v>162</v>
      </c>
      <c r="Q664">
        <f>INDEX('Lister og genveje'!$E$39:$I$46,MATCH(M664,'Lister og genveje'!$D$39:$D$46,0),MATCH(P664,'Lister og genveje'!$E$38:$I$38,0),1)</f>
        <v>15</v>
      </c>
      <c r="R664">
        <f>HLOOKUP(O664,'Lister og genveje'!$E$50:$G$52,2,0)</f>
        <v>7</v>
      </c>
      <c r="S664">
        <f>HLOOKUP(O664,'Lister og genveje'!$E$50:$G$52,3,0)</f>
        <v>10</v>
      </c>
      <c r="T664">
        <f>VLOOKUP(M664,'Lister og genveje'!$D$39:$J$46,7,0)</f>
        <v>0.5</v>
      </c>
    </row>
    <row r="665" spans="12:20">
      <c r="L665" s="78" t="s">
        <v>153</v>
      </c>
      <c r="M665" t="s">
        <v>148</v>
      </c>
      <c r="N665">
        <v>16</v>
      </c>
      <c r="O665" t="s">
        <v>155</v>
      </c>
      <c r="P665" t="s">
        <v>162</v>
      </c>
      <c r="Q665">
        <f>INDEX('Lister og genveje'!$E$39:$I$46,MATCH(M665,'Lister og genveje'!$D$39:$D$46,0),MATCH(P665,'Lister og genveje'!$E$38:$I$38,0),1)</f>
        <v>15</v>
      </c>
      <c r="R665">
        <f>HLOOKUP(O665,'Lister og genveje'!$E$50:$G$52,2,0)</f>
        <v>7</v>
      </c>
      <c r="S665">
        <f>HLOOKUP(O665,'Lister og genveje'!$E$50:$G$52,3,0)</f>
        <v>10</v>
      </c>
      <c r="T665">
        <f>VLOOKUP(M665,'Lister og genveje'!$D$39:$J$46,7,0)</f>
        <v>0.5</v>
      </c>
    </row>
    <row r="666" spans="12:20">
      <c r="L666" s="78" t="s">
        <v>153</v>
      </c>
      <c r="M666" t="s">
        <v>148</v>
      </c>
      <c r="N666">
        <v>20</v>
      </c>
      <c r="O666" t="s">
        <v>155</v>
      </c>
      <c r="P666" t="s">
        <v>162</v>
      </c>
      <c r="Q666">
        <f>INDEX('Lister og genveje'!$E$39:$I$46,MATCH(M666,'Lister og genveje'!$D$39:$D$46,0),MATCH(P666,'Lister og genveje'!$E$38:$I$38,0),1)</f>
        <v>15</v>
      </c>
      <c r="R666">
        <f>HLOOKUP(O666,'Lister og genveje'!$E$50:$G$52,2,0)</f>
        <v>7</v>
      </c>
      <c r="S666">
        <f>HLOOKUP(O666,'Lister og genveje'!$E$50:$G$52,3,0)</f>
        <v>10</v>
      </c>
      <c r="T666">
        <f>VLOOKUP(M666,'Lister og genveje'!$D$39:$J$46,7,0)</f>
        <v>0.5</v>
      </c>
    </row>
    <row r="667" spans="12:20">
      <c r="L667" s="78" t="s">
        <v>153</v>
      </c>
      <c r="M667" t="s">
        <v>148</v>
      </c>
      <c r="N667">
        <v>25</v>
      </c>
      <c r="O667" t="s">
        <v>155</v>
      </c>
      <c r="P667" t="s">
        <v>162</v>
      </c>
      <c r="Q667">
        <f>INDEX('Lister og genveje'!$E$39:$I$46,MATCH(M667,'Lister og genveje'!$D$39:$D$46,0),MATCH(P667,'Lister og genveje'!$E$38:$I$38,0),1)</f>
        <v>15</v>
      </c>
      <c r="R667">
        <f>HLOOKUP(O667,'Lister og genveje'!$E$50:$G$52,2,0)</f>
        <v>7</v>
      </c>
      <c r="S667">
        <f>HLOOKUP(O667,'Lister og genveje'!$E$50:$G$52,3,0)</f>
        <v>10</v>
      </c>
      <c r="T667">
        <f>VLOOKUP(M667,'Lister og genveje'!$D$39:$J$46,7,0)</f>
        <v>0.5</v>
      </c>
    </row>
    <row r="668" spans="12:20">
      <c r="L668" s="78" t="s">
        <v>153</v>
      </c>
      <c r="M668" t="s">
        <v>148</v>
      </c>
      <c r="N668">
        <v>32</v>
      </c>
      <c r="O668" t="s">
        <v>155</v>
      </c>
      <c r="P668" t="s">
        <v>162</v>
      </c>
      <c r="Q668">
        <f>INDEX('Lister og genveje'!$E$39:$I$46,MATCH(M668,'Lister og genveje'!$D$39:$D$46,0),MATCH(P668,'Lister og genveje'!$E$38:$I$38,0),1)</f>
        <v>15</v>
      </c>
      <c r="R668">
        <f>HLOOKUP(O668,'Lister og genveje'!$E$50:$G$52,2,0)</f>
        <v>7</v>
      </c>
      <c r="S668">
        <f>HLOOKUP(O668,'Lister og genveje'!$E$50:$G$52,3,0)</f>
        <v>10</v>
      </c>
      <c r="T668">
        <f>VLOOKUP(M668,'Lister og genveje'!$D$39:$J$46,7,0)</f>
        <v>0.5</v>
      </c>
    </row>
    <row r="669" spans="12:20">
      <c r="L669" s="78" t="s">
        <v>153</v>
      </c>
      <c r="M669" t="s">
        <v>148</v>
      </c>
      <c r="N669">
        <v>40</v>
      </c>
      <c r="O669" t="s">
        <v>155</v>
      </c>
      <c r="P669" t="s">
        <v>162</v>
      </c>
      <c r="Q669">
        <f>INDEX('Lister og genveje'!$E$39:$I$46,MATCH(M669,'Lister og genveje'!$D$39:$D$46,0),MATCH(P669,'Lister og genveje'!$E$38:$I$38,0),1)</f>
        <v>15</v>
      </c>
      <c r="R669">
        <f>HLOOKUP(O669,'Lister og genveje'!$E$50:$G$52,2,0)</f>
        <v>7</v>
      </c>
      <c r="S669">
        <f>HLOOKUP(O669,'Lister og genveje'!$E$50:$G$52,3,0)</f>
        <v>10</v>
      </c>
      <c r="T669">
        <f>VLOOKUP(M669,'Lister og genveje'!$D$39:$J$46,7,0)</f>
        <v>0.5</v>
      </c>
    </row>
    <row r="670" spans="12:20">
      <c r="L670" s="78" t="s">
        <v>153</v>
      </c>
      <c r="M670" t="s">
        <v>148</v>
      </c>
      <c r="N670">
        <v>50</v>
      </c>
      <c r="O670" t="s">
        <v>155</v>
      </c>
      <c r="P670" t="s">
        <v>162</v>
      </c>
      <c r="Q670">
        <f>INDEX('Lister og genveje'!$E$39:$I$46,MATCH(M670,'Lister og genveje'!$D$39:$D$46,0),MATCH(P670,'Lister og genveje'!$E$38:$I$38,0),1)</f>
        <v>15</v>
      </c>
      <c r="R670">
        <f>HLOOKUP(O670,'Lister og genveje'!$E$50:$G$52,2,0)</f>
        <v>7</v>
      </c>
      <c r="S670">
        <f>HLOOKUP(O670,'Lister og genveje'!$E$50:$G$52,3,0)</f>
        <v>10</v>
      </c>
      <c r="T670">
        <f>VLOOKUP(M670,'Lister og genveje'!$D$39:$J$46,7,0)</f>
        <v>0.5</v>
      </c>
    </row>
    <row r="671" spans="12:20">
      <c r="L671" s="78" t="s">
        <v>153</v>
      </c>
      <c r="M671" t="s">
        <v>148</v>
      </c>
      <c r="N671">
        <v>63</v>
      </c>
      <c r="O671" t="s">
        <v>155</v>
      </c>
      <c r="P671" t="s">
        <v>162</v>
      </c>
      <c r="Q671">
        <f>INDEX('Lister og genveje'!$E$39:$I$46,MATCH(M671,'Lister og genveje'!$D$39:$D$46,0),MATCH(P671,'Lister og genveje'!$E$38:$I$38,0),1)</f>
        <v>15</v>
      </c>
      <c r="R671">
        <f>HLOOKUP(O671,'Lister og genveje'!$E$50:$G$52,2,0)</f>
        <v>7</v>
      </c>
      <c r="S671">
        <f>HLOOKUP(O671,'Lister og genveje'!$E$50:$G$52,3,0)</f>
        <v>10</v>
      </c>
      <c r="T671">
        <f>VLOOKUP(M671,'Lister og genveje'!$D$39:$J$46,7,0)</f>
        <v>0.5</v>
      </c>
    </row>
    <row r="672" spans="12:20">
      <c r="L672" s="78" t="s">
        <v>153</v>
      </c>
      <c r="M672" t="s">
        <v>148</v>
      </c>
      <c r="N672">
        <v>1</v>
      </c>
      <c r="O672" t="s">
        <v>165</v>
      </c>
      <c r="P672" t="s">
        <v>162</v>
      </c>
      <c r="Q672">
        <f>INDEX('Lister og genveje'!$E$39:$I$46,MATCH(M672,'Lister og genveje'!$D$39:$D$46,0),MATCH(P672,'Lister og genveje'!$E$38:$I$38,0),1)</f>
        <v>15</v>
      </c>
      <c r="R672">
        <f>HLOOKUP(O672,'Lister og genveje'!$E$50:$G$52,2,0)</f>
        <v>10</v>
      </c>
      <c r="S672">
        <f>HLOOKUP(O672,'Lister og genveje'!$E$50:$G$52,3,0)</f>
        <v>14</v>
      </c>
      <c r="T672">
        <f>VLOOKUP(M672,'Lister og genveje'!$D$39:$J$46,7,0)</f>
        <v>0.5</v>
      </c>
    </row>
    <row r="673" spans="12:20">
      <c r="L673" s="78" t="s">
        <v>153</v>
      </c>
      <c r="M673" t="s">
        <v>148</v>
      </c>
      <c r="N673">
        <v>1</v>
      </c>
      <c r="O673" t="s">
        <v>165</v>
      </c>
      <c r="P673" t="s">
        <v>162</v>
      </c>
      <c r="Q673">
        <f>INDEX('Lister og genveje'!$E$39:$I$46,MATCH(M673,'Lister og genveje'!$D$39:$D$46,0),MATCH(P673,'Lister og genveje'!$E$38:$I$38,0),1)</f>
        <v>15</v>
      </c>
      <c r="R673">
        <f>HLOOKUP(O673,'Lister og genveje'!$E$50:$G$52,2,0)</f>
        <v>10</v>
      </c>
      <c r="S673">
        <f>HLOOKUP(O673,'Lister og genveje'!$E$50:$G$52,3,0)</f>
        <v>14</v>
      </c>
      <c r="T673">
        <f>VLOOKUP(M673,'Lister og genveje'!$D$39:$J$46,7,0)</f>
        <v>0.5</v>
      </c>
    </row>
    <row r="674" spans="12:20">
      <c r="L674" s="78" t="s">
        <v>153</v>
      </c>
      <c r="M674" t="s">
        <v>148</v>
      </c>
      <c r="N674">
        <v>2</v>
      </c>
      <c r="O674" t="s">
        <v>165</v>
      </c>
      <c r="P674" t="s">
        <v>162</v>
      </c>
      <c r="Q674">
        <f>INDEX('Lister og genveje'!$E$39:$I$46,MATCH(M674,'Lister og genveje'!$D$39:$D$46,0),MATCH(P674,'Lister og genveje'!$E$38:$I$38,0),1)</f>
        <v>15</v>
      </c>
      <c r="R674">
        <f>HLOOKUP(O674,'Lister og genveje'!$E$50:$G$52,2,0)</f>
        <v>10</v>
      </c>
      <c r="S674">
        <f>HLOOKUP(O674,'Lister og genveje'!$E$50:$G$52,3,0)</f>
        <v>14</v>
      </c>
      <c r="T674">
        <f>VLOOKUP(M674,'Lister og genveje'!$D$39:$J$46,7,0)</f>
        <v>0.5</v>
      </c>
    </row>
    <row r="675" spans="12:20">
      <c r="L675" s="78" t="s">
        <v>153</v>
      </c>
      <c r="M675" t="s">
        <v>148</v>
      </c>
      <c r="N675">
        <v>3</v>
      </c>
      <c r="O675" t="s">
        <v>165</v>
      </c>
      <c r="P675" t="s">
        <v>162</v>
      </c>
      <c r="Q675">
        <f>INDEX('Lister og genveje'!$E$39:$I$46,MATCH(M675,'Lister og genveje'!$D$39:$D$46,0),MATCH(P675,'Lister og genveje'!$E$38:$I$38,0),1)</f>
        <v>15</v>
      </c>
      <c r="R675">
        <f>HLOOKUP(O675,'Lister og genveje'!$E$50:$G$52,2,0)</f>
        <v>10</v>
      </c>
      <c r="S675">
        <f>HLOOKUP(O675,'Lister og genveje'!$E$50:$G$52,3,0)</f>
        <v>14</v>
      </c>
      <c r="T675">
        <f>VLOOKUP(M675,'Lister og genveje'!$D$39:$J$46,7,0)</f>
        <v>0.5</v>
      </c>
    </row>
    <row r="676" spans="12:20">
      <c r="L676" s="78" t="s">
        <v>153</v>
      </c>
      <c r="M676" t="s">
        <v>148</v>
      </c>
      <c r="N676">
        <v>4</v>
      </c>
      <c r="O676" t="s">
        <v>165</v>
      </c>
      <c r="P676" t="s">
        <v>162</v>
      </c>
      <c r="Q676">
        <f>INDEX('Lister og genveje'!$E$39:$I$46,MATCH(M676,'Lister og genveje'!$D$39:$D$46,0),MATCH(P676,'Lister og genveje'!$E$38:$I$38,0),1)</f>
        <v>15</v>
      </c>
      <c r="R676">
        <f>HLOOKUP(O676,'Lister og genveje'!$E$50:$G$52,2,0)</f>
        <v>10</v>
      </c>
      <c r="S676">
        <f>HLOOKUP(O676,'Lister og genveje'!$E$50:$G$52,3,0)</f>
        <v>14</v>
      </c>
      <c r="T676">
        <f>VLOOKUP(M676,'Lister og genveje'!$D$39:$J$46,7,0)</f>
        <v>0.5</v>
      </c>
    </row>
    <row r="677" spans="12:20">
      <c r="L677" s="78" t="s">
        <v>153</v>
      </c>
      <c r="M677" t="s">
        <v>148</v>
      </c>
      <c r="N677">
        <v>6</v>
      </c>
      <c r="O677" t="s">
        <v>165</v>
      </c>
      <c r="P677" t="s">
        <v>162</v>
      </c>
      <c r="Q677">
        <f>INDEX('Lister og genveje'!$E$39:$I$46,MATCH(M677,'Lister og genveje'!$D$39:$D$46,0),MATCH(P677,'Lister og genveje'!$E$38:$I$38,0),1)</f>
        <v>15</v>
      </c>
      <c r="R677">
        <f>HLOOKUP(O677,'Lister og genveje'!$E$50:$G$52,2,0)</f>
        <v>10</v>
      </c>
      <c r="S677">
        <f>HLOOKUP(O677,'Lister og genveje'!$E$50:$G$52,3,0)</f>
        <v>14</v>
      </c>
      <c r="T677">
        <f>VLOOKUP(M677,'Lister og genveje'!$D$39:$J$46,7,0)</f>
        <v>0.5</v>
      </c>
    </row>
    <row r="678" spans="12:20">
      <c r="L678" s="78" t="s">
        <v>153</v>
      </c>
      <c r="M678" t="s">
        <v>148</v>
      </c>
      <c r="N678">
        <v>10</v>
      </c>
      <c r="O678" t="s">
        <v>165</v>
      </c>
      <c r="P678" t="s">
        <v>162</v>
      </c>
      <c r="Q678">
        <f>INDEX('Lister og genveje'!$E$39:$I$46,MATCH(M678,'Lister og genveje'!$D$39:$D$46,0),MATCH(P678,'Lister og genveje'!$E$38:$I$38,0),1)</f>
        <v>15</v>
      </c>
      <c r="R678">
        <f>HLOOKUP(O678,'Lister og genveje'!$E$50:$G$52,2,0)</f>
        <v>10</v>
      </c>
      <c r="S678">
        <f>HLOOKUP(O678,'Lister og genveje'!$E$50:$G$52,3,0)</f>
        <v>14</v>
      </c>
      <c r="T678">
        <f>VLOOKUP(M678,'Lister og genveje'!$D$39:$J$46,7,0)</f>
        <v>0.5</v>
      </c>
    </row>
    <row r="679" spans="12:20">
      <c r="L679" s="78" t="s">
        <v>153</v>
      </c>
      <c r="M679" t="s">
        <v>148</v>
      </c>
      <c r="N679">
        <v>13</v>
      </c>
      <c r="O679" t="s">
        <v>165</v>
      </c>
      <c r="P679" t="s">
        <v>162</v>
      </c>
      <c r="Q679">
        <f>INDEX('Lister og genveje'!$E$39:$I$46,MATCH(M679,'Lister og genveje'!$D$39:$D$46,0),MATCH(P679,'Lister og genveje'!$E$38:$I$38,0),1)</f>
        <v>15</v>
      </c>
      <c r="R679">
        <f>HLOOKUP(O679,'Lister og genveje'!$E$50:$G$52,2,0)</f>
        <v>10</v>
      </c>
      <c r="S679">
        <f>HLOOKUP(O679,'Lister og genveje'!$E$50:$G$52,3,0)</f>
        <v>14</v>
      </c>
      <c r="T679">
        <f>VLOOKUP(M679,'Lister og genveje'!$D$39:$J$46,7,0)</f>
        <v>0.5</v>
      </c>
    </row>
    <row r="680" spans="12:20">
      <c r="L680" s="78" t="s">
        <v>153</v>
      </c>
      <c r="M680" t="s">
        <v>148</v>
      </c>
      <c r="N680">
        <v>16</v>
      </c>
      <c r="O680" t="s">
        <v>165</v>
      </c>
      <c r="P680" t="s">
        <v>162</v>
      </c>
      <c r="Q680">
        <f>INDEX('Lister og genveje'!$E$39:$I$46,MATCH(M680,'Lister og genveje'!$D$39:$D$46,0),MATCH(P680,'Lister og genveje'!$E$38:$I$38,0),1)</f>
        <v>15</v>
      </c>
      <c r="R680">
        <f>HLOOKUP(O680,'Lister og genveje'!$E$50:$G$52,2,0)</f>
        <v>10</v>
      </c>
      <c r="S680">
        <f>HLOOKUP(O680,'Lister og genveje'!$E$50:$G$52,3,0)</f>
        <v>14</v>
      </c>
      <c r="T680">
        <f>VLOOKUP(M680,'Lister og genveje'!$D$39:$J$46,7,0)</f>
        <v>0.5</v>
      </c>
    </row>
    <row r="681" spans="12:20">
      <c r="L681" s="78" t="s">
        <v>153</v>
      </c>
      <c r="M681" t="s">
        <v>148</v>
      </c>
      <c r="N681">
        <v>20</v>
      </c>
      <c r="O681" t="s">
        <v>165</v>
      </c>
      <c r="P681" t="s">
        <v>162</v>
      </c>
      <c r="Q681">
        <f>INDEX('Lister og genveje'!$E$39:$I$46,MATCH(M681,'Lister og genveje'!$D$39:$D$46,0),MATCH(P681,'Lister og genveje'!$E$38:$I$38,0),1)</f>
        <v>15</v>
      </c>
      <c r="R681">
        <f>HLOOKUP(O681,'Lister og genveje'!$E$50:$G$52,2,0)</f>
        <v>10</v>
      </c>
      <c r="S681">
        <f>HLOOKUP(O681,'Lister og genveje'!$E$50:$G$52,3,0)</f>
        <v>14</v>
      </c>
      <c r="T681">
        <f>VLOOKUP(M681,'Lister og genveje'!$D$39:$J$46,7,0)</f>
        <v>0.5</v>
      </c>
    </row>
    <row r="682" spans="12:20">
      <c r="L682" s="78" t="s">
        <v>153</v>
      </c>
      <c r="M682" t="s">
        <v>148</v>
      </c>
      <c r="N682">
        <v>25</v>
      </c>
      <c r="O682" t="s">
        <v>165</v>
      </c>
      <c r="P682" t="s">
        <v>162</v>
      </c>
      <c r="Q682">
        <f>INDEX('Lister og genveje'!$E$39:$I$46,MATCH(M682,'Lister og genveje'!$D$39:$D$46,0),MATCH(P682,'Lister og genveje'!$E$38:$I$38,0),1)</f>
        <v>15</v>
      </c>
      <c r="R682">
        <f>HLOOKUP(O682,'Lister og genveje'!$E$50:$G$52,2,0)</f>
        <v>10</v>
      </c>
      <c r="S682">
        <f>HLOOKUP(O682,'Lister og genveje'!$E$50:$G$52,3,0)</f>
        <v>14</v>
      </c>
      <c r="T682">
        <f>VLOOKUP(M682,'Lister og genveje'!$D$39:$J$46,7,0)</f>
        <v>0.5</v>
      </c>
    </row>
    <row r="683" spans="12:20">
      <c r="L683" s="78" t="s">
        <v>153</v>
      </c>
      <c r="M683" t="s">
        <v>148</v>
      </c>
      <c r="N683">
        <v>32</v>
      </c>
      <c r="O683" t="s">
        <v>165</v>
      </c>
      <c r="P683" t="s">
        <v>162</v>
      </c>
      <c r="Q683">
        <f>INDEX('Lister og genveje'!$E$39:$I$46,MATCH(M683,'Lister og genveje'!$D$39:$D$46,0),MATCH(P683,'Lister og genveje'!$E$38:$I$38,0),1)</f>
        <v>15</v>
      </c>
      <c r="R683">
        <f>HLOOKUP(O683,'Lister og genveje'!$E$50:$G$52,2,0)</f>
        <v>10</v>
      </c>
      <c r="S683">
        <f>HLOOKUP(O683,'Lister og genveje'!$E$50:$G$52,3,0)</f>
        <v>14</v>
      </c>
      <c r="T683">
        <f>VLOOKUP(M683,'Lister og genveje'!$D$39:$J$46,7,0)</f>
        <v>0.5</v>
      </c>
    </row>
    <row r="684" spans="12:20">
      <c r="L684" s="78" t="s">
        <v>153</v>
      </c>
      <c r="M684" t="s">
        <v>148</v>
      </c>
      <c r="N684">
        <v>40</v>
      </c>
      <c r="O684" t="s">
        <v>165</v>
      </c>
      <c r="P684" t="s">
        <v>162</v>
      </c>
      <c r="Q684">
        <f>INDEX('Lister og genveje'!$E$39:$I$46,MATCH(M684,'Lister og genveje'!$D$39:$D$46,0),MATCH(P684,'Lister og genveje'!$E$38:$I$38,0),1)</f>
        <v>15</v>
      </c>
      <c r="R684">
        <f>HLOOKUP(O684,'Lister og genveje'!$E$50:$G$52,2,0)</f>
        <v>10</v>
      </c>
      <c r="S684">
        <f>HLOOKUP(O684,'Lister og genveje'!$E$50:$G$52,3,0)</f>
        <v>14</v>
      </c>
      <c r="T684">
        <f>VLOOKUP(M684,'Lister og genveje'!$D$39:$J$46,7,0)</f>
        <v>0.5</v>
      </c>
    </row>
    <row r="685" spans="12:20">
      <c r="L685" s="78" t="s">
        <v>153</v>
      </c>
      <c r="M685" t="s">
        <v>148</v>
      </c>
      <c r="N685">
        <v>50</v>
      </c>
      <c r="O685" t="s">
        <v>165</v>
      </c>
      <c r="P685" t="s">
        <v>162</v>
      </c>
      <c r="Q685">
        <f>INDEX('Lister og genveje'!$E$39:$I$46,MATCH(M685,'Lister og genveje'!$D$39:$D$46,0),MATCH(P685,'Lister og genveje'!$E$38:$I$38,0),1)</f>
        <v>15</v>
      </c>
      <c r="R685">
        <f>HLOOKUP(O685,'Lister og genveje'!$E$50:$G$52,2,0)</f>
        <v>10</v>
      </c>
      <c r="S685">
        <f>HLOOKUP(O685,'Lister og genveje'!$E$50:$G$52,3,0)</f>
        <v>14</v>
      </c>
      <c r="T685">
        <f>VLOOKUP(M685,'Lister og genveje'!$D$39:$J$46,7,0)</f>
        <v>0.5</v>
      </c>
    </row>
    <row r="686" spans="12:20">
      <c r="L686" s="78" t="s">
        <v>153</v>
      </c>
      <c r="M686" t="s">
        <v>148</v>
      </c>
      <c r="N686">
        <v>63</v>
      </c>
      <c r="O686" t="s">
        <v>165</v>
      </c>
      <c r="P686" t="s">
        <v>162</v>
      </c>
      <c r="Q686">
        <f>INDEX('Lister og genveje'!$E$39:$I$46,MATCH(M686,'Lister og genveje'!$D$39:$D$46,0),MATCH(P686,'Lister og genveje'!$E$38:$I$38,0),1)</f>
        <v>15</v>
      </c>
      <c r="R686">
        <f>HLOOKUP(O686,'Lister og genveje'!$E$50:$G$52,2,0)</f>
        <v>10</v>
      </c>
      <c r="S686">
        <f>HLOOKUP(O686,'Lister og genveje'!$E$50:$G$52,3,0)</f>
        <v>14</v>
      </c>
      <c r="T686">
        <f>VLOOKUP(M686,'Lister og genveje'!$D$39:$J$46,7,0)</f>
        <v>0.5</v>
      </c>
    </row>
    <row r="687" spans="12:20">
      <c r="L687" s="78" t="s">
        <v>235</v>
      </c>
      <c r="M687" t="s">
        <v>148</v>
      </c>
      <c r="N687">
        <v>1</v>
      </c>
      <c r="O687" t="s">
        <v>38</v>
      </c>
      <c r="P687" t="str">
        <f>'Lister og genveje'!$F$38</f>
        <v>1 Pol</v>
      </c>
      <c r="Q687">
        <f>INDEX('Lister og genveje'!$E$39:$I$46,MATCH(M687,'Lister og genveje'!$D$39:$D$46,0),MATCH(P687,'Lister og genveje'!$E$38:$I$38,0),1)</f>
        <v>3</v>
      </c>
      <c r="R687">
        <f>HLOOKUP(O687,'Lister og genveje'!$E$50:$G$52,2,0)</f>
        <v>3.2</v>
      </c>
      <c r="S687">
        <f>HLOOKUP(O687,'Lister og genveje'!$E$50:$G$52,3,0)</f>
        <v>4.8</v>
      </c>
      <c r="T687">
        <f>VLOOKUP(M687,'Lister og genveje'!$D$39:$J$46,7,0)</f>
        <v>0.5</v>
      </c>
    </row>
    <row r="688" spans="12:20">
      <c r="L688" s="78" t="s">
        <v>235</v>
      </c>
      <c r="M688" t="s">
        <v>148</v>
      </c>
      <c r="N688">
        <v>1</v>
      </c>
      <c r="O688" t="s">
        <v>38</v>
      </c>
      <c r="P688" t="str">
        <f>'Lister og genveje'!$F$38</f>
        <v>1 Pol</v>
      </c>
      <c r="Q688">
        <f>INDEX('Lister og genveje'!$E$39:$I$46,MATCH(M688,'Lister og genveje'!$D$39:$D$46,0),MATCH(P688,'Lister og genveje'!$E$38:$I$38,0),1)</f>
        <v>3</v>
      </c>
      <c r="R688">
        <f>HLOOKUP(O688,'Lister og genveje'!$E$50:$G$52,2,0)</f>
        <v>3.2</v>
      </c>
      <c r="S688">
        <f>HLOOKUP(O688,'Lister og genveje'!$E$50:$G$52,3,0)</f>
        <v>4.8</v>
      </c>
      <c r="T688">
        <f>VLOOKUP(M688,'Lister og genveje'!$D$39:$J$46,7,0)</f>
        <v>0.5</v>
      </c>
    </row>
    <row r="689" spans="12:20">
      <c r="L689" s="78" t="s">
        <v>235</v>
      </c>
      <c r="M689" t="s">
        <v>148</v>
      </c>
      <c r="N689">
        <v>2</v>
      </c>
      <c r="O689" t="s">
        <v>38</v>
      </c>
      <c r="P689" t="str">
        <f>'Lister og genveje'!$F$38</f>
        <v>1 Pol</v>
      </c>
      <c r="Q689">
        <f>INDEX('Lister og genveje'!$E$39:$I$46,MATCH(M689,'Lister og genveje'!$D$39:$D$46,0),MATCH(P689,'Lister og genveje'!$E$38:$I$38,0),1)</f>
        <v>3</v>
      </c>
      <c r="R689">
        <f>HLOOKUP(O689,'Lister og genveje'!$E$50:$G$52,2,0)</f>
        <v>3.2</v>
      </c>
      <c r="S689">
        <f>HLOOKUP(O689,'Lister og genveje'!$E$50:$G$52,3,0)</f>
        <v>4.8</v>
      </c>
      <c r="T689">
        <f>VLOOKUP(M689,'Lister og genveje'!$D$39:$J$46,7,0)</f>
        <v>0.5</v>
      </c>
    </row>
    <row r="690" spans="12:20">
      <c r="L690" s="78" t="s">
        <v>235</v>
      </c>
      <c r="M690" t="s">
        <v>148</v>
      </c>
      <c r="N690">
        <v>3</v>
      </c>
      <c r="O690" t="s">
        <v>38</v>
      </c>
      <c r="P690" t="str">
        <f>'Lister og genveje'!$F$38</f>
        <v>1 Pol</v>
      </c>
      <c r="Q690">
        <f>INDEX('Lister og genveje'!$E$39:$I$46,MATCH(M690,'Lister og genveje'!$D$39:$D$46,0),MATCH(P690,'Lister og genveje'!$E$38:$I$38,0),1)</f>
        <v>3</v>
      </c>
      <c r="R690">
        <f>HLOOKUP(O690,'Lister og genveje'!$E$50:$G$52,2,0)</f>
        <v>3.2</v>
      </c>
      <c r="S690">
        <f>HLOOKUP(O690,'Lister og genveje'!$E$50:$G$52,3,0)</f>
        <v>4.8</v>
      </c>
      <c r="T690">
        <f>VLOOKUP(M690,'Lister og genveje'!$D$39:$J$46,7,0)</f>
        <v>0.5</v>
      </c>
    </row>
    <row r="691" spans="12:20">
      <c r="L691" s="78" t="s">
        <v>235</v>
      </c>
      <c r="M691" t="s">
        <v>148</v>
      </c>
      <c r="N691">
        <v>4</v>
      </c>
      <c r="O691" t="s">
        <v>38</v>
      </c>
      <c r="P691" t="str">
        <f>'Lister og genveje'!$F$38</f>
        <v>1 Pol</v>
      </c>
      <c r="Q691">
        <f>INDEX('Lister og genveje'!$E$39:$I$46,MATCH(M691,'Lister og genveje'!$D$39:$D$46,0),MATCH(P691,'Lister og genveje'!$E$38:$I$38,0),1)</f>
        <v>3</v>
      </c>
      <c r="R691">
        <f>HLOOKUP(O691,'Lister og genveje'!$E$50:$G$52,2,0)</f>
        <v>3.2</v>
      </c>
      <c r="S691">
        <f>HLOOKUP(O691,'Lister og genveje'!$E$50:$G$52,3,0)</f>
        <v>4.8</v>
      </c>
      <c r="T691">
        <f>VLOOKUP(M691,'Lister og genveje'!$D$39:$J$46,7,0)</f>
        <v>0.5</v>
      </c>
    </row>
    <row r="692" spans="12:20">
      <c r="L692" s="78" t="s">
        <v>235</v>
      </c>
      <c r="M692" t="s">
        <v>148</v>
      </c>
      <c r="N692">
        <v>6</v>
      </c>
      <c r="O692" t="s">
        <v>38</v>
      </c>
      <c r="P692" t="str">
        <f>'Lister og genveje'!$F$38</f>
        <v>1 Pol</v>
      </c>
      <c r="Q692">
        <f>INDEX('Lister og genveje'!$E$39:$I$46,MATCH(M692,'Lister og genveje'!$D$39:$D$46,0),MATCH(P692,'Lister og genveje'!$E$38:$I$38,0),1)</f>
        <v>3</v>
      </c>
      <c r="R692">
        <f>HLOOKUP(O692,'Lister og genveje'!$E$50:$G$52,2,0)</f>
        <v>3.2</v>
      </c>
      <c r="S692">
        <f>HLOOKUP(O692,'Lister og genveje'!$E$50:$G$52,3,0)</f>
        <v>4.8</v>
      </c>
      <c r="T692">
        <f>VLOOKUP(M692,'Lister og genveje'!$D$39:$J$46,7,0)</f>
        <v>0.5</v>
      </c>
    </row>
    <row r="693" spans="12:20">
      <c r="L693" s="78" t="s">
        <v>235</v>
      </c>
      <c r="M693" t="s">
        <v>148</v>
      </c>
      <c r="N693">
        <v>10</v>
      </c>
      <c r="O693" t="s">
        <v>38</v>
      </c>
      <c r="P693" t="str">
        <f>'Lister og genveje'!$F$38</f>
        <v>1 Pol</v>
      </c>
      <c r="Q693">
        <f>INDEX('Lister og genveje'!$E$39:$I$46,MATCH(M693,'Lister og genveje'!$D$39:$D$46,0),MATCH(P693,'Lister og genveje'!$E$38:$I$38,0),1)</f>
        <v>3</v>
      </c>
      <c r="R693">
        <f>HLOOKUP(O693,'Lister og genveje'!$E$50:$G$52,2,0)</f>
        <v>3.2</v>
      </c>
      <c r="S693">
        <f>HLOOKUP(O693,'Lister og genveje'!$E$50:$G$52,3,0)</f>
        <v>4.8</v>
      </c>
      <c r="T693">
        <f>VLOOKUP(M693,'Lister og genveje'!$D$39:$J$46,7,0)</f>
        <v>0.5</v>
      </c>
    </row>
    <row r="694" spans="12:20">
      <c r="L694" s="78" t="s">
        <v>235</v>
      </c>
      <c r="M694" t="s">
        <v>148</v>
      </c>
      <c r="N694">
        <v>13</v>
      </c>
      <c r="O694" t="s">
        <v>38</v>
      </c>
      <c r="P694" t="str">
        <f>'Lister og genveje'!$F$38</f>
        <v>1 Pol</v>
      </c>
      <c r="Q694">
        <f>INDEX('Lister og genveje'!$E$39:$I$46,MATCH(M694,'Lister og genveje'!$D$39:$D$46,0),MATCH(P694,'Lister og genveje'!$E$38:$I$38,0),1)</f>
        <v>3</v>
      </c>
      <c r="R694">
        <f>HLOOKUP(O694,'Lister og genveje'!$E$50:$G$52,2,0)</f>
        <v>3.2</v>
      </c>
      <c r="S694">
        <f>HLOOKUP(O694,'Lister og genveje'!$E$50:$G$52,3,0)</f>
        <v>4.8</v>
      </c>
      <c r="T694">
        <f>VLOOKUP(M694,'Lister og genveje'!$D$39:$J$46,7,0)</f>
        <v>0.5</v>
      </c>
    </row>
    <row r="695" spans="12:20">
      <c r="L695" s="78" t="s">
        <v>235</v>
      </c>
      <c r="M695" t="s">
        <v>148</v>
      </c>
      <c r="N695">
        <v>16</v>
      </c>
      <c r="O695" t="s">
        <v>38</v>
      </c>
      <c r="P695" t="str">
        <f>'Lister og genveje'!$F$38</f>
        <v>1 Pol</v>
      </c>
      <c r="Q695">
        <f>INDEX('Lister og genveje'!$E$39:$I$46,MATCH(M695,'Lister og genveje'!$D$39:$D$46,0),MATCH(P695,'Lister og genveje'!$E$38:$I$38,0),1)</f>
        <v>3</v>
      </c>
      <c r="R695">
        <f>HLOOKUP(O695,'Lister og genveje'!$E$50:$G$52,2,0)</f>
        <v>3.2</v>
      </c>
      <c r="S695">
        <f>HLOOKUP(O695,'Lister og genveje'!$E$50:$G$52,3,0)</f>
        <v>4.8</v>
      </c>
      <c r="T695">
        <f>VLOOKUP(M695,'Lister og genveje'!$D$39:$J$46,7,0)</f>
        <v>0.5</v>
      </c>
    </row>
    <row r="696" spans="12:20">
      <c r="L696" s="78" t="s">
        <v>235</v>
      </c>
      <c r="M696" t="s">
        <v>148</v>
      </c>
      <c r="N696">
        <v>20</v>
      </c>
      <c r="O696" t="s">
        <v>38</v>
      </c>
      <c r="P696" t="str">
        <f>'Lister og genveje'!$F$38</f>
        <v>1 Pol</v>
      </c>
      <c r="Q696">
        <f>INDEX('Lister og genveje'!$E$39:$I$46,MATCH(M696,'Lister og genveje'!$D$39:$D$46,0),MATCH(P696,'Lister og genveje'!$E$38:$I$38,0),1)</f>
        <v>3</v>
      </c>
      <c r="R696">
        <f>HLOOKUP(O696,'Lister og genveje'!$E$50:$G$52,2,0)</f>
        <v>3.2</v>
      </c>
      <c r="S696">
        <f>HLOOKUP(O696,'Lister og genveje'!$E$50:$G$52,3,0)</f>
        <v>4.8</v>
      </c>
      <c r="T696">
        <f>VLOOKUP(M696,'Lister og genveje'!$D$39:$J$46,7,0)</f>
        <v>0.5</v>
      </c>
    </row>
    <row r="697" spans="12:20">
      <c r="L697" s="78" t="s">
        <v>235</v>
      </c>
      <c r="M697" t="s">
        <v>148</v>
      </c>
      <c r="N697">
        <v>25</v>
      </c>
      <c r="O697" t="s">
        <v>38</v>
      </c>
      <c r="P697" t="str">
        <f>'Lister og genveje'!$F$38</f>
        <v>1 Pol</v>
      </c>
      <c r="Q697">
        <f>INDEX('Lister og genveje'!$E$39:$I$46,MATCH(M697,'Lister og genveje'!$D$39:$D$46,0),MATCH(P697,'Lister og genveje'!$E$38:$I$38,0),1)</f>
        <v>3</v>
      </c>
      <c r="R697">
        <f>HLOOKUP(O697,'Lister og genveje'!$E$50:$G$52,2,0)</f>
        <v>3.2</v>
      </c>
      <c r="S697">
        <f>HLOOKUP(O697,'Lister og genveje'!$E$50:$G$52,3,0)</f>
        <v>4.8</v>
      </c>
      <c r="T697">
        <f>VLOOKUP(M697,'Lister og genveje'!$D$39:$J$46,7,0)</f>
        <v>0.5</v>
      </c>
    </row>
    <row r="698" spans="12:20">
      <c r="L698" s="78" t="s">
        <v>235</v>
      </c>
      <c r="M698" t="s">
        <v>148</v>
      </c>
      <c r="N698">
        <v>32</v>
      </c>
      <c r="O698" t="s">
        <v>38</v>
      </c>
      <c r="P698" t="str">
        <f>'Lister og genveje'!$F$38</f>
        <v>1 Pol</v>
      </c>
      <c r="Q698">
        <f>INDEX('Lister og genveje'!$E$39:$I$46,MATCH(M698,'Lister og genveje'!$D$39:$D$46,0),MATCH(P698,'Lister og genveje'!$E$38:$I$38,0),1)</f>
        <v>3</v>
      </c>
      <c r="R698">
        <f>HLOOKUP(O698,'Lister og genveje'!$E$50:$G$52,2,0)</f>
        <v>3.2</v>
      </c>
      <c r="S698">
        <f>HLOOKUP(O698,'Lister og genveje'!$E$50:$G$52,3,0)</f>
        <v>4.8</v>
      </c>
      <c r="T698">
        <f>VLOOKUP(M698,'Lister og genveje'!$D$39:$J$46,7,0)</f>
        <v>0.5</v>
      </c>
    </row>
    <row r="699" spans="12:20">
      <c r="L699" s="78" t="s">
        <v>235</v>
      </c>
      <c r="M699" t="s">
        <v>148</v>
      </c>
      <c r="N699">
        <v>40</v>
      </c>
      <c r="O699" t="s">
        <v>38</v>
      </c>
      <c r="P699" t="str">
        <f>'Lister og genveje'!$F$38</f>
        <v>1 Pol</v>
      </c>
      <c r="Q699">
        <f>INDEX('Lister og genveje'!$E$39:$I$46,MATCH(M699,'Lister og genveje'!$D$39:$D$46,0),MATCH(P699,'Lister og genveje'!$E$38:$I$38,0),1)</f>
        <v>3</v>
      </c>
      <c r="R699">
        <f>HLOOKUP(O699,'Lister og genveje'!$E$50:$G$52,2,0)</f>
        <v>3.2</v>
      </c>
      <c r="S699">
        <f>HLOOKUP(O699,'Lister og genveje'!$E$50:$G$52,3,0)</f>
        <v>4.8</v>
      </c>
      <c r="T699">
        <f>VLOOKUP(M699,'Lister og genveje'!$D$39:$J$46,7,0)</f>
        <v>0.5</v>
      </c>
    </row>
    <row r="700" spans="12:20">
      <c r="L700" s="78" t="s">
        <v>235</v>
      </c>
      <c r="M700" t="s">
        <v>148</v>
      </c>
      <c r="N700">
        <v>50</v>
      </c>
      <c r="O700" t="s">
        <v>38</v>
      </c>
      <c r="P700" t="str">
        <f>'Lister og genveje'!$F$38</f>
        <v>1 Pol</v>
      </c>
      <c r="Q700">
        <f>INDEX('Lister og genveje'!$E$39:$I$46,MATCH(M700,'Lister og genveje'!$D$39:$D$46,0),MATCH(P700,'Lister og genveje'!$E$38:$I$38,0),1)</f>
        <v>3</v>
      </c>
      <c r="R700">
        <f>HLOOKUP(O700,'Lister og genveje'!$E$50:$G$52,2,0)</f>
        <v>3.2</v>
      </c>
      <c r="S700">
        <f>HLOOKUP(O700,'Lister og genveje'!$E$50:$G$52,3,0)</f>
        <v>4.8</v>
      </c>
      <c r="T700">
        <f>VLOOKUP(M700,'Lister og genveje'!$D$39:$J$46,7,0)</f>
        <v>0.5</v>
      </c>
    </row>
    <row r="701" spans="12:20">
      <c r="L701" s="78" t="s">
        <v>235</v>
      </c>
      <c r="M701" t="s">
        <v>148</v>
      </c>
      <c r="N701">
        <v>63</v>
      </c>
      <c r="O701" t="s">
        <v>38</v>
      </c>
      <c r="P701" t="str">
        <f>'Lister og genveje'!$F$38</f>
        <v>1 Pol</v>
      </c>
      <c r="Q701">
        <f>INDEX('Lister og genveje'!$E$39:$I$46,MATCH(M701,'Lister og genveje'!$D$39:$D$46,0),MATCH(P701,'Lister og genveje'!$E$38:$I$38,0),1)</f>
        <v>3</v>
      </c>
      <c r="R701">
        <f>HLOOKUP(O701,'Lister og genveje'!$E$50:$G$52,2,0)</f>
        <v>3.2</v>
      </c>
      <c r="S701">
        <f>HLOOKUP(O701,'Lister og genveje'!$E$50:$G$52,3,0)</f>
        <v>4.8</v>
      </c>
      <c r="T701">
        <f>VLOOKUP(M701,'Lister og genveje'!$D$39:$J$46,7,0)</f>
        <v>0.5</v>
      </c>
    </row>
    <row r="702" spans="12:20">
      <c r="L702" s="78" t="s">
        <v>235</v>
      </c>
      <c r="M702" t="s">
        <v>148</v>
      </c>
      <c r="N702">
        <v>1</v>
      </c>
      <c r="O702" t="s">
        <v>155</v>
      </c>
      <c r="P702" t="str">
        <f>'Lister og genveje'!$F$38</f>
        <v>1 Pol</v>
      </c>
      <c r="Q702">
        <f>INDEX('Lister og genveje'!$E$39:$I$46,MATCH(M702,'Lister og genveje'!$D$39:$D$46,0),MATCH(P702,'Lister og genveje'!$E$38:$I$38,0),1)</f>
        <v>3</v>
      </c>
      <c r="R702">
        <f>HLOOKUP(O702,'Lister og genveje'!$E$50:$G$52,2,0)</f>
        <v>7</v>
      </c>
      <c r="S702">
        <f>HLOOKUP(O702,'Lister og genveje'!$E$50:$G$52,3,0)</f>
        <v>10</v>
      </c>
      <c r="T702">
        <f>VLOOKUP(M702,'Lister og genveje'!$D$39:$J$46,7,0)</f>
        <v>0.5</v>
      </c>
    </row>
    <row r="703" spans="12:20">
      <c r="L703" s="78" t="s">
        <v>235</v>
      </c>
      <c r="M703" t="s">
        <v>148</v>
      </c>
      <c r="N703">
        <v>1</v>
      </c>
      <c r="O703" t="s">
        <v>155</v>
      </c>
      <c r="P703" t="str">
        <f>'Lister og genveje'!$F$38</f>
        <v>1 Pol</v>
      </c>
      <c r="Q703">
        <f>INDEX('Lister og genveje'!$E$39:$I$46,MATCH(M703,'Lister og genveje'!$D$39:$D$46,0),MATCH(P703,'Lister og genveje'!$E$38:$I$38,0),1)</f>
        <v>3</v>
      </c>
      <c r="R703">
        <f>HLOOKUP(O703,'Lister og genveje'!$E$50:$G$52,2,0)</f>
        <v>7</v>
      </c>
      <c r="S703">
        <f>HLOOKUP(O703,'Lister og genveje'!$E$50:$G$52,3,0)</f>
        <v>10</v>
      </c>
      <c r="T703">
        <f>VLOOKUP(M703,'Lister og genveje'!$D$39:$J$46,7,0)</f>
        <v>0.5</v>
      </c>
    </row>
    <row r="704" spans="12:20">
      <c r="L704" s="78" t="s">
        <v>235</v>
      </c>
      <c r="M704" t="s">
        <v>148</v>
      </c>
      <c r="N704">
        <v>2</v>
      </c>
      <c r="O704" t="s">
        <v>155</v>
      </c>
      <c r="P704" t="str">
        <f>'Lister og genveje'!$F$38</f>
        <v>1 Pol</v>
      </c>
      <c r="Q704">
        <f>INDEX('Lister og genveje'!$E$39:$I$46,MATCH(M704,'Lister og genveje'!$D$39:$D$46,0),MATCH(P704,'Lister og genveje'!$E$38:$I$38,0),1)</f>
        <v>3</v>
      </c>
      <c r="R704">
        <f>HLOOKUP(O704,'Lister og genveje'!$E$50:$G$52,2,0)</f>
        <v>7</v>
      </c>
      <c r="S704">
        <f>HLOOKUP(O704,'Lister og genveje'!$E$50:$G$52,3,0)</f>
        <v>10</v>
      </c>
      <c r="T704">
        <f>VLOOKUP(M704,'Lister og genveje'!$D$39:$J$46,7,0)</f>
        <v>0.5</v>
      </c>
    </row>
    <row r="705" spans="12:20">
      <c r="L705" s="78" t="s">
        <v>235</v>
      </c>
      <c r="M705" t="s">
        <v>148</v>
      </c>
      <c r="N705">
        <v>3</v>
      </c>
      <c r="O705" t="s">
        <v>155</v>
      </c>
      <c r="P705" t="str">
        <f>'Lister og genveje'!$F$38</f>
        <v>1 Pol</v>
      </c>
      <c r="Q705">
        <f>INDEX('Lister og genveje'!$E$39:$I$46,MATCH(M705,'Lister og genveje'!$D$39:$D$46,0),MATCH(P705,'Lister og genveje'!$E$38:$I$38,0),1)</f>
        <v>3</v>
      </c>
      <c r="R705">
        <f>HLOOKUP(O705,'Lister og genveje'!$E$50:$G$52,2,0)</f>
        <v>7</v>
      </c>
      <c r="S705">
        <f>HLOOKUP(O705,'Lister og genveje'!$E$50:$G$52,3,0)</f>
        <v>10</v>
      </c>
      <c r="T705">
        <f>VLOOKUP(M705,'Lister og genveje'!$D$39:$J$46,7,0)</f>
        <v>0.5</v>
      </c>
    </row>
    <row r="706" spans="12:20">
      <c r="L706" s="78" t="s">
        <v>235</v>
      </c>
      <c r="M706" t="s">
        <v>148</v>
      </c>
      <c r="N706">
        <v>4</v>
      </c>
      <c r="O706" t="s">
        <v>155</v>
      </c>
      <c r="P706" t="str">
        <f>'Lister og genveje'!$F$38</f>
        <v>1 Pol</v>
      </c>
      <c r="Q706">
        <f>INDEX('Lister og genveje'!$E$39:$I$46,MATCH(M706,'Lister og genveje'!$D$39:$D$46,0),MATCH(P706,'Lister og genveje'!$E$38:$I$38,0),1)</f>
        <v>3</v>
      </c>
      <c r="R706">
        <f>HLOOKUP(O706,'Lister og genveje'!$E$50:$G$52,2,0)</f>
        <v>7</v>
      </c>
      <c r="S706">
        <f>HLOOKUP(O706,'Lister og genveje'!$E$50:$G$52,3,0)</f>
        <v>10</v>
      </c>
      <c r="T706">
        <f>VLOOKUP(M706,'Lister og genveje'!$D$39:$J$46,7,0)</f>
        <v>0.5</v>
      </c>
    </row>
    <row r="707" spans="12:20">
      <c r="L707" s="78" t="s">
        <v>235</v>
      </c>
      <c r="M707" t="s">
        <v>148</v>
      </c>
      <c r="N707">
        <v>6</v>
      </c>
      <c r="O707" t="s">
        <v>155</v>
      </c>
      <c r="P707" t="str">
        <f>'Lister og genveje'!$F$38</f>
        <v>1 Pol</v>
      </c>
      <c r="Q707">
        <f>INDEX('Lister og genveje'!$E$39:$I$46,MATCH(M707,'Lister og genveje'!$D$39:$D$46,0),MATCH(P707,'Lister og genveje'!$E$38:$I$38,0),1)</f>
        <v>3</v>
      </c>
      <c r="R707">
        <f>HLOOKUP(O707,'Lister og genveje'!$E$50:$G$52,2,0)</f>
        <v>7</v>
      </c>
      <c r="S707">
        <f>HLOOKUP(O707,'Lister og genveje'!$E$50:$G$52,3,0)</f>
        <v>10</v>
      </c>
      <c r="T707">
        <f>VLOOKUP(M707,'Lister og genveje'!$D$39:$J$46,7,0)</f>
        <v>0.5</v>
      </c>
    </row>
    <row r="708" spans="12:20">
      <c r="L708" s="78" t="s">
        <v>235</v>
      </c>
      <c r="M708" t="s">
        <v>148</v>
      </c>
      <c r="N708">
        <v>10</v>
      </c>
      <c r="O708" t="s">
        <v>155</v>
      </c>
      <c r="P708" t="str">
        <f>'Lister og genveje'!$F$38</f>
        <v>1 Pol</v>
      </c>
      <c r="Q708">
        <f>INDEX('Lister og genveje'!$E$39:$I$46,MATCH(M708,'Lister og genveje'!$D$39:$D$46,0),MATCH(P708,'Lister og genveje'!$E$38:$I$38,0),1)</f>
        <v>3</v>
      </c>
      <c r="R708">
        <f>HLOOKUP(O708,'Lister og genveje'!$E$50:$G$52,2,0)</f>
        <v>7</v>
      </c>
      <c r="S708">
        <f>HLOOKUP(O708,'Lister og genveje'!$E$50:$G$52,3,0)</f>
        <v>10</v>
      </c>
      <c r="T708">
        <f>VLOOKUP(M708,'Lister og genveje'!$D$39:$J$46,7,0)</f>
        <v>0.5</v>
      </c>
    </row>
    <row r="709" spans="12:20">
      <c r="L709" s="78" t="s">
        <v>235</v>
      </c>
      <c r="M709" t="s">
        <v>148</v>
      </c>
      <c r="N709">
        <v>13</v>
      </c>
      <c r="O709" t="s">
        <v>155</v>
      </c>
      <c r="P709" t="str">
        <f>'Lister og genveje'!$F$38</f>
        <v>1 Pol</v>
      </c>
      <c r="Q709">
        <f>INDEX('Lister og genveje'!$E$39:$I$46,MATCH(M709,'Lister og genveje'!$D$39:$D$46,0),MATCH(P709,'Lister og genveje'!$E$38:$I$38,0),1)</f>
        <v>3</v>
      </c>
      <c r="R709">
        <f>HLOOKUP(O709,'Lister og genveje'!$E$50:$G$52,2,0)</f>
        <v>7</v>
      </c>
      <c r="S709">
        <f>HLOOKUP(O709,'Lister og genveje'!$E$50:$G$52,3,0)</f>
        <v>10</v>
      </c>
      <c r="T709">
        <f>VLOOKUP(M709,'Lister og genveje'!$D$39:$J$46,7,0)</f>
        <v>0.5</v>
      </c>
    </row>
    <row r="710" spans="12:20">
      <c r="L710" s="78" t="s">
        <v>235</v>
      </c>
      <c r="M710" t="s">
        <v>148</v>
      </c>
      <c r="N710">
        <v>16</v>
      </c>
      <c r="O710" t="s">
        <v>155</v>
      </c>
      <c r="P710" t="str">
        <f>'Lister og genveje'!$F$38</f>
        <v>1 Pol</v>
      </c>
      <c r="Q710">
        <f>INDEX('Lister og genveje'!$E$39:$I$46,MATCH(M710,'Lister og genveje'!$D$39:$D$46,0),MATCH(P710,'Lister og genveje'!$E$38:$I$38,0),1)</f>
        <v>3</v>
      </c>
      <c r="R710">
        <f>HLOOKUP(O710,'Lister og genveje'!$E$50:$G$52,2,0)</f>
        <v>7</v>
      </c>
      <c r="S710">
        <f>HLOOKUP(O710,'Lister og genveje'!$E$50:$G$52,3,0)</f>
        <v>10</v>
      </c>
      <c r="T710">
        <f>VLOOKUP(M710,'Lister og genveje'!$D$39:$J$46,7,0)</f>
        <v>0.5</v>
      </c>
    </row>
    <row r="711" spans="12:20">
      <c r="L711" s="78" t="s">
        <v>235</v>
      </c>
      <c r="M711" t="s">
        <v>148</v>
      </c>
      <c r="N711">
        <v>20</v>
      </c>
      <c r="O711" t="s">
        <v>155</v>
      </c>
      <c r="P711" t="str">
        <f>'Lister og genveje'!$F$38</f>
        <v>1 Pol</v>
      </c>
      <c r="Q711">
        <f>INDEX('Lister og genveje'!$E$39:$I$46,MATCH(M711,'Lister og genveje'!$D$39:$D$46,0),MATCH(P711,'Lister og genveje'!$E$38:$I$38,0),1)</f>
        <v>3</v>
      </c>
      <c r="R711">
        <f>HLOOKUP(O711,'Lister og genveje'!$E$50:$G$52,2,0)</f>
        <v>7</v>
      </c>
      <c r="S711">
        <f>HLOOKUP(O711,'Lister og genveje'!$E$50:$G$52,3,0)</f>
        <v>10</v>
      </c>
      <c r="T711">
        <f>VLOOKUP(M711,'Lister og genveje'!$D$39:$J$46,7,0)</f>
        <v>0.5</v>
      </c>
    </row>
    <row r="712" spans="12:20">
      <c r="L712" s="78" t="s">
        <v>235</v>
      </c>
      <c r="M712" t="s">
        <v>148</v>
      </c>
      <c r="N712">
        <v>25</v>
      </c>
      <c r="O712" t="s">
        <v>155</v>
      </c>
      <c r="P712" t="str">
        <f>'Lister og genveje'!$F$38</f>
        <v>1 Pol</v>
      </c>
      <c r="Q712">
        <f>INDEX('Lister og genveje'!$E$39:$I$46,MATCH(M712,'Lister og genveje'!$D$39:$D$46,0),MATCH(P712,'Lister og genveje'!$E$38:$I$38,0),1)</f>
        <v>3</v>
      </c>
      <c r="R712">
        <f>HLOOKUP(O712,'Lister og genveje'!$E$50:$G$52,2,0)</f>
        <v>7</v>
      </c>
      <c r="S712">
        <f>HLOOKUP(O712,'Lister og genveje'!$E$50:$G$52,3,0)</f>
        <v>10</v>
      </c>
      <c r="T712">
        <f>VLOOKUP(M712,'Lister og genveje'!$D$39:$J$46,7,0)</f>
        <v>0.5</v>
      </c>
    </row>
    <row r="713" spans="12:20">
      <c r="L713" s="78" t="s">
        <v>235</v>
      </c>
      <c r="M713" t="s">
        <v>148</v>
      </c>
      <c r="N713">
        <v>32</v>
      </c>
      <c r="O713" t="s">
        <v>155</v>
      </c>
      <c r="P713" t="str">
        <f>'Lister og genveje'!$F$38</f>
        <v>1 Pol</v>
      </c>
      <c r="Q713">
        <f>INDEX('Lister og genveje'!$E$39:$I$46,MATCH(M713,'Lister og genveje'!$D$39:$D$46,0),MATCH(P713,'Lister og genveje'!$E$38:$I$38,0),1)</f>
        <v>3</v>
      </c>
      <c r="R713">
        <f>HLOOKUP(O713,'Lister og genveje'!$E$50:$G$52,2,0)</f>
        <v>7</v>
      </c>
      <c r="S713">
        <f>HLOOKUP(O713,'Lister og genveje'!$E$50:$G$52,3,0)</f>
        <v>10</v>
      </c>
      <c r="T713">
        <f>VLOOKUP(M713,'Lister og genveje'!$D$39:$J$46,7,0)</f>
        <v>0.5</v>
      </c>
    </row>
    <row r="714" spans="12:20">
      <c r="L714" s="78" t="s">
        <v>235</v>
      </c>
      <c r="M714" t="s">
        <v>148</v>
      </c>
      <c r="N714">
        <v>40</v>
      </c>
      <c r="O714" t="s">
        <v>155</v>
      </c>
      <c r="P714" t="str">
        <f>'Lister og genveje'!$F$38</f>
        <v>1 Pol</v>
      </c>
      <c r="Q714">
        <f>INDEX('Lister og genveje'!$E$39:$I$46,MATCH(M714,'Lister og genveje'!$D$39:$D$46,0),MATCH(P714,'Lister og genveje'!$E$38:$I$38,0),1)</f>
        <v>3</v>
      </c>
      <c r="R714">
        <f>HLOOKUP(O714,'Lister og genveje'!$E$50:$G$52,2,0)</f>
        <v>7</v>
      </c>
      <c r="S714">
        <f>HLOOKUP(O714,'Lister og genveje'!$E$50:$G$52,3,0)</f>
        <v>10</v>
      </c>
      <c r="T714">
        <f>VLOOKUP(M714,'Lister og genveje'!$D$39:$J$46,7,0)</f>
        <v>0.5</v>
      </c>
    </row>
    <row r="715" spans="12:20">
      <c r="L715" s="78" t="s">
        <v>235</v>
      </c>
      <c r="M715" t="s">
        <v>148</v>
      </c>
      <c r="N715">
        <v>50</v>
      </c>
      <c r="O715" t="s">
        <v>155</v>
      </c>
      <c r="P715" t="str">
        <f>'Lister og genveje'!$F$38</f>
        <v>1 Pol</v>
      </c>
      <c r="Q715">
        <f>INDEX('Lister og genveje'!$E$39:$I$46,MATCH(M715,'Lister og genveje'!$D$39:$D$46,0),MATCH(P715,'Lister og genveje'!$E$38:$I$38,0),1)</f>
        <v>3</v>
      </c>
      <c r="R715">
        <f>HLOOKUP(O715,'Lister og genveje'!$E$50:$G$52,2,0)</f>
        <v>7</v>
      </c>
      <c r="S715">
        <f>HLOOKUP(O715,'Lister og genveje'!$E$50:$G$52,3,0)</f>
        <v>10</v>
      </c>
      <c r="T715">
        <f>VLOOKUP(M715,'Lister og genveje'!$D$39:$J$46,7,0)</f>
        <v>0.5</v>
      </c>
    </row>
    <row r="716" spans="12:20">
      <c r="L716" s="78" t="s">
        <v>235</v>
      </c>
      <c r="M716" t="s">
        <v>148</v>
      </c>
      <c r="N716">
        <v>63</v>
      </c>
      <c r="O716" t="s">
        <v>155</v>
      </c>
      <c r="P716" t="str">
        <f>'Lister og genveje'!$F$38</f>
        <v>1 Pol</v>
      </c>
      <c r="Q716">
        <f>INDEX('Lister og genveje'!$E$39:$I$46,MATCH(M716,'Lister og genveje'!$D$39:$D$46,0),MATCH(P716,'Lister og genveje'!$E$38:$I$38,0),1)</f>
        <v>3</v>
      </c>
      <c r="R716">
        <f>HLOOKUP(O716,'Lister og genveje'!$E$50:$G$52,2,0)</f>
        <v>7</v>
      </c>
      <c r="S716">
        <f>HLOOKUP(O716,'Lister og genveje'!$E$50:$G$52,3,0)</f>
        <v>10</v>
      </c>
      <c r="T716">
        <f>VLOOKUP(M716,'Lister og genveje'!$D$39:$J$46,7,0)</f>
        <v>0.5</v>
      </c>
    </row>
    <row r="717" spans="12:20">
      <c r="L717" s="78" t="s">
        <v>235</v>
      </c>
      <c r="M717" t="s">
        <v>148</v>
      </c>
      <c r="N717">
        <v>1</v>
      </c>
      <c r="O717" t="s">
        <v>165</v>
      </c>
      <c r="P717" t="str">
        <f>'Lister og genveje'!$F$38</f>
        <v>1 Pol</v>
      </c>
      <c r="Q717">
        <f>INDEX('Lister og genveje'!$E$39:$I$46,MATCH(M717,'Lister og genveje'!$D$39:$D$46,0),MATCH(P717,'Lister og genveje'!$E$38:$I$38,0),1)</f>
        <v>3</v>
      </c>
      <c r="R717">
        <f>HLOOKUP(O717,'Lister og genveje'!$E$50:$G$52,2,0)</f>
        <v>10</v>
      </c>
      <c r="S717">
        <f>HLOOKUP(O717,'Lister og genveje'!$E$50:$G$52,3,0)</f>
        <v>14</v>
      </c>
      <c r="T717">
        <f>VLOOKUP(M717,'Lister og genveje'!$D$39:$J$46,7,0)</f>
        <v>0.5</v>
      </c>
    </row>
    <row r="718" spans="12:20">
      <c r="L718" s="78" t="s">
        <v>235</v>
      </c>
      <c r="M718" t="s">
        <v>148</v>
      </c>
      <c r="N718">
        <v>1</v>
      </c>
      <c r="O718" t="s">
        <v>165</v>
      </c>
      <c r="P718" t="str">
        <f>'Lister og genveje'!$F$38</f>
        <v>1 Pol</v>
      </c>
      <c r="Q718">
        <f>INDEX('Lister og genveje'!$E$39:$I$46,MATCH(M718,'Lister og genveje'!$D$39:$D$46,0),MATCH(P718,'Lister og genveje'!$E$38:$I$38,0),1)</f>
        <v>3</v>
      </c>
      <c r="R718">
        <f>HLOOKUP(O718,'Lister og genveje'!$E$50:$G$52,2,0)</f>
        <v>10</v>
      </c>
      <c r="S718">
        <f>HLOOKUP(O718,'Lister og genveje'!$E$50:$G$52,3,0)</f>
        <v>14</v>
      </c>
      <c r="T718">
        <f>VLOOKUP(M718,'Lister og genveje'!$D$39:$J$46,7,0)</f>
        <v>0.5</v>
      </c>
    </row>
    <row r="719" spans="12:20">
      <c r="L719" s="78" t="s">
        <v>235</v>
      </c>
      <c r="M719" t="s">
        <v>148</v>
      </c>
      <c r="N719">
        <v>2</v>
      </c>
      <c r="O719" t="s">
        <v>165</v>
      </c>
      <c r="P719" t="str">
        <f>'Lister og genveje'!$F$38</f>
        <v>1 Pol</v>
      </c>
      <c r="Q719">
        <f>INDEX('Lister og genveje'!$E$39:$I$46,MATCH(M719,'Lister og genveje'!$D$39:$D$46,0),MATCH(P719,'Lister og genveje'!$E$38:$I$38,0),1)</f>
        <v>3</v>
      </c>
      <c r="R719">
        <f>HLOOKUP(O719,'Lister og genveje'!$E$50:$G$52,2,0)</f>
        <v>10</v>
      </c>
      <c r="S719">
        <f>HLOOKUP(O719,'Lister og genveje'!$E$50:$G$52,3,0)</f>
        <v>14</v>
      </c>
      <c r="T719">
        <f>VLOOKUP(M719,'Lister og genveje'!$D$39:$J$46,7,0)</f>
        <v>0.5</v>
      </c>
    </row>
    <row r="720" spans="12:20">
      <c r="L720" s="78" t="s">
        <v>235</v>
      </c>
      <c r="M720" t="s">
        <v>148</v>
      </c>
      <c r="N720">
        <v>3</v>
      </c>
      <c r="O720" t="s">
        <v>165</v>
      </c>
      <c r="P720" t="str">
        <f>'Lister og genveje'!$F$38</f>
        <v>1 Pol</v>
      </c>
      <c r="Q720">
        <f>INDEX('Lister og genveje'!$E$39:$I$46,MATCH(M720,'Lister og genveje'!$D$39:$D$46,0),MATCH(P720,'Lister og genveje'!$E$38:$I$38,0),1)</f>
        <v>3</v>
      </c>
      <c r="R720">
        <f>HLOOKUP(O720,'Lister og genveje'!$E$50:$G$52,2,0)</f>
        <v>10</v>
      </c>
      <c r="S720">
        <f>HLOOKUP(O720,'Lister og genveje'!$E$50:$G$52,3,0)</f>
        <v>14</v>
      </c>
      <c r="T720">
        <f>VLOOKUP(M720,'Lister og genveje'!$D$39:$J$46,7,0)</f>
        <v>0.5</v>
      </c>
    </row>
    <row r="721" spans="12:20">
      <c r="L721" s="78" t="s">
        <v>235</v>
      </c>
      <c r="M721" t="s">
        <v>148</v>
      </c>
      <c r="N721">
        <v>4</v>
      </c>
      <c r="O721" t="s">
        <v>165</v>
      </c>
      <c r="P721" t="str">
        <f>'Lister og genveje'!$F$38</f>
        <v>1 Pol</v>
      </c>
      <c r="Q721">
        <f>INDEX('Lister og genveje'!$E$39:$I$46,MATCH(M721,'Lister og genveje'!$D$39:$D$46,0),MATCH(P721,'Lister og genveje'!$E$38:$I$38,0),1)</f>
        <v>3</v>
      </c>
      <c r="R721">
        <f>HLOOKUP(O721,'Lister og genveje'!$E$50:$G$52,2,0)</f>
        <v>10</v>
      </c>
      <c r="S721">
        <f>HLOOKUP(O721,'Lister og genveje'!$E$50:$G$52,3,0)</f>
        <v>14</v>
      </c>
      <c r="T721">
        <f>VLOOKUP(M721,'Lister og genveje'!$D$39:$J$46,7,0)</f>
        <v>0.5</v>
      </c>
    </row>
    <row r="722" spans="12:20">
      <c r="L722" s="78" t="s">
        <v>235</v>
      </c>
      <c r="M722" t="s">
        <v>148</v>
      </c>
      <c r="N722">
        <v>6</v>
      </c>
      <c r="O722" t="s">
        <v>165</v>
      </c>
      <c r="P722" t="str">
        <f>'Lister og genveje'!$F$38</f>
        <v>1 Pol</v>
      </c>
      <c r="Q722">
        <f>INDEX('Lister og genveje'!$E$39:$I$46,MATCH(M722,'Lister og genveje'!$D$39:$D$46,0),MATCH(P722,'Lister og genveje'!$E$38:$I$38,0),1)</f>
        <v>3</v>
      </c>
      <c r="R722">
        <f>HLOOKUP(O722,'Lister og genveje'!$E$50:$G$52,2,0)</f>
        <v>10</v>
      </c>
      <c r="S722">
        <f>HLOOKUP(O722,'Lister og genveje'!$E$50:$G$52,3,0)</f>
        <v>14</v>
      </c>
      <c r="T722">
        <f>VLOOKUP(M722,'Lister og genveje'!$D$39:$J$46,7,0)</f>
        <v>0.5</v>
      </c>
    </row>
    <row r="723" spans="12:20">
      <c r="L723" s="78" t="s">
        <v>235</v>
      </c>
      <c r="M723" t="s">
        <v>148</v>
      </c>
      <c r="N723">
        <v>10</v>
      </c>
      <c r="O723" t="s">
        <v>165</v>
      </c>
      <c r="P723" t="str">
        <f>'Lister og genveje'!$F$38</f>
        <v>1 Pol</v>
      </c>
      <c r="Q723">
        <f>INDEX('Lister og genveje'!$E$39:$I$46,MATCH(M723,'Lister og genveje'!$D$39:$D$46,0),MATCH(P723,'Lister og genveje'!$E$38:$I$38,0),1)</f>
        <v>3</v>
      </c>
      <c r="R723">
        <f>HLOOKUP(O723,'Lister og genveje'!$E$50:$G$52,2,0)</f>
        <v>10</v>
      </c>
      <c r="S723">
        <f>HLOOKUP(O723,'Lister og genveje'!$E$50:$G$52,3,0)</f>
        <v>14</v>
      </c>
      <c r="T723">
        <f>VLOOKUP(M723,'Lister og genveje'!$D$39:$J$46,7,0)</f>
        <v>0.5</v>
      </c>
    </row>
    <row r="724" spans="12:20">
      <c r="L724" s="78" t="s">
        <v>235</v>
      </c>
      <c r="M724" t="s">
        <v>148</v>
      </c>
      <c r="N724">
        <v>13</v>
      </c>
      <c r="O724" t="s">
        <v>165</v>
      </c>
      <c r="P724" t="str">
        <f>'Lister og genveje'!$F$38</f>
        <v>1 Pol</v>
      </c>
      <c r="Q724">
        <f>INDEX('Lister og genveje'!$E$39:$I$46,MATCH(M724,'Lister og genveje'!$D$39:$D$46,0),MATCH(P724,'Lister og genveje'!$E$38:$I$38,0),1)</f>
        <v>3</v>
      </c>
      <c r="R724">
        <f>HLOOKUP(O724,'Lister og genveje'!$E$50:$G$52,2,0)</f>
        <v>10</v>
      </c>
      <c r="S724">
        <f>HLOOKUP(O724,'Lister og genveje'!$E$50:$G$52,3,0)</f>
        <v>14</v>
      </c>
      <c r="T724">
        <f>VLOOKUP(M724,'Lister og genveje'!$D$39:$J$46,7,0)</f>
        <v>0.5</v>
      </c>
    </row>
    <row r="725" spans="12:20">
      <c r="L725" s="78" t="s">
        <v>235</v>
      </c>
      <c r="M725" t="s">
        <v>148</v>
      </c>
      <c r="N725">
        <v>16</v>
      </c>
      <c r="O725" t="s">
        <v>165</v>
      </c>
      <c r="P725" t="str">
        <f>'Lister og genveje'!$F$38</f>
        <v>1 Pol</v>
      </c>
      <c r="Q725">
        <f>INDEX('Lister og genveje'!$E$39:$I$46,MATCH(M725,'Lister og genveje'!$D$39:$D$46,0),MATCH(P725,'Lister og genveje'!$E$38:$I$38,0),1)</f>
        <v>3</v>
      </c>
      <c r="R725">
        <f>HLOOKUP(O725,'Lister og genveje'!$E$50:$G$52,2,0)</f>
        <v>10</v>
      </c>
      <c r="S725">
        <f>HLOOKUP(O725,'Lister og genveje'!$E$50:$G$52,3,0)</f>
        <v>14</v>
      </c>
      <c r="T725">
        <f>VLOOKUP(M725,'Lister og genveje'!$D$39:$J$46,7,0)</f>
        <v>0.5</v>
      </c>
    </row>
    <row r="726" spans="12:20">
      <c r="L726" s="78" t="s">
        <v>235</v>
      </c>
      <c r="M726" t="s">
        <v>148</v>
      </c>
      <c r="N726">
        <v>20</v>
      </c>
      <c r="O726" t="s">
        <v>165</v>
      </c>
      <c r="P726" t="str">
        <f>'Lister og genveje'!$F$38</f>
        <v>1 Pol</v>
      </c>
      <c r="Q726">
        <f>INDEX('Lister og genveje'!$E$39:$I$46,MATCH(M726,'Lister og genveje'!$D$39:$D$46,0),MATCH(P726,'Lister og genveje'!$E$38:$I$38,0),1)</f>
        <v>3</v>
      </c>
      <c r="R726">
        <f>HLOOKUP(O726,'Lister og genveje'!$E$50:$G$52,2,0)</f>
        <v>10</v>
      </c>
      <c r="S726">
        <f>HLOOKUP(O726,'Lister og genveje'!$E$50:$G$52,3,0)</f>
        <v>14</v>
      </c>
      <c r="T726">
        <f>VLOOKUP(M726,'Lister og genveje'!$D$39:$J$46,7,0)</f>
        <v>0.5</v>
      </c>
    </row>
    <row r="727" spans="12:20">
      <c r="L727" s="78" t="s">
        <v>235</v>
      </c>
      <c r="M727" t="s">
        <v>148</v>
      </c>
      <c r="N727">
        <v>25</v>
      </c>
      <c r="O727" t="s">
        <v>165</v>
      </c>
      <c r="P727" t="str">
        <f>'Lister og genveje'!$F$38</f>
        <v>1 Pol</v>
      </c>
      <c r="Q727">
        <f>INDEX('Lister og genveje'!$E$39:$I$46,MATCH(M727,'Lister og genveje'!$D$39:$D$46,0),MATCH(P727,'Lister og genveje'!$E$38:$I$38,0),1)</f>
        <v>3</v>
      </c>
      <c r="R727">
        <f>HLOOKUP(O727,'Lister og genveje'!$E$50:$G$52,2,0)</f>
        <v>10</v>
      </c>
      <c r="S727">
        <f>HLOOKUP(O727,'Lister og genveje'!$E$50:$G$52,3,0)</f>
        <v>14</v>
      </c>
      <c r="T727">
        <f>VLOOKUP(M727,'Lister og genveje'!$D$39:$J$46,7,0)</f>
        <v>0.5</v>
      </c>
    </row>
    <row r="728" spans="12:20">
      <c r="L728" s="78" t="s">
        <v>235</v>
      </c>
      <c r="M728" t="s">
        <v>148</v>
      </c>
      <c r="N728">
        <v>32</v>
      </c>
      <c r="O728" t="s">
        <v>165</v>
      </c>
      <c r="P728" t="str">
        <f>'Lister og genveje'!$F$38</f>
        <v>1 Pol</v>
      </c>
      <c r="Q728">
        <f>INDEX('Lister og genveje'!$E$39:$I$46,MATCH(M728,'Lister og genveje'!$D$39:$D$46,0),MATCH(P728,'Lister og genveje'!$E$38:$I$38,0),1)</f>
        <v>3</v>
      </c>
      <c r="R728">
        <f>HLOOKUP(O728,'Lister og genveje'!$E$50:$G$52,2,0)</f>
        <v>10</v>
      </c>
      <c r="S728">
        <f>HLOOKUP(O728,'Lister og genveje'!$E$50:$G$52,3,0)</f>
        <v>14</v>
      </c>
      <c r="T728">
        <f>VLOOKUP(M728,'Lister og genveje'!$D$39:$J$46,7,0)</f>
        <v>0.5</v>
      </c>
    </row>
    <row r="729" spans="12:20">
      <c r="L729" s="78" t="s">
        <v>235</v>
      </c>
      <c r="M729" t="s">
        <v>148</v>
      </c>
      <c r="N729">
        <v>40</v>
      </c>
      <c r="O729" t="s">
        <v>165</v>
      </c>
      <c r="P729" t="str">
        <f>'Lister og genveje'!$F$38</f>
        <v>1 Pol</v>
      </c>
      <c r="Q729">
        <f>INDEX('Lister og genveje'!$E$39:$I$46,MATCH(M729,'Lister og genveje'!$D$39:$D$46,0),MATCH(P729,'Lister og genveje'!$E$38:$I$38,0),1)</f>
        <v>3</v>
      </c>
      <c r="R729">
        <f>HLOOKUP(O729,'Lister og genveje'!$E$50:$G$52,2,0)</f>
        <v>10</v>
      </c>
      <c r="S729">
        <f>HLOOKUP(O729,'Lister og genveje'!$E$50:$G$52,3,0)</f>
        <v>14</v>
      </c>
      <c r="T729">
        <f>VLOOKUP(M729,'Lister og genveje'!$D$39:$J$46,7,0)</f>
        <v>0.5</v>
      </c>
    </row>
    <row r="730" spans="12:20">
      <c r="L730" s="78" t="s">
        <v>235</v>
      </c>
      <c r="M730" t="s">
        <v>148</v>
      </c>
      <c r="N730">
        <v>50</v>
      </c>
      <c r="O730" t="s">
        <v>165</v>
      </c>
      <c r="P730" t="str">
        <f>'Lister og genveje'!$F$38</f>
        <v>1 Pol</v>
      </c>
      <c r="Q730">
        <f>INDEX('Lister og genveje'!$E$39:$I$46,MATCH(M730,'Lister og genveje'!$D$39:$D$46,0),MATCH(P730,'Lister og genveje'!$E$38:$I$38,0),1)</f>
        <v>3</v>
      </c>
      <c r="R730">
        <f>HLOOKUP(O730,'Lister og genveje'!$E$50:$G$52,2,0)</f>
        <v>10</v>
      </c>
      <c r="S730">
        <f>HLOOKUP(O730,'Lister og genveje'!$E$50:$G$52,3,0)</f>
        <v>14</v>
      </c>
      <c r="T730">
        <f>VLOOKUP(M730,'Lister og genveje'!$D$39:$J$46,7,0)</f>
        <v>0.5</v>
      </c>
    </row>
    <row r="731" spans="12:20">
      <c r="L731" s="78" t="s">
        <v>235</v>
      </c>
      <c r="M731" t="s">
        <v>148</v>
      </c>
      <c r="N731">
        <v>63</v>
      </c>
      <c r="O731" t="s">
        <v>165</v>
      </c>
      <c r="P731" t="str">
        <f>'Lister og genveje'!$F$38</f>
        <v>1 Pol</v>
      </c>
      <c r="Q731">
        <f>INDEX('Lister og genveje'!$E$39:$I$46,MATCH(M731,'Lister og genveje'!$D$39:$D$46,0),MATCH(P731,'Lister og genveje'!$E$38:$I$38,0),1)</f>
        <v>3</v>
      </c>
      <c r="R731">
        <f>HLOOKUP(O731,'Lister og genveje'!$E$50:$G$52,2,0)</f>
        <v>10</v>
      </c>
      <c r="S731">
        <f>HLOOKUP(O731,'Lister og genveje'!$E$50:$G$52,3,0)</f>
        <v>14</v>
      </c>
      <c r="T731">
        <f>VLOOKUP(M731,'Lister og genveje'!$D$39:$J$46,7,0)</f>
        <v>0.5</v>
      </c>
    </row>
    <row r="732" spans="12:20">
      <c r="L732" s="78" t="s">
        <v>235</v>
      </c>
      <c r="M732" t="s">
        <v>148</v>
      </c>
      <c r="N732">
        <v>1</v>
      </c>
      <c r="O732" t="s">
        <v>38</v>
      </c>
      <c r="P732" t="s">
        <v>162</v>
      </c>
      <c r="Q732">
        <f>INDEX('Lister og genveje'!$E$39:$I$46,MATCH(M732,'Lister og genveje'!$D$39:$D$46,0),MATCH(P732,'Lister og genveje'!$E$38:$I$38,0),1)</f>
        <v>15</v>
      </c>
      <c r="R732">
        <f>HLOOKUP(O732,'Lister og genveje'!$E$50:$G$52,2,0)</f>
        <v>3.2</v>
      </c>
      <c r="S732">
        <f>HLOOKUP(O732,'Lister og genveje'!$E$50:$G$52,3,0)</f>
        <v>4.8</v>
      </c>
      <c r="T732">
        <f>VLOOKUP(M732,'Lister og genveje'!$D$39:$J$46,7,0)</f>
        <v>0.5</v>
      </c>
    </row>
    <row r="733" spans="12:20">
      <c r="L733" s="78" t="s">
        <v>235</v>
      </c>
      <c r="M733" t="s">
        <v>148</v>
      </c>
      <c r="N733">
        <v>1</v>
      </c>
      <c r="O733" t="s">
        <v>38</v>
      </c>
      <c r="P733" t="s">
        <v>162</v>
      </c>
      <c r="Q733">
        <f>INDEX('Lister og genveje'!$E$39:$I$46,MATCH(M733,'Lister og genveje'!$D$39:$D$46,0),MATCH(P733,'Lister og genveje'!$E$38:$I$38,0),1)</f>
        <v>15</v>
      </c>
      <c r="R733">
        <f>HLOOKUP(O733,'Lister og genveje'!$E$50:$G$52,2,0)</f>
        <v>3.2</v>
      </c>
      <c r="S733">
        <f>HLOOKUP(O733,'Lister og genveje'!$E$50:$G$52,3,0)</f>
        <v>4.8</v>
      </c>
      <c r="T733">
        <f>VLOOKUP(M733,'Lister og genveje'!$D$39:$J$46,7,0)</f>
        <v>0.5</v>
      </c>
    </row>
    <row r="734" spans="12:20">
      <c r="L734" s="78" t="s">
        <v>235</v>
      </c>
      <c r="M734" t="s">
        <v>148</v>
      </c>
      <c r="N734">
        <v>2</v>
      </c>
      <c r="O734" t="s">
        <v>38</v>
      </c>
      <c r="P734" t="s">
        <v>162</v>
      </c>
      <c r="Q734">
        <f>INDEX('Lister og genveje'!$E$39:$I$46,MATCH(M734,'Lister og genveje'!$D$39:$D$46,0),MATCH(P734,'Lister og genveje'!$E$38:$I$38,0),1)</f>
        <v>15</v>
      </c>
      <c r="R734">
        <f>HLOOKUP(O734,'Lister og genveje'!$E$50:$G$52,2,0)</f>
        <v>3.2</v>
      </c>
      <c r="S734">
        <f>HLOOKUP(O734,'Lister og genveje'!$E$50:$G$52,3,0)</f>
        <v>4.8</v>
      </c>
      <c r="T734">
        <f>VLOOKUP(M734,'Lister og genveje'!$D$39:$J$46,7,0)</f>
        <v>0.5</v>
      </c>
    </row>
    <row r="735" spans="12:20">
      <c r="L735" s="78" t="s">
        <v>235</v>
      </c>
      <c r="M735" t="s">
        <v>148</v>
      </c>
      <c r="N735">
        <v>3</v>
      </c>
      <c r="O735" t="s">
        <v>38</v>
      </c>
      <c r="P735" t="s">
        <v>162</v>
      </c>
      <c r="Q735">
        <f>INDEX('Lister og genveje'!$E$39:$I$46,MATCH(M735,'Lister og genveje'!$D$39:$D$46,0),MATCH(P735,'Lister og genveje'!$E$38:$I$38,0),1)</f>
        <v>15</v>
      </c>
      <c r="R735">
        <f>HLOOKUP(O735,'Lister og genveje'!$E$50:$G$52,2,0)</f>
        <v>3.2</v>
      </c>
      <c r="S735">
        <f>HLOOKUP(O735,'Lister og genveje'!$E$50:$G$52,3,0)</f>
        <v>4.8</v>
      </c>
      <c r="T735">
        <f>VLOOKUP(M735,'Lister og genveje'!$D$39:$J$46,7,0)</f>
        <v>0.5</v>
      </c>
    </row>
    <row r="736" spans="12:20">
      <c r="L736" s="78" t="s">
        <v>235</v>
      </c>
      <c r="M736" t="s">
        <v>148</v>
      </c>
      <c r="N736">
        <v>4</v>
      </c>
      <c r="O736" t="s">
        <v>38</v>
      </c>
      <c r="P736" t="s">
        <v>162</v>
      </c>
      <c r="Q736">
        <f>INDEX('Lister og genveje'!$E$39:$I$46,MATCH(M736,'Lister og genveje'!$D$39:$D$46,0),MATCH(P736,'Lister og genveje'!$E$38:$I$38,0),1)</f>
        <v>15</v>
      </c>
      <c r="R736">
        <f>HLOOKUP(O736,'Lister og genveje'!$E$50:$G$52,2,0)</f>
        <v>3.2</v>
      </c>
      <c r="S736">
        <f>HLOOKUP(O736,'Lister og genveje'!$E$50:$G$52,3,0)</f>
        <v>4.8</v>
      </c>
      <c r="T736">
        <f>VLOOKUP(M736,'Lister og genveje'!$D$39:$J$46,7,0)</f>
        <v>0.5</v>
      </c>
    </row>
    <row r="737" spans="12:20">
      <c r="L737" s="78" t="s">
        <v>235</v>
      </c>
      <c r="M737" t="s">
        <v>148</v>
      </c>
      <c r="N737">
        <v>6</v>
      </c>
      <c r="O737" t="s">
        <v>38</v>
      </c>
      <c r="P737" t="s">
        <v>162</v>
      </c>
      <c r="Q737">
        <f>INDEX('Lister og genveje'!$E$39:$I$46,MATCH(M737,'Lister og genveje'!$D$39:$D$46,0),MATCH(P737,'Lister og genveje'!$E$38:$I$38,0),1)</f>
        <v>15</v>
      </c>
      <c r="R737">
        <f>HLOOKUP(O737,'Lister og genveje'!$E$50:$G$52,2,0)</f>
        <v>3.2</v>
      </c>
      <c r="S737">
        <f>HLOOKUP(O737,'Lister og genveje'!$E$50:$G$52,3,0)</f>
        <v>4.8</v>
      </c>
      <c r="T737">
        <f>VLOOKUP(M737,'Lister og genveje'!$D$39:$J$46,7,0)</f>
        <v>0.5</v>
      </c>
    </row>
    <row r="738" spans="12:20">
      <c r="L738" s="78" t="s">
        <v>235</v>
      </c>
      <c r="M738" t="s">
        <v>148</v>
      </c>
      <c r="N738">
        <v>10</v>
      </c>
      <c r="O738" t="s">
        <v>38</v>
      </c>
      <c r="P738" t="s">
        <v>162</v>
      </c>
      <c r="Q738">
        <f>INDEX('Lister og genveje'!$E$39:$I$46,MATCH(M738,'Lister og genveje'!$D$39:$D$46,0),MATCH(P738,'Lister og genveje'!$E$38:$I$38,0),1)</f>
        <v>15</v>
      </c>
      <c r="R738">
        <f>HLOOKUP(O738,'Lister og genveje'!$E$50:$G$52,2,0)</f>
        <v>3.2</v>
      </c>
      <c r="S738">
        <f>HLOOKUP(O738,'Lister og genveje'!$E$50:$G$52,3,0)</f>
        <v>4.8</v>
      </c>
      <c r="T738">
        <f>VLOOKUP(M738,'Lister og genveje'!$D$39:$J$46,7,0)</f>
        <v>0.5</v>
      </c>
    </row>
    <row r="739" spans="12:20">
      <c r="L739" s="78" t="s">
        <v>235</v>
      </c>
      <c r="M739" t="s">
        <v>148</v>
      </c>
      <c r="N739">
        <v>13</v>
      </c>
      <c r="O739" t="s">
        <v>38</v>
      </c>
      <c r="P739" t="s">
        <v>162</v>
      </c>
      <c r="Q739">
        <f>INDEX('Lister og genveje'!$E$39:$I$46,MATCH(M739,'Lister og genveje'!$D$39:$D$46,0),MATCH(P739,'Lister og genveje'!$E$38:$I$38,0),1)</f>
        <v>15</v>
      </c>
      <c r="R739">
        <f>HLOOKUP(O739,'Lister og genveje'!$E$50:$G$52,2,0)</f>
        <v>3.2</v>
      </c>
      <c r="S739">
        <f>HLOOKUP(O739,'Lister og genveje'!$E$50:$G$52,3,0)</f>
        <v>4.8</v>
      </c>
      <c r="T739">
        <f>VLOOKUP(M739,'Lister og genveje'!$D$39:$J$46,7,0)</f>
        <v>0.5</v>
      </c>
    </row>
    <row r="740" spans="12:20">
      <c r="L740" s="78" t="s">
        <v>235</v>
      </c>
      <c r="M740" t="s">
        <v>148</v>
      </c>
      <c r="N740">
        <v>16</v>
      </c>
      <c r="O740" t="s">
        <v>38</v>
      </c>
      <c r="P740" t="s">
        <v>162</v>
      </c>
      <c r="Q740">
        <f>INDEX('Lister og genveje'!$E$39:$I$46,MATCH(M740,'Lister og genveje'!$D$39:$D$46,0),MATCH(P740,'Lister og genveje'!$E$38:$I$38,0),1)</f>
        <v>15</v>
      </c>
      <c r="R740">
        <f>HLOOKUP(O740,'Lister og genveje'!$E$50:$G$52,2,0)</f>
        <v>3.2</v>
      </c>
      <c r="S740">
        <f>HLOOKUP(O740,'Lister og genveje'!$E$50:$G$52,3,0)</f>
        <v>4.8</v>
      </c>
      <c r="T740">
        <f>VLOOKUP(M740,'Lister og genveje'!$D$39:$J$46,7,0)</f>
        <v>0.5</v>
      </c>
    </row>
    <row r="741" spans="12:20">
      <c r="L741" s="78" t="s">
        <v>235</v>
      </c>
      <c r="M741" t="s">
        <v>148</v>
      </c>
      <c r="N741">
        <v>20</v>
      </c>
      <c r="O741" t="s">
        <v>38</v>
      </c>
      <c r="P741" t="s">
        <v>162</v>
      </c>
      <c r="Q741">
        <f>INDEX('Lister og genveje'!$E$39:$I$46,MATCH(M741,'Lister og genveje'!$D$39:$D$46,0),MATCH(P741,'Lister og genveje'!$E$38:$I$38,0),1)</f>
        <v>15</v>
      </c>
      <c r="R741">
        <f>HLOOKUP(O741,'Lister og genveje'!$E$50:$G$52,2,0)</f>
        <v>3.2</v>
      </c>
      <c r="S741">
        <f>HLOOKUP(O741,'Lister og genveje'!$E$50:$G$52,3,0)</f>
        <v>4.8</v>
      </c>
      <c r="T741">
        <f>VLOOKUP(M741,'Lister og genveje'!$D$39:$J$46,7,0)</f>
        <v>0.5</v>
      </c>
    </row>
    <row r="742" spans="12:20">
      <c r="L742" s="78" t="s">
        <v>235</v>
      </c>
      <c r="M742" t="s">
        <v>148</v>
      </c>
      <c r="N742">
        <v>25</v>
      </c>
      <c r="O742" t="s">
        <v>38</v>
      </c>
      <c r="P742" t="s">
        <v>162</v>
      </c>
      <c r="Q742">
        <f>INDEX('Lister og genveje'!$E$39:$I$46,MATCH(M742,'Lister og genveje'!$D$39:$D$46,0),MATCH(P742,'Lister og genveje'!$E$38:$I$38,0),1)</f>
        <v>15</v>
      </c>
      <c r="R742">
        <f>HLOOKUP(O742,'Lister og genveje'!$E$50:$G$52,2,0)</f>
        <v>3.2</v>
      </c>
      <c r="S742">
        <f>HLOOKUP(O742,'Lister og genveje'!$E$50:$G$52,3,0)</f>
        <v>4.8</v>
      </c>
      <c r="T742">
        <f>VLOOKUP(M742,'Lister og genveje'!$D$39:$J$46,7,0)</f>
        <v>0.5</v>
      </c>
    </row>
    <row r="743" spans="12:20">
      <c r="L743" s="78" t="s">
        <v>235</v>
      </c>
      <c r="M743" t="s">
        <v>148</v>
      </c>
      <c r="N743">
        <v>32</v>
      </c>
      <c r="O743" t="s">
        <v>38</v>
      </c>
      <c r="P743" t="s">
        <v>162</v>
      </c>
      <c r="Q743">
        <f>INDEX('Lister og genveje'!$E$39:$I$46,MATCH(M743,'Lister og genveje'!$D$39:$D$46,0),MATCH(P743,'Lister og genveje'!$E$38:$I$38,0),1)</f>
        <v>15</v>
      </c>
      <c r="R743">
        <f>HLOOKUP(O743,'Lister og genveje'!$E$50:$G$52,2,0)</f>
        <v>3.2</v>
      </c>
      <c r="S743">
        <f>HLOOKUP(O743,'Lister og genveje'!$E$50:$G$52,3,0)</f>
        <v>4.8</v>
      </c>
      <c r="T743">
        <f>VLOOKUP(M743,'Lister og genveje'!$D$39:$J$46,7,0)</f>
        <v>0.5</v>
      </c>
    </row>
    <row r="744" spans="12:20">
      <c r="L744" s="78" t="s">
        <v>235</v>
      </c>
      <c r="M744" t="s">
        <v>148</v>
      </c>
      <c r="N744">
        <v>40</v>
      </c>
      <c r="O744" t="s">
        <v>38</v>
      </c>
      <c r="P744" t="s">
        <v>162</v>
      </c>
      <c r="Q744">
        <f>INDEX('Lister og genveje'!$E$39:$I$46,MATCH(M744,'Lister og genveje'!$D$39:$D$46,0),MATCH(P744,'Lister og genveje'!$E$38:$I$38,0),1)</f>
        <v>15</v>
      </c>
      <c r="R744">
        <f>HLOOKUP(O744,'Lister og genveje'!$E$50:$G$52,2,0)</f>
        <v>3.2</v>
      </c>
      <c r="S744">
        <f>HLOOKUP(O744,'Lister og genveje'!$E$50:$G$52,3,0)</f>
        <v>4.8</v>
      </c>
      <c r="T744">
        <f>VLOOKUP(M744,'Lister og genveje'!$D$39:$J$46,7,0)</f>
        <v>0.5</v>
      </c>
    </row>
    <row r="745" spans="12:20">
      <c r="L745" s="78" t="s">
        <v>235</v>
      </c>
      <c r="M745" t="s">
        <v>148</v>
      </c>
      <c r="N745">
        <v>50</v>
      </c>
      <c r="O745" t="s">
        <v>38</v>
      </c>
      <c r="P745" t="s">
        <v>162</v>
      </c>
      <c r="Q745">
        <f>INDEX('Lister og genveje'!$E$39:$I$46,MATCH(M745,'Lister og genveje'!$D$39:$D$46,0),MATCH(P745,'Lister og genveje'!$E$38:$I$38,0),1)</f>
        <v>15</v>
      </c>
      <c r="R745">
        <f>HLOOKUP(O745,'Lister og genveje'!$E$50:$G$52,2,0)</f>
        <v>3.2</v>
      </c>
      <c r="S745">
        <f>HLOOKUP(O745,'Lister og genveje'!$E$50:$G$52,3,0)</f>
        <v>4.8</v>
      </c>
      <c r="T745">
        <f>VLOOKUP(M745,'Lister og genveje'!$D$39:$J$46,7,0)</f>
        <v>0.5</v>
      </c>
    </row>
    <row r="746" spans="12:20">
      <c r="L746" s="78" t="s">
        <v>235</v>
      </c>
      <c r="M746" t="s">
        <v>148</v>
      </c>
      <c r="N746">
        <v>63</v>
      </c>
      <c r="O746" t="s">
        <v>38</v>
      </c>
      <c r="P746" t="s">
        <v>162</v>
      </c>
      <c r="Q746">
        <f>INDEX('Lister og genveje'!$E$39:$I$46,MATCH(M746,'Lister og genveje'!$D$39:$D$46,0),MATCH(P746,'Lister og genveje'!$E$38:$I$38,0),1)</f>
        <v>15</v>
      </c>
      <c r="R746">
        <f>HLOOKUP(O746,'Lister og genveje'!$E$50:$G$52,2,0)</f>
        <v>3.2</v>
      </c>
      <c r="S746">
        <f>HLOOKUP(O746,'Lister og genveje'!$E$50:$G$52,3,0)</f>
        <v>4.8</v>
      </c>
      <c r="T746">
        <f>VLOOKUP(M746,'Lister og genveje'!$D$39:$J$46,7,0)</f>
        <v>0.5</v>
      </c>
    </row>
    <row r="747" spans="12:20">
      <c r="L747" s="78" t="s">
        <v>235</v>
      </c>
      <c r="M747" t="s">
        <v>148</v>
      </c>
      <c r="N747">
        <v>1</v>
      </c>
      <c r="O747" t="s">
        <v>155</v>
      </c>
      <c r="P747" t="s">
        <v>162</v>
      </c>
      <c r="Q747">
        <f>INDEX('Lister og genveje'!$E$39:$I$46,MATCH(M747,'Lister og genveje'!$D$39:$D$46,0),MATCH(P747,'Lister og genveje'!$E$38:$I$38,0),1)</f>
        <v>15</v>
      </c>
      <c r="R747">
        <f>HLOOKUP(O747,'Lister og genveje'!$E$50:$G$52,2,0)</f>
        <v>7</v>
      </c>
      <c r="S747">
        <f>HLOOKUP(O747,'Lister og genveje'!$E$50:$G$52,3,0)</f>
        <v>10</v>
      </c>
      <c r="T747">
        <f>VLOOKUP(M747,'Lister og genveje'!$D$39:$J$46,7,0)</f>
        <v>0.5</v>
      </c>
    </row>
    <row r="748" spans="12:20">
      <c r="L748" s="78" t="s">
        <v>235</v>
      </c>
      <c r="M748" t="s">
        <v>148</v>
      </c>
      <c r="N748">
        <v>1</v>
      </c>
      <c r="O748" t="s">
        <v>155</v>
      </c>
      <c r="P748" t="s">
        <v>162</v>
      </c>
      <c r="Q748">
        <f>INDEX('Lister og genveje'!$E$39:$I$46,MATCH(M748,'Lister og genveje'!$D$39:$D$46,0),MATCH(P748,'Lister og genveje'!$E$38:$I$38,0),1)</f>
        <v>15</v>
      </c>
      <c r="R748">
        <f>HLOOKUP(O748,'Lister og genveje'!$E$50:$G$52,2,0)</f>
        <v>7</v>
      </c>
      <c r="S748">
        <f>HLOOKUP(O748,'Lister og genveje'!$E$50:$G$52,3,0)</f>
        <v>10</v>
      </c>
      <c r="T748">
        <f>VLOOKUP(M748,'Lister og genveje'!$D$39:$J$46,7,0)</f>
        <v>0.5</v>
      </c>
    </row>
    <row r="749" spans="12:20">
      <c r="L749" s="78" t="s">
        <v>235</v>
      </c>
      <c r="M749" t="s">
        <v>148</v>
      </c>
      <c r="N749">
        <v>2</v>
      </c>
      <c r="O749" t="s">
        <v>155</v>
      </c>
      <c r="P749" t="s">
        <v>162</v>
      </c>
      <c r="Q749">
        <f>INDEX('Lister og genveje'!$E$39:$I$46,MATCH(M749,'Lister og genveje'!$D$39:$D$46,0),MATCH(P749,'Lister og genveje'!$E$38:$I$38,0),1)</f>
        <v>15</v>
      </c>
      <c r="R749">
        <f>HLOOKUP(O749,'Lister og genveje'!$E$50:$G$52,2,0)</f>
        <v>7</v>
      </c>
      <c r="S749">
        <f>HLOOKUP(O749,'Lister og genveje'!$E$50:$G$52,3,0)</f>
        <v>10</v>
      </c>
      <c r="T749">
        <f>VLOOKUP(M749,'Lister og genveje'!$D$39:$J$46,7,0)</f>
        <v>0.5</v>
      </c>
    </row>
    <row r="750" spans="12:20">
      <c r="L750" s="78" t="s">
        <v>235</v>
      </c>
      <c r="M750" t="s">
        <v>148</v>
      </c>
      <c r="N750">
        <v>3</v>
      </c>
      <c r="O750" t="s">
        <v>155</v>
      </c>
      <c r="P750" t="s">
        <v>162</v>
      </c>
      <c r="Q750">
        <f>INDEX('Lister og genveje'!$E$39:$I$46,MATCH(M750,'Lister og genveje'!$D$39:$D$46,0),MATCH(P750,'Lister og genveje'!$E$38:$I$38,0),1)</f>
        <v>15</v>
      </c>
      <c r="R750">
        <f>HLOOKUP(O750,'Lister og genveje'!$E$50:$G$52,2,0)</f>
        <v>7</v>
      </c>
      <c r="S750">
        <f>HLOOKUP(O750,'Lister og genveje'!$E$50:$G$52,3,0)</f>
        <v>10</v>
      </c>
      <c r="T750">
        <f>VLOOKUP(M750,'Lister og genveje'!$D$39:$J$46,7,0)</f>
        <v>0.5</v>
      </c>
    </row>
    <row r="751" spans="12:20">
      <c r="L751" s="78" t="s">
        <v>235</v>
      </c>
      <c r="M751" t="s">
        <v>148</v>
      </c>
      <c r="N751">
        <v>4</v>
      </c>
      <c r="O751" t="s">
        <v>155</v>
      </c>
      <c r="P751" t="s">
        <v>162</v>
      </c>
      <c r="Q751">
        <f>INDEX('Lister og genveje'!$E$39:$I$46,MATCH(M751,'Lister og genveje'!$D$39:$D$46,0),MATCH(P751,'Lister og genveje'!$E$38:$I$38,0),1)</f>
        <v>15</v>
      </c>
      <c r="R751">
        <f>HLOOKUP(O751,'Lister og genveje'!$E$50:$G$52,2,0)</f>
        <v>7</v>
      </c>
      <c r="S751">
        <f>HLOOKUP(O751,'Lister og genveje'!$E$50:$G$52,3,0)</f>
        <v>10</v>
      </c>
      <c r="T751">
        <f>VLOOKUP(M751,'Lister og genveje'!$D$39:$J$46,7,0)</f>
        <v>0.5</v>
      </c>
    </row>
    <row r="752" spans="12:20">
      <c r="L752" s="78" t="s">
        <v>235</v>
      </c>
      <c r="M752" t="s">
        <v>148</v>
      </c>
      <c r="N752">
        <v>6</v>
      </c>
      <c r="O752" t="s">
        <v>155</v>
      </c>
      <c r="P752" t="s">
        <v>162</v>
      </c>
      <c r="Q752">
        <f>INDEX('Lister og genveje'!$E$39:$I$46,MATCH(M752,'Lister og genveje'!$D$39:$D$46,0),MATCH(P752,'Lister og genveje'!$E$38:$I$38,0),1)</f>
        <v>15</v>
      </c>
      <c r="R752">
        <f>HLOOKUP(O752,'Lister og genveje'!$E$50:$G$52,2,0)</f>
        <v>7</v>
      </c>
      <c r="S752">
        <f>HLOOKUP(O752,'Lister og genveje'!$E$50:$G$52,3,0)</f>
        <v>10</v>
      </c>
      <c r="T752">
        <f>VLOOKUP(M752,'Lister og genveje'!$D$39:$J$46,7,0)</f>
        <v>0.5</v>
      </c>
    </row>
    <row r="753" spans="12:20">
      <c r="L753" s="78" t="s">
        <v>235</v>
      </c>
      <c r="M753" t="s">
        <v>148</v>
      </c>
      <c r="N753">
        <v>10</v>
      </c>
      <c r="O753" t="s">
        <v>155</v>
      </c>
      <c r="P753" t="s">
        <v>162</v>
      </c>
      <c r="Q753">
        <f>INDEX('Lister og genveje'!$E$39:$I$46,MATCH(M753,'Lister og genveje'!$D$39:$D$46,0),MATCH(P753,'Lister og genveje'!$E$38:$I$38,0),1)</f>
        <v>15</v>
      </c>
      <c r="R753">
        <f>HLOOKUP(O753,'Lister og genveje'!$E$50:$G$52,2,0)</f>
        <v>7</v>
      </c>
      <c r="S753">
        <f>HLOOKUP(O753,'Lister og genveje'!$E$50:$G$52,3,0)</f>
        <v>10</v>
      </c>
      <c r="T753">
        <f>VLOOKUP(M753,'Lister og genveje'!$D$39:$J$46,7,0)</f>
        <v>0.5</v>
      </c>
    </row>
    <row r="754" spans="12:20">
      <c r="L754" s="78" t="s">
        <v>235</v>
      </c>
      <c r="M754" t="s">
        <v>148</v>
      </c>
      <c r="N754">
        <v>13</v>
      </c>
      <c r="O754" t="s">
        <v>155</v>
      </c>
      <c r="P754" t="s">
        <v>162</v>
      </c>
      <c r="Q754">
        <f>INDEX('Lister og genveje'!$E$39:$I$46,MATCH(M754,'Lister og genveje'!$D$39:$D$46,0),MATCH(P754,'Lister og genveje'!$E$38:$I$38,0),1)</f>
        <v>15</v>
      </c>
      <c r="R754">
        <f>HLOOKUP(O754,'Lister og genveje'!$E$50:$G$52,2,0)</f>
        <v>7</v>
      </c>
      <c r="S754">
        <f>HLOOKUP(O754,'Lister og genveje'!$E$50:$G$52,3,0)</f>
        <v>10</v>
      </c>
      <c r="T754">
        <f>VLOOKUP(M754,'Lister og genveje'!$D$39:$J$46,7,0)</f>
        <v>0.5</v>
      </c>
    </row>
    <row r="755" spans="12:20">
      <c r="L755" s="78" t="s">
        <v>235</v>
      </c>
      <c r="M755" t="s">
        <v>148</v>
      </c>
      <c r="N755">
        <v>16</v>
      </c>
      <c r="O755" t="s">
        <v>155</v>
      </c>
      <c r="P755" t="s">
        <v>162</v>
      </c>
      <c r="Q755">
        <f>INDEX('Lister og genveje'!$E$39:$I$46,MATCH(M755,'Lister og genveje'!$D$39:$D$46,0),MATCH(P755,'Lister og genveje'!$E$38:$I$38,0),1)</f>
        <v>15</v>
      </c>
      <c r="R755">
        <f>HLOOKUP(O755,'Lister og genveje'!$E$50:$G$52,2,0)</f>
        <v>7</v>
      </c>
      <c r="S755">
        <f>HLOOKUP(O755,'Lister og genveje'!$E$50:$G$52,3,0)</f>
        <v>10</v>
      </c>
      <c r="T755">
        <f>VLOOKUP(M755,'Lister og genveje'!$D$39:$J$46,7,0)</f>
        <v>0.5</v>
      </c>
    </row>
    <row r="756" spans="12:20">
      <c r="L756" s="78" t="s">
        <v>235</v>
      </c>
      <c r="M756" t="s">
        <v>148</v>
      </c>
      <c r="N756">
        <v>20</v>
      </c>
      <c r="O756" t="s">
        <v>155</v>
      </c>
      <c r="P756" t="s">
        <v>162</v>
      </c>
      <c r="Q756">
        <f>INDEX('Lister og genveje'!$E$39:$I$46,MATCH(M756,'Lister og genveje'!$D$39:$D$46,0),MATCH(P756,'Lister og genveje'!$E$38:$I$38,0),1)</f>
        <v>15</v>
      </c>
      <c r="R756">
        <f>HLOOKUP(O756,'Lister og genveje'!$E$50:$G$52,2,0)</f>
        <v>7</v>
      </c>
      <c r="S756">
        <f>HLOOKUP(O756,'Lister og genveje'!$E$50:$G$52,3,0)</f>
        <v>10</v>
      </c>
      <c r="T756">
        <f>VLOOKUP(M756,'Lister og genveje'!$D$39:$J$46,7,0)</f>
        <v>0.5</v>
      </c>
    </row>
    <row r="757" spans="12:20">
      <c r="L757" s="78" t="s">
        <v>235</v>
      </c>
      <c r="M757" t="s">
        <v>148</v>
      </c>
      <c r="N757">
        <v>25</v>
      </c>
      <c r="O757" t="s">
        <v>155</v>
      </c>
      <c r="P757" t="s">
        <v>162</v>
      </c>
      <c r="Q757">
        <f>INDEX('Lister og genveje'!$E$39:$I$46,MATCH(M757,'Lister og genveje'!$D$39:$D$46,0),MATCH(P757,'Lister og genveje'!$E$38:$I$38,0),1)</f>
        <v>15</v>
      </c>
      <c r="R757">
        <f>HLOOKUP(O757,'Lister og genveje'!$E$50:$G$52,2,0)</f>
        <v>7</v>
      </c>
      <c r="S757">
        <f>HLOOKUP(O757,'Lister og genveje'!$E$50:$G$52,3,0)</f>
        <v>10</v>
      </c>
      <c r="T757">
        <f>VLOOKUP(M757,'Lister og genveje'!$D$39:$J$46,7,0)</f>
        <v>0.5</v>
      </c>
    </row>
    <row r="758" spans="12:20">
      <c r="L758" s="78" t="s">
        <v>235</v>
      </c>
      <c r="M758" t="s">
        <v>148</v>
      </c>
      <c r="N758">
        <v>32</v>
      </c>
      <c r="O758" t="s">
        <v>155</v>
      </c>
      <c r="P758" t="s">
        <v>162</v>
      </c>
      <c r="Q758">
        <f>INDEX('Lister og genveje'!$E$39:$I$46,MATCH(M758,'Lister og genveje'!$D$39:$D$46,0),MATCH(P758,'Lister og genveje'!$E$38:$I$38,0),1)</f>
        <v>15</v>
      </c>
      <c r="R758">
        <f>HLOOKUP(O758,'Lister og genveje'!$E$50:$G$52,2,0)</f>
        <v>7</v>
      </c>
      <c r="S758">
        <f>HLOOKUP(O758,'Lister og genveje'!$E$50:$G$52,3,0)</f>
        <v>10</v>
      </c>
      <c r="T758">
        <f>VLOOKUP(M758,'Lister og genveje'!$D$39:$J$46,7,0)</f>
        <v>0.5</v>
      </c>
    </row>
    <row r="759" spans="12:20">
      <c r="L759" s="78" t="s">
        <v>235</v>
      </c>
      <c r="M759" t="s">
        <v>148</v>
      </c>
      <c r="N759">
        <v>40</v>
      </c>
      <c r="O759" t="s">
        <v>155</v>
      </c>
      <c r="P759" t="s">
        <v>162</v>
      </c>
      <c r="Q759">
        <f>INDEX('Lister og genveje'!$E$39:$I$46,MATCH(M759,'Lister og genveje'!$D$39:$D$46,0),MATCH(P759,'Lister og genveje'!$E$38:$I$38,0),1)</f>
        <v>15</v>
      </c>
      <c r="R759">
        <f>HLOOKUP(O759,'Lister og genveje'!$E$50:$G$52,2,0)</f>
        <v>7</v>
      </c>
      <c r="S759">
        <f>HLOOKUP(O759,'Lister og genveje'!$E$50:$G$52,3,0)</f>
        <v>10</v>
      </c>
      <c r="T759">
        <f>VLOOKUP(M759,'Lister og genveje'!$D$39:$J$46,7,0)</f>
        <v>0.5</v>
      </c>
    </row>
    <row r="760" spans="12:20">
      <c r="L760" s="78" t="s">
        <v>235</v>
      </c>
      <c r="M760" t="s">
        <v>148</v>
      </c>
      <c r="N760">
        <v>50</v>
      </c>
      <c r="O760" t="s">
        <v>155</v>
      </c>
      <c r="P760" t="s">
        <v>162</v>
      </c>
      <c r="Q760">
        <f>INDEX('Lister og genveje'!$E$39:$I$46,MATCH(M760,'Lister og genveje'!$D$39:$D$46,0),MATCH(P760,'Lister og genveje'!$E$38:$I$38,0),1)</f>
        <v>15</v>
      </c>
      <c r="R760">
        <f>HLOOKUP(O760,'Lister og genveje'!$E$50:$G$52,2,0)</f>
        <v>7</v>
      </c>
      <c r="S760">
        <f>HLOOKUP(O760,'Lister og genveje'!$E$50:$G$52,3,0)</f>
        <v>10</v>
      </c>
      <c r="T760">
        <f>VLOOKUP(M760,'Lister og genveje'!$D$39:$J$46,7,0)</f>
        <v>0.5</v>
      </c>
    </row>
    <row r="761" spans="12:20">
      <c r="L761" s="78" t="s">
        <v>235</v>
      </c>
      <c r="M761" t="s">
        <v>148</v>
      </c>
      <c r="N761">
        <v>63</v>
      </c>
      <c r="O761" t="s">
        <v>155</v>
      </c>
      <c r="P761" t="s">
        <v>162</v>
      </c>
      <c r="Q761">
        <f>INDEX('Lister og genveje'!$E$39:$I$46,MATCH(M761,'Lister og genveje'!$D$39:$D$46,0),MATCH(P761,'Lister og genveje'!$E$38:$I$38,0),1)</f>
        <v>15</v>
      </c>
      <c r="R761">
        <f>HLOOKUP(O761,'Lister og genveje'!$E$50:$G$52,2,0)</f>
        <v>7</v>
      </c>
      <c r="S761">
        <f>HLOOKUP(O761,'Lister og genveje'!$E$50:$G$52,3,0)</f>
        <v>10</v>
      </c>
      <c r="T761">
        <f>VLOOKUP(M761,'Lister og genveje'!$D$39:$J$46,7,0)</f>
        <v>0.5</v>
      </c>
    </row>
    <row r="762" spans="12:20">
      <c r="L762" s="78" t="s">
        <v>235</v>
      </c>
      <c r="M762" t="s">
        <v>148</v>
      </c>
      <c r="N762">
        <v>1</v>
      </c>
      <c r="O762" t="s">
        <v>165</v>
      </c>
      <c r="P762" t="s">
        <v>162</v>
      </c>
      <c r="Q762">
        <f>INDEX('Lister og genveje'!$E$39:$I$46,MATCH(M762,'Lister og genveje'!$D$39:$D$46,0),MATCH(P762,'Lister og genveje'!$E$38:$I$38,0),1)</f>
        <v>15</v>
      </c>
      <c r="R762">
        <f>HLOOKUP(O762,'Lister og genveje'!$E$50:$G$52,2,0)</f>
        <v>10</v>
      </c>
      <c r="S762">
        <f>HLOOKUP(O762,'Lister og genveje'!$E$50:$G$52,3,0)</f>
        <v>14</v>
      </c>
      <c r="T762">
        <f>VLOOKUP(M762,'Lister og genveje'!$D$39:$J$46,7,0)</f>
        <v>0.5</v>
      </c>
    </row>
    <row r="763" spans="12:20">
      <c r="L763" s="78" t="s">
        <v>235</v>
      </c>
      <c r="M763" t="s">
        <v>148</v>
      </c>
      <c r="N763">
        <v>1</v>
      </c>
      <c r="O763" t="s">
        <v>165</v>
      </c>
      <c r="P763" t="s">
        <v>162</v>
      </c>
      <c r="Q763">
        <f>INDEX('Lister og genveje'!$E$39:$I$46,MATCH(M763,'Lister og genveje'!$D$39:$D$46,0),MATCH(P763,'Lister og genveje'!$E$38:$I$38,0),1)</f>
        <v>15</v>
      </c>
      <c r="R763">
        <f>HLOOKUP(O763,'Lister og genveje'!$E$50:$G$52,2,0)</f>
        <v>10</v>
      </c>
      <c r="S763">
        <f>HLOOKUP(O763,'Lister og genveje'!$E$50:$G$52,3,0)</f>
        <v>14</v>
      </c>
      <c r="T763">
        <f>VLOOKUP(M763,'Lister og genveje'!$D$39:$J$46,7,0)</f>
        <v>0.5</v>
      </c>
    </row>
    <row r="764" spans="12:20">
      <c r="L764" s="78" t="s">
        <v>235</v>
      </c>
      <c r="M764" t="s">
        <v>148</v>
      </c>
      <c r="N764">
        <v>2</v>
      </c>
      <c r="O764" t="s">
        <v>165</v>
      </c>
      <c r="P764" t="s">
        <v>162</v>
      </c>
      <c r="Q764">
        <f>INDEX('Lister og genveje'!$E$39:$I$46,MATCH(M764,'Lister og genveje'!$D$39:$D$46,0),MATCH(P764,'Lister og genveje'!$E$38:$I$38,0),1)</f>
        <v>15</v>
      </c>
      <c r="R764">
        <f>HLOOKUP(O764,'Lister og genveje'!$E$50:$G$52,2,0)</f>
        <v>10</v>
      </c>
      <c r="S764">
        <f>HLOOKUP(O764,'Lister og genveje'!$E$50:$G$52,3,0)</f>
        <v>14</v>
      </c>
      <c r="T764">
        <f>VLOOKUP(M764,'Lister og genveje'!$D$39:$J$46,7,0)</f>
        <v>0.5</v>
      </c>
    </row>
    <row r="765" spans="12:20">
      <c r="L765" s="78" t="s">
        <v>235</v>
      </c>
      <c r="M765" t="s">
        <v>148</v>
      </c>
      <c r="N765">
        <v>3</v>
      </c>
      <c r="O765" t="s">
        <v>165</v>
      </c>
      <c r="P765" t="s">
        <v>162</v>
      </c>
      <c r="Q765">
        <f>INDEX('Lister og genveje'!$E$39:$I$46,MATCH(M765,'Lister og genveje'!$D$39:$D$46,0),MATCH(P765,'Lister og genveje'!$E$38:$I$38,0),1)</f>
        <v>15</v>
      </c>
      <c r="R765">
        <f>HLOOKUP(O765,'Lister og genveje'!$E$50:$G$52,2,0)</f>
        <v>10</v>
      </c>
      <c r="S765">
        <f>HLOOKUP(O765,'Lister og genveje'!$E$50:$G$52,3,0)</f>
        <v>14</v>
      </c>
      <c r="T765">
        <f>VLOOKUP(M765,'Lister og genveje'!$D$39:$J$46,7,0)</f>
        <v>0.5</v>
      </c>
    </row>
    <row r="766" spans="12:20">
      <c r="L766" s="78" t="s">
        <v>235</v>
      </c>
      <c r="M766" t="s">
        <v>148</v>
      </c>
      <c r="N766">
        <v>4</v>
      </c>
      <c r="O766" t="s">
        <v>165</v>
      </c>
      <c r="P766" t="s">
        <v>162</v>
      </c>
      <c r="Q766">
        <f>INDEX('Lister og genveje'!$E$39:$I$46,MATCH(M766,'Lister og genveje'!$D$39:$D$46,0),MATCH(P766,'Lister og genveje'!$E$38:$I$38,0),1)</f>
        <v>15</v>
      </c>
      <c r="R766">
        <f>HLOOKUP(O766,'Lister og genveje'!$E$50:$G$52,2,0)</f>
        <v>10</v>
      </c>
      <c r="S766">
        <f>HLOOKUP(O766,'Lister og genveje'!$E$50:$G$52,3,0)</f>
        <v>14</v>
      </c>
      <c r="T766">
        <f>VLOOKUP(M766,'Lister og genveje'!$D$39:$J$46,7,0)</f>
        <v>0.5</v>
      </c>
    </row>
    <row r="767" spans="12:20">
      <c r="L767" s="78" t="s">
        <v>235</v>
      </c>
      <c r="M767" t="s">
        <v>148</v>
      </c>
      <c r="N767">
        <v>6</v>
      </c>
      <c r="O767" t="s">
        <v>165</v>
      </c>
      <c r="P767" t="s">
        <v>162</v>
      </c>
      <c r="Q767">
        <f>INDEX('Lister og genveje'!$E$39:$I$46,MATCH(M767,'Lister og genveje'!$D$39:$D$46,0),MATCH(P767,'Lister og genveje'!$E$38:$I$38,0),1)</f>
        <v>15</v>
      </c>
      <c r="R767">
        <f>HLOOKUP(O767,'Lister og genveje'!$E$50:$G$52,2,0)</f>
        <v>10</v>
      </c>
      <c r="S767">
        <f>HLOOKUP(O767,'Lister og genveje'!$E$50:$G$52,3,0)</f>
        <v>14</v>
      </c>
      <c r="T767">
        <f>VLOOKUP(M767,'Lister og genveje'!$D$39:$J$46,7,0)</f>
        <v>0.5</v>
      </c>
    </row>
    <row r="768" spans="12:20">
      <c r="L768" s="78" t="s">
        <v>235</v>
      </c>
      <c r="M768" t="s">
        <v>148</v>
      </c>
      <c r="N768">
        <v>10</v>
      </c>
      <c r="O768" t="s">
        <v>165</v>
      </c>
      <c r="P768" t="s">
        <v>162</v>
      </c>
      <c r="Q768">
        <f>INDEX('Lister og genveje'!$E$39:$I$46,MATCH(M768,'Lister og genveje'!$D$39:$D$46,0),MATCH(P768,'Lister og genveje'!$E$38:$I$38,0),1)</f>
        <v>15</v>
      </c>
      <c r="R768">
        <f>HLOOKUP(O768,'Lister og genveje'!$E$50:$G$52,2,0)</f>
        <v>10</v>
      </c>
      <c r="S768">
        <f>HLOOKUP(O768,'Lister og genveje'!$E$50:$G$52,3,0)</f>
        <v>14</v>
      </c>
      <c r="T768">
        <f>VLOOKUP(M768,'Lister og genveje'!$D$39:$J$46,7,0)</f>
        <v>0.5</v>
      </c>
    </row>
    <row r="769" spans="12:20">
      <c r="L769" s="78" t="s">
        <v>235</v>
      </c>
      <c r="M769" t="s">
        <v>148</v>
      </c>
      <c r="N769">
        <v>13</v>
      </c>
      <c r="O769" t="s">
        <v>165</v>
      </c>
      <c r="P769" t="s">
        <v>162</v>
      </c>
      <c r="Q769">
        <f>INDEX('Lister og genveje'!$E$39:$I$46,MATCH(M769,'Lister og genveje'!$D$39:$D$46,0),MATCH(P769,'Lister og genveje'!$E$38:$I$38,0),1)</f>
        <v>15</v>
      </c>
      <c r="R769">
        <f>HLOOKUP(O769,'Lister og genveje'!$E$50:$G$52,2,0)</f>
        <v>10</v>
      </c>
      <c r="S769">
        <f>HLOOKUP(O769,'Lister og genveje'!$E$50:$G$52,3,0)</f>
        <v>14</v>
      </c>
      <c r="T769">
        <f>VLOOKUP(M769,'Lister og genveje'!$D$39:$J$46,7,0)</f>
        <v>0.5</v>
      </c>
    </row>
    <row r="770" spans="12:20">
      <c r="L770" s="78" t="s">
        <v>235</v>
      </c>
      <c r="M770" t="s">
        <v>148</v>
      </c>
      <c r="N770">
        <v>16</v>
      </c>
      <c r="O770" t="s">
        <v>165</v>
      </c>
      <c r="P770" t="s">
        <v>162</v>
      </c>
      <c r="Q770">
        <f>INDEX('Lister og genveje'!$E$39:$I$46,MATCH(M770,'Lister og genveje'!$D$39:$D$46,0),MATCH(P770,'Lister og genveje'!$E$38:$I$38,0),1)</f>
        <v>15</v>
      </c>
      <c r="R770">
        <f>HLOOKUP(O770,'Lister og genveje'!$E$50:$G$52,2,0)</f>
        <v>10</v>
      </c>
      <c r="S770">
        <f>HLOOKUP(O770,'Lister og genveje'!$E$50:$G$52,3,0)</f>
        <v>14</v>
      </c>
      <c r="T770">
        <f>VLOOKUP(M770,'Lister og genveje'!$D$39:$J$46,7,0)</f>
        <v>0.5</v>
      </c>
    </row>
    <row r="771" spans="12:20">
      <c r="L771" s="78" t="s">
        <v>235</v>
      </c>
      <c r="M771" t="s">
        <v>148</v>
      </c>
      <c r="N771">
        <v>20</v>
      </c>
      <c r="O771" t="s">
        <v>165</v>
      </c>
      <c r="P771" t="s">
        <v>162</v>
      </c>
      <c r="Q771">
        <f>INDEX('Lister og genveje'!$E$39:$I$46,MATCH(M771,'Lister og genveje'!$D$39:$D$46,0),MATCH(P771,'Lister og genveje'!$E$38:$I$38,0),1)</f>
        <v>15</v>
      </c>
      <c r="R771">
        <f>HLOOKUP(O771,'Lister og genveje'!$E$50:$G$52,2,0)</f>
        <v>10</v>
      </c>
      <c r="S771">
        <f>HLOOKUP(O771,'Lister og genveje'!$E$50:$G$52,3,0)</f>
        <v>14</v>
      </c>
      <c r="T771">
        <f>VLOOKUP(M771,'Lister og genveje'!$D$39:$J$46,7,0)</f>
        <v>0.5</v>
      </c>
    </row>
    <row r="772" spans="12:20">
      <c r="L772" s="78" t="s">
        <v>235</v>
      </c>
      <c r="M772" t="s">
        <v>148</v>
      </c>
      <c r="N772">
        <v>25</v>
      </c>
      <c r="O772" t="s">
        <v>165</v>
      </c>
      <c r="P772" t="s">
        <v>162</v>
      </c>
      <c r="Q772">
        <f>INDEX('Lister og genveje'!$E$39:$I$46,MATCH(M772,'Lister og genveje'!$D$39:$D$46,0),MATCH(P772,'Lister og genveje'!$E$38:$I$38,0),1)</f>
        <v>15</v>
      </c>
      <c r="R772">
        <f>HLOOKUP(O772,'Lister og genveje'!$E$50:$G$52,2,0)</f>
        <v>10</v>
      </c>
      <c r="S772">
        <f>HLOOKUP(O772,'Lister og genveje'!$E$50:$G$52,3,0)</f>
        <v>14</v>
      </c>
      <c r="T772">
        <f>VLOOKUP(M772,'Lister og genveje'!$D$39:$J$46,7,0)</f>
        <v>0.5</v>
      </c>
    </row>
    <row r="773" spans="12:20">
      <c r="L773" s="78" t="s">
        <v>235</v>
      </c>
      <c r="M773" t="s">
        <v>148</v>
      </c>
      <c r="N773">
        <v>32</v>
      </c>
      <c r="O773" t="s">
        <v>165</v>
      </c>
      <c r="P773" t="s">
        <v>162</v>
      </c>
      <c r="Q773">
        <f>INDEX('Lister og genveje'!$E$39:$I$46,MATCH(M773,'Lister og genveje'!$D$39:$D$46,0),MATCH(P773,'Lister og genveje'!$E$38:$I$38,0),1)</f>
        <v>15</v>
      </c>
      <c r="R773">
        <f>HLOOKUP(O773,'Lister og genveje'!$E$50:$G$52,2,0)</f>
        <v>10</v>
      </c>
      <c r="S773">
        <f>HLOOKUP(O773,'Lister og genveje'!$E$50:$G$52,3,0)</f>
        <v>14</v>
      </c>
      <c r="T773">
        <f>VLOOKUP(M773,'Lister og genveje'!$D$39:$J$46,7,0)</f>
        <v>0.5</v>
      </c>
    </row>
    <row r="774" spans="12:20">
      <c r="L774" s="78" t="s">
        <v>235</v>
      </c>
      <c r="M774" t="s">
        <v>148</v>
      </c>
      <c r="N774">
        <v>40</v>
      </c>
      <c r="O774" t="s">
        <v>165</v>
      </c>
      <c r="P774" t="s">
        <v>162</v>
      </c>
      <c r="Q774">
        <f>INDEX('Lister og genveje'!$E$39:$I$46,MATCH(M774,'Lister og genveje'!$D$39:$D$46,0),MATCH(P774,'Lister og genveje'!$E$38:$I$38,0),1)</f>
        <v>15</v>
      </c>
      <c r="R774">
        <f>HLOOKUP(O774,'Lister og genveje'!$E$50:$G$52,2,0)</f>
        <v>10</v>
      </c>
      <c r="S774">
        <f>HLOOKUP(O774,'Lister og genveje'!$E$50:$G$52,3,0)</f>
        <v>14</v>
      </c>
      <c r="T774">
        <f>VLOOKUP(M774,'Lister og genveje'!$D$39:$J$46,7,0)</f>
        <v>0.5</v>
      </c>
    </row>
    <row r="775" spans="12:20">
      <c r="L775" s="78" t="s">
        <v>235</v>
      </c>
      <c r="M775" t="s">
        <v>148</v>
      </c>
      <c r="N775">
        <v>50</v>
      </c>
      <c r="O775" t="s">
        <v>165</v>
      </c>
      <c r="P775" t="s">
        <v>162</v>
      </c>
      <c r="Q775">
        <f>INDEX('Lister og genveje'!$E$39:$I$46,MATCH(M775,'Lister og genveje'!$D$39:$D$46,0),MATCH(P775,'Lister og genveje'!$E$38:$I$38,0),1)</f>
        <v>15</v>
      </c>
      <c r="R775">
        <f>HLOOKUP(O775,'Lister og genveje'!$E$50:$G$52,2,0)</f>
        <v>10</v>
      </c>
      <c r="S775">
        <f>HLOOKUP(O775,'Lister og genveje'!$E$50:$G$52,3,0)</f>
        <v>14</v>
      </c>
      <c r="T775">
        <f>VLOOKUP(M775,'Lister og genveje'!$D$39:$J$46,7,0)</f>
        <v>0.5</v>
      </c>
    </row>
    <row r="776" spans="12:20">
      <c r="L776" s="78" t="s">
        <v>235</v>
      </c>
      <c r="M776" t="s">
        <v>148</v>
      </c>
      <c r="N776">
        <v>63</v>
      </c>
      <c r="O776" t="s">
        <v>165</v>
      </c>
      <c r="P776" t="s">
        <v>162</v>
      </c>
      <c r="Q776">
        <f>INDEX('Lister og genveje'!$E$39:$I$46,MATCH(M776,'Lister og genveje'!$D$39:$D$46,0),MATCH(P776,'Lister og genveje'!$E$38:$I$38,0),1)</f>
        <v>15</v>
      </c>
      <c r="R776">
        <f>HLOOKUP(O776,'Lister og genveje'!$E$50:$G$52,2,0)</f>
        <v>10</v>
      </c>
      <c r="S776">
        <f>HLOOKUP(O776,'Lister og genveje'!$E$50:$G$52,3,0)</f>
        <v>14</v>
      </c>
      <c r="T776">
        <f>VLOOKUP(M776,'Lister og genveje'!$D$39:$J$46,7,0)</f>
        <v>0.5</v>
      </c>
    </row>
  </sheetData>
  <mergeCells count="3">
    <mergeCell ref="A31:B32"/>
    <mergeCell ref="U12:V13"/>
    <mergeCell ref="AQ8:AS8"/>
  </mergeCells>
  <hyperlinks>
    <hyperlink ref="A31" location="Forside!G8" display="Tilbage til forsiden" xr:uid="{00000000-0004-0000-0500-000000000000}"/>
    <hyperlink ref="B31" location="Forside!G8" display="Forside!G8" xr:uid="{00000000-0004-0000-0500-000001000000}"/>
    <hyperlink ref="A32" location="Forside!G8" display="Forside!G8" xr:uid="{00000000-0004-0000-0500-000002000000}"/>
    <hyperlink ref="B32" location="Forside!G8" display="Forside!G8" xr:uid="{00000000-0004-0000-0500-000003000000}"/>
    <hyperlink ref="U12" location="Forside!G8" display="Tilbage til forsiden" xr:uid="{00000000-0004-0000-0500-000004000000}"/>
    <hyperlink ref="V12" location="Forside!G8" display="Forside!G8" xr:uid="{00000000-0004-0000-0500-000005000000}"/>
    <hyperlink ref="U13" location="Forside!G8" display="Forside!G8" xr:uid="{00000000-0004-0000-0500-000006000000}"/>
    <hyperlink ref="V13" location="Forside!G8" display="Forside!G8" xr:uid="{00000000-0004-0000-0500-000007000000}"/>
  </hyperlinks>
  <pageMargins left="0.7" right="0.7" top="0.75" bottom="0.75" header="0.3" footer="0.3"/>
  <ignoredErrors>
    <ignoredError sqref="AD34:AD69 AD70:AD103" calculatedColumn="1"/>
  </ignoredErrors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6</vt:i4>
      </vt:variant>
      <vt:variant>
        <vt:lpstr>Navngivne områder</vt:lpstr>
      </vt:variant>
      <vt:variant>
        <vt:i4>23</vt:i4>
      </vt:variant>
    </vt:vector>
  </HeadingPairs>
  <TitlesOfParts>
    <vt:vector size="29" baseType="lpstr">
      <vt:lpstr>Forside</vt:lpstr>
      <vt:lpstr>Maksimal afbryder</vt:lpstr>
      <vt:lpstr>Tavle dim</vt:lpstr>
      <vt:lpstr>Sikringer</vt:lpstr>
      <vt:lpstr>Kabler</vt:lpstr>
      <vt:lpstr>Lister og genveje</vt:lpstr>
      <vt:lpstr>MAfuld</vt:lpstr>
      <vt:lpstr>maksimal100</vt:lpstr>
      <vt:lpstr>maksimal100a</vt:lpstr>
      <vt:lpstr>maksimal100b</vt:lpstr>
      <vt:lpstr>maksimal160</vt:lpstr>
      <vt:lpstr>maksimal160a</vt:lpstr>
      <vt:lpstr>maksimal160b</vt:lpstr>
      <vt:lpstr>maksimal250a</vt:lpstr>
      <vt:lpstr>maksimal250b</vt:lpstr>
      <vt:lpstr>maksimal40</vt:lpstr>
      <vt:lpstr>maksimal400</vt:lpstr>
      <vt:lpstr>maksimal400a</vt:lpstr>
      <vt:lpstr>maksimal400b</vt:lpstr>
      <vt:lpstr>maksimal40a</vt:lpstr>
      <vt:lpstr>maksimal40b</vt:lpstr>
      <vt:lpstr>maksimal630</vt:lpstr>
      <vt:lpstr>maksimal630A</vt:lpstr>
      <vt:lpstr>maksimal630b</vt:lpstr>
      <vt:lpstr>MAlille</vt:lpstr>
      <vt:lpstr>NSX160MA</vt:lpstr>
      <vt:lpstr>NSX250MA</vt:lpstr>
      <vt:lpstr>NSX400MA</vt:lpstr>
      <vt:lpstr>NSX630MA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Office-bruger</dc:creator>
  <cp:lastModifiedBy>Saeed Hashdari</cp:lastModifiedBy>
  <dcterms:created xsi:type="dcterms:W3CDTF">2016-10-14T10:31:02Z</dcterms:created>
  <dcterms:modified xsi:type="dcterms:W3CDTF">2023-03-26T01:07:27Z</dcterms:modified>
</cp:coreProperties>
</file>