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5" documentId="11_8DB4C2586CCFABBF269597D04A935EA0D9332198" xr6:coauthVersionLast="47" xr6:coauthVersionMax="47" xr10:uidLastSave="{26612EB8-D89E-4328-AC8D-4FDC12F1688C}"/>
  <bookViews>
    <workbookView xWindow="-120" yWindow="-120" windowWidth="29040" windowHeight="15840" tabRatio="604" activeTab="1" xr2:uid="{00000000-000D-0000-FFFF-FFFF00000000}"/>
  </bookViews>
  <sheets>
    <sheet name="LX" sheetId="11" r:id="rId1"/>
    <sheet name="Transformer" sheetId="1" r:id="rId2"/>
    <sheet name="KabelData" sheetId="7" r:id="rId3"/>
    <sheet name="IKmax IKmin" sheetId="9" r:id="rId4"/>
    <sheet name="Udregning" sheetId="2" state="hidden" r:id="rId5"/>
    <sheet name="Kabel" sheetId="3" state="hidden" r:id="rId6"/>
    <sheet name="IKmax_min" sheetId="8" state="hidden" r:id="rId7"/>
    <sheet name="Kabeludskrif" sheetId="4" r:id="rId8"/>
    <sheet name="udregning 2" sheetId="5" state="hidden" r:id="rId9"/>
    <sheet name="Kabel gummi" sheetId="6" state="hidden" r:id="rId10"/>
    <sheet name="Spændingsfald" sheetId="10" r:id="rId11"/>
    <sheet name="Belast" sheetId="13" r:id="rId12"/>
    <sheet name="Belast Symmetrisk" sheetId="17" r:id="rId13"/>
    <sheet name="Belast 3strøm " sheetId="14" r:id="rId14"/>
    <sheet name="Belast 3strøm  Symmetrisk" sheetId="16" r:id="rId15"/>
    <sheet name="Fasekomp." sheetId="15" r:id="rId16"/>
  </sheets>
  <definedNames>
    <definedName name="kabel">Kabel!$C$5:$C$74</definedName>
    <definedName name="kabeltilledning">'Kabel gummi'!$C$5:$C$53</definedName>
    <definedName name="kabelvalg" localSheetId="14">Transformer!#REF!</definedName>
    <definedName name="kabelvalg" localSheetId="12">Transformer!#REF!</definedName>
    <definedName name="kabelvalg">Transformer!#REF!</definedName>
    <definedName name="kabelvalg2">'udregning 2'!$A$2:$A$21</definedName>
    <definedName name="kabelvalg3">'udregning 2'!$A$2:$A$21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3" l="1"/>
  <c r="T19" i="13"/>
  <c r="T18" i="13"/>
  <c r="T17" i="13"/>
  <c r="T16" i="13"/>
  <c r="K11" i="15" l="1"/>
  <c r="D64" i="1" l="1"/>
  <c r="C73" i="1" l="1"/>
  <c r="C93" i="16" l="1"/>
  <c r="C90" i="16"/>
  <c r="C83" i="16"/>
  <c r="C80" i="16"/>
  <c r="C73" i="16"/>
  <c r="C70" i="16"/>
  <c r="C63" i="16"/>
  <c r="C60" i="16"/>
  <c r="C53" i="16"/>
  <c r="C50" i="16"/>
  <c r="C112" i="14"/>
  <c r="C102" i="14"/>
  <c r="C99" i="14"/>
  <c r="C92" i="14"/>
  <c r="C89" i="14"/>
  <c r="C72" i="14"/>
  <c r="C82" i="14"/>
  <c r="C79" i="14"/>
  <c r="C69" i="14"/>
  <c r="C68" i="13"/>
  <c r="C78" i="13"/>
  <c r="C88" i="13"/>
  <c r="C98" i="13"/>
  <c r="C108" i="13"/>
  <c r="C111" i="13"/>
  <c r="C101" i="13"/>
  <c r="C91" i="13"/>
  <c r="C81" i="13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12" i="17"/>
  <c r="D111" i="17"/>
  <c r="C111" i="17"/>
  <c r="I110" i="17"/>
  <c r="E108" i="17"/>
  <c r="C108" i="17"/>
  <c r="C107" i="17"/>
  <c r="D101" i="17"/>
  <c r="I100" i="17" s="1"/>
  <c r="C101" i="17"/>
  <c r="E98" i="17"/>
  <c r="C98" i="17"/>
  <c r="C97" i="17"/>
  <c r="D91" i="17"/>
  <c r="C91" i="17"/>
  <c r="I90" i="17"/>
  <c r="E88" i="17"/>
  <c r="C88" i="17"/>
  <c r="C87" i="17"/>
  <c r="D81" i="17"/>
  <c r="I80" i="17" s="1"/>
  <c r="C81" i="17"/>
  <c r="E78" i="17"/>
  <c r="C78" i="17"/>
  <c r="C77" i="17"/>
  <c r="D71" i="17"/>
  <c r="AC20" i="17" s="1"/>
  <c r="C71" i="17"/>
  <c r="I70" i="17"/>
  <c r="E68" i="17"/>
  <c r="C68" i="17"/>
  <c r="C67" i="17"/>
  <c r="H57" i="17"/>
  <c r="F57" i="17"/>
  <c r="H53" i="17"/>
  <c r="F53" i="17"/>
  <c r="H49" i="17"/>
  <c r="F49" i="17"/>
  <c r="O32" i="17"/>
  <c r="C32" i="17"/>
  <c r="C55" i="17" s="1"/>
  <c r="P30" i="17"/>
  <c r="P29" i="17"/>
  <c r="P28" i="17"/>
  <c r="AG28" i="17" s="1"/>
  <c r="P27" i="17"/>
  <c r="AH27" i="17" s="1"/>
  <c r="P26" i="17"/>
  <c r="AG26" i="17" s="1"/>
  <c r="P25" i="17"/>
  <c r="AH25" i="17" s="1"/>
  <c r="P24" i="17"/>
  <c r="AG24" i="17" s="1"/>
  <c r="P23" i="17"/>
  <c r="P22" i="17"/>
  <c r="AG22" i="17" s="1"/>
  <c r="P21" i="17"/>
  <c r="P20" i="17"/>
  <c r="AG20" i="17" s="1"/>
  <c r="P19" i="17"/>
  <c r="AG19" i="17" s="1"/>
  <c r="P18" i="17"/>
  <c r="AG18" i="17" s="1"/>
  <c r="P17" i="17"/>
  <c r="AG17" i="17" s="1"/>
  <c r="P16" i="17"/>
  <c r="AG16" i="17" s="1"/>
  <c r="P15" i="17"/>
  <c r="AG15" i="17" s="1"/>
  <c r="P14" i="17"/>
  <c r="AG14" i="17" s="1"/>
  <c r="P13" i="17"/>
  <c r="AG13" i="17" s="1"/>
  <c r="T12" i="17"/>
  <c r="P12" i="17"/>
  <c r="AG12" i="17" s="1"/>
  <c r="D93" i="16"/>
  <c r="I92" i="16" s="1"/>
  <c r="E90" i="16"/>
  <c r="C89" i="16"/>
  <c r="D83" i="16"/>
  <c r="I82" i="16" s="1"/>
  <c r="E80" i="16"/>
  <c r="C79" i="16"/>
  <c r="D73" i="16"/>
  <c r="I72" i="16" s="1"/>
  <c r="E70" i="16"/>
  <c r="C69" i="16"/>
  <c r="D63" i="16"/>
  <c r="I62" i="16" s="1"/>
  <c r="E60" i="16"/>
  <c r="C59" i="16"/>
  <c r="D53" i="16"/>
  <c r="I52" i="16" s="1"/>
  <c r="E50" i="16"/>
  <c r="C49" i="16"/>
  <c r="H37" i="16"/>
  <c r="F37" i="16"/>
  <c r="C35" i="16"/>
  <c r="C30" i="16"/>
  <c r="C24" i="16"/>
  <c r="M23" i="16"/>
  <c r="F40" i="16" s="1"/>
  <c r="K22" i="16"/>
  <c r="K21" i="16"/>
  <c r="X20" i="16"/>
  <c r="K20" i="16"/>
  <c r="X19" i="16"/>
  <c r="K19" i="16"/>
  <c r="X18" i="16"/>
  <c r="K18" i="16"/>
  <c r="X17" i="16"/>
  <c r="K17" i="16"/>
  <c r="X16" i="16"/>
  <c r="K16" i="16"/>
  <c r="X15" i="16"/>
  <c r="K15" i="16"/>
  <c r="X14" i="16"/>
  <c r="K14" i="16"/>
  <c r="X13" i="16"/>
  <c r="K13" i="16"/>
  <c r="X12" i="16"/>
  <c r="K12" i="16"/>
  <c r="X11" i="16"/>
  <c r="K11" i="16"/>
  <c r="X10" i="16"/>
  <c r="K10" i="16"/>
  <c r="X9" i="16"/>
  <c r="K9" i="16"/>
  <c r="X8" i="16"/>
  <c r="K8" i="16"/>
  <c r="X7" i="16"/>
  <c r="K7" i="16"/>
  <c r="X6" i="16"/>
  <c r="K6" i="16"/>
  <c r="X5" i="16"/>
  <c r="K5" i="16"/>
  <c r="X4" i="16"/>
  <c r="K4" i="16"/>
  <c r="AD16" i="10"/>
  <c r="AE16" i="10" s="1"/>
  <c r="C39" i="14"/>
  <c r="S32" i="13"/>
  <c r="K71" i="1"/>
  <c r="K57" i="1"/>
  <c r="E72" i="1"/>
  <c r="E58" i="1"/>
  <c r="X21" i="16" l="1"/>
  <c r="AH20" i="17"/>
  <c r="AH21" i="17"/>
  <c r="AH23" i="17"/>
  <c r="AH12" i="17"/>
  <c r="AI12" i="17" s="1"/>
  <c r="AD29" i="17"/>
  <c r="AH14" i="17"/>
  <c r="AI14" i="17" s="1"/>
  <c r="AH16" i="17"/>
  <c r="AI16" i="17" s="1"/>
  <c r="AH18" i="17"/>
  <c r="AI18" i="17" s="1"/>
  <c r="AG21" i="17"/>
  <c r="AI21" i="17" s="1"/>
  <c r="AG23" i="17"/>
  <c r="AG25" i="17"/>
  <c r="AI25" i="17" s="1"/>
  <c r="AG27" i="17"/>
  <c r="AI20" i="17"/>
  <c r="AI23" i="17"/>
  <c r="AI27" i="17"/>
  <c r="AE12" i="17"/>
  <c r="AH13" i="17"/>
  <c r="AI13" i="17" s="1"/>
  <c r="AE14" i="17"/>
  <c r="AF14" i="17" s="1"/>
  <c r="AH15" i="17"/>
  <c r="AI15" i="17" s="1"/>
  <c r="AE16" i="17"/>
  <c r="AF16" i="17" s="1"/>
  <c r="AH17" i="17"/>
  <c r="AI17" i="17" s="1"/>
  <c r="AE18" i="17"/>
  <c r="AF18" i="17" s="1"/>
  <c r="AH19" i="17"/>
  <c r="AI19" i="17" s="1"/>
  <c r="A53" i="17"/>
  <c r="K53" i="17" s="1"/>
  <c r="AE21" i="17"/>
  <c r="AF21" i="17" s="1"/>
  <c r="AH22" i="17"/>
  <c r="AI22" i="17" s="1"/>
  <c r="AE23" i="17"/>
  <c r="AF23" i="17" s="1"/>
  <c r="AH24" i="17"/>
  <c r="AI24" i="17" s="1"/>
  <c r="AE25" i="17"/>
  <c r="AF25" i="17" s="1"/>
  <c r="AH26" i="17"/>
  <c r="AI26" i="17" s="1"/>
  <c r="AE27" i="17"/>
  <c r="AF27" i="17" s="1"/>
  <c r="AH28" i="17"/>
  <c r="AI28" i="17" s="1"/>
  <c r="AF12" i="17"/>
  <c r="AE13" i="17"/>
  <c r="AF13" i="17" s="1"/>
  <c r="AE15" i="17"/>
  <c r="AF15" i="17" s="1"/>
  <c r="AE17" i="17"/>
  <c r="AF17" i="17" s="1"/>
  <c r="AE19" i="17"/>
  <c r="AF19" i="17" s="1"/>
  <c r="AE20" i="17"/>
  <c r="AF20" i="17" s="1"/>
  <c r="AE22" i="17"/>
  <c r="AF22" i="17" s="1"/>
  <c r="AE24" i="17"/>
  <c r="AF24" i="17" s="1"/>
  <c r="AE26" i="17"/>
  <c r="AF26" i="17" s="1"/>
  <c r="AE28" i="17"/>
  <c r="AF28" i="17" s="1"/>
  <c r="C47" i="17"/>
  <c r="C51" i="17"/>
  <c r="Y5" i="16"/>
  <c r="Z5" i="16" s="1"/>
  <c r="Y6" i="16"/>
  <c r="Z6" i="16" s="1"/>
  <c r="Y7" i="16"/>
  <c r="Z7" i="16" s="1"/>
  <c r="Y8" i="16"/>
  <c r="Z8" i="16" s="1"/>
  <c r="Y9" i="16"/>
  <c r="Z9" i="16" s="1"/>
  <c r="Y11" i="16"/>
  <c r="Z11" i="16" s="1"/>
  <c r="Y12" i="16"/>
  <c r="Z12" i="16" s="1"/>
  <c r="Y13" i="16"/>
  <c r="Z13" i="16" s="1"/>
  <c r="Y14" i="16"/>
  <c r="Z14" i="16" s="1"/>
  <c r="Y15" i="16"/>
  <c r="Z15" i="16" s="1"/>
  <c r="Y16" i="16"/>
  <c r="Z16" i="16" s="1"/>
  <c r="Y17" i="16"/>
  <c r="Z17" i="16" s="1"/>
  <c r="Y18" i="16"/>
  <c r="Z18" i="16" s="1"/>
  <c r="Y19" i="16"/>
  <c r="Z19" i="16" s="1"/>
  <c r="Y20" i="16"/>
  <c r="Z20" i="16" s="1"/>
  <c r="Y4" i="16"/>
  <c r="Z4" i="16" s="1"/>
  <c r="Y10" i="16"/>
  <c r="Z10" i="16" s="1"/>
  <c r="Z38" i="15"/>
  <c r="AG29" i="17" l="1"/>
  <c r="N57" i="17"/>
  <c r="N53" i="17"/>
  <c r="AH29" i="17"/>
  <c r="A57" i="17"/>
  <c r="K57" i="17" s="1"/>
  <c r="AE29" i="17"/>
  <c r="AF29" i="17" s="1"/>
  <c r="E43" i="17" s="1"/>
  <c r="E44" i="17" s="1"/>
  <c r="Y21" i="16"/>
  <c r="Z21" i="16" s="1"/>
  <c r="K24" i="1"/>
  <c r="AI29" i="17" l="1"/>
  <c r="P31" i="17" s="1"/>
  <c r="G23" i="16"/>
  <c r="A37" i="16" s="1"/>
  <c r="I37" i="16" s="1"/>
  <c r="K40" i="16" s="1"/>
  <c r="G32" i="16"/>
  <c r="N49" i="17"/>
  <c r="P34" i="17"/>
  <c r="P35" i="17" s="1"/>
  <c r="E31" i="17"/>
  <c r="A49" i="17" s="1"/>
  <c r="K49" i="17" s="1"/>
  <c r="E40" i="17" s="1"/>
  <c r="O29" i="13"/>
  <c r="T29" i="13"/>
  <c r="X29" i="13"/>
  <c r="O30" i="13"/>
  <c r="T30" i="13"/>
  <c r="X30" i="13"/>
  <c r="AB12" i="13"/>
  <c r="AA27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11" i="14"/>
  <c r="G30" i="16" l="1"/>
  <c r="H41" i="16" s="1"/>
  <c r="G33" i="16"/>
  <c r="M37" i="16"/>
  <c r="D112" i="14"/>
  <c r="I111" i="14"/>
  <c r="E109" i="14"/>
  <c r="C109" i="14"/>
  <c r="C108" i="14"/>
  <c r="D102" i="14"/>
  <c r="I101" i="14"/>
  <c r="E99" i="14"/>
  <c r="C98" i="14"/>
  <c r="D92" i="14"/>
  <c r="I91" i="14"/>
  <c r="E89" i="14"/>
  <c r="C88" i="14"/>
  <c r="D82" i="14"/>
  <c r="I81" i="14"/>
  <c r="E79" i="14"/>
  <c r="C78" i="14"/>
  <c r="D111" i="13"/>
  <c r="I110" i="13"/>
  <c r="E108" i="13"/>
  <c r="C107" i="13"/>
  <c r="D101" i="13"/>
  <c r="I100" i="13"/>
  <c r="E98" i="13"/>
  <c r="C97" i="13"/>
  <c r="B29" i="7" l="1"/>
  <c r="B27" i="7"/>
  <c r="B26" i="7"/>
  <c r="B25" i="7"/>
  <c r="F30" i="7"/>
  <c r="F29" i="7"/>
  <c r="F28" i="7"/>
  <c r="F26" i="7"/>
  <c r="F25" i="7"/>
  <c r="V43" i="4" l="1"/>
  <c r="V90" i="4" s="1"/>
  <c r="F90" i="4" s="1"/>
  <c r="U43" i="4"/>
  <c r="D43" i="4" s="1"/>
  <c r="V39" i="4"/>
  <c r="V86" i="4" s="1"/>
  <c r="F86" i="4" s="1"/>
  <c r="U39" i="4"/>
  <c r="U86" i="4" s="1"/>
  <c r="N29" i="7"/>
  <c r="N30" i="7" s="1"/>
  <c r="X86" i="4" s="1"/>
  <c r="M86" i="4" s="1"/>
  <c r="R29" i="7"/>
  <c r="W90" i="4" s="1"/>
  <c r="R25" i="7"/>
  <c r="W43" i="4" s="1"/>
  <c r="N25" i="7"/>
  <c r="W39" i="4" s="1"/>
  <c r="N26" i="7" l="1"/>
  <c r="X39" i="4" s="1"/>
  <c r="M39" i="4" s="1"/>
  <c r="D86" i="4"/>
  <c r="D39" i="4"/>
  <c r="W86" i="4"/>
  <c r="F39" i="4"/>
  <c r="R26" i="7"/>
  <c r="X43" i="4" s="1"/>
  <c r="M43" i="4" s="1"/>
  <c r="R30" i="7"/>
  <c r="X90" i="4" s="1"/>
  <c r="M90" i="4" s="1"/>
  <c r="F43" i="4"/>
  <c r="D90" i="4"/>
  <c r="U90" i="4"/>
  <c r="Z37" i="15" l="1"/>
  <c r="AV1" i="15"/>
  <c r="N9" i="15"/>
  <c r="N8" i="15"/>
  <c r="R30" i="14"/>
  <c r="N45" i="9"/>
  <c r="N46" i="9"/>
  <c r="N47" i="9"/>
  <c r="N48" i="9"/>
  <c r="N49" i="9"/>
  <c r="N50" i="9"/>
  <c r="I45" i="9"/>
  <c r="I46" i="9"/>
  <c r="I47" i="9"/>
  <c r="I48" i="9"/>
  <c r="I49" i="9"/>
  <c r="I50" i="9"/>
  <c r="AD29" i="9"/>
  <c r="AH29" i="9"/>
  <c r="O26" i="13"/>
  <c r="T26" i="13"/>
  <c r="X26" i="13"/>
  <c r="AB25" i="13"/>
  <c r="AE25" i="13"/>
  <c r="AH25" i="13"/>
  <c r="O27" i="13"/>
  <c r="T27" i="13"/>
  <c r="X27" i="13"/>
  <c r="AB26" i="13"/>
  <c r="AE26" i="13"/>
  <c r="AH26" i="13"/>
  <c r="P64" i="9"/>
  <c r="P60" i="9"/>
  <c r="AJ24" i="15" l="1"/>
  <c r="M50" i="15"/>
  <c r="AJ23" i="15" s="1"/>
  <c r="J50" i="15"/>
  <c r="Q40" i="15"/>
  <c r="O23" i="15"/>
  <c r="AJ11" i="15" s="1"/>
  <c r="K23" i="15"/>
  <c r="H18" i="15"/>
  <c r="D17" i="15"/>
  <c r="P17" i="15"/>
  <c r="G23" i="15" s="1"/>
  <c r="AJ10" i="15" s="1"/>
  <c r="S4" i="15"/>
  <c r="N4" i="15"/>
  <c r="C87" i="13"/>
  <c r="C77" i="13"/>
  <c r="H54" i="14"/>
  <c r="H50" i="14"/>
  <c r="H46" i="14"/>
  <c r="F54" i="14"/>
  <c r="F50" i="14"/>
  <c r="F46" i="14"/>
  <c r="C52" i="14"/>
  <c r="C48" i="14"/>
  <c r="C44" i="14"/>
  <c r="C31" i="14"/>
  <c r="P12" i="14"/>
  <c r="AB12" i="14" s="1"/>
  <c r="AC12" i="14" s="1"/>
  <c r="P13" i="14"/>
  <c r="AB13" i="14" s="1"/>
  <c r="AC13" i="14" s="1"/>
  <c r="P14" i="14"/>
  <c r="AB14" i="14" s="1"/>
  <c r="AC14" i="14" s="1"/>
  <c r="P15" i="14"/>
  <c r="AB15" i="14" s="1"/>
  <c r="AC15" i="14" s="1"/>
  <c r="P16" i="14"/>
  <c r="AB16" i="14" s="1"/>
  <c r="AC16" i="14" s="1"/>
  <c r="P17" i="14"/>
  <c r="AB17" i="14" s="1"/>
  <c r="AC17" i="14" s="1"/>
  <c r="P18" i="14"/>
  <c r="AB18" i="14" s="1"/>
  <c r="AC18" i="14" s="1"/>
  <c r="P19" i="14"/>
  <c r="AB19" i="14" s="1"/>
  <c r="AC19" i="14" s="1"/>
  <c r="P20" i="14"/>
  <c r="AB20" i="14" s="1"/>
  <c r="AC20" i="14" s="1"/>
  <c r="P21" i="14"/>
  <c r="AB21" i="14" s="1"/>
  <c r="AC21" i="14" s="1"/>
  <c r="P22" i="14"/>
  <c r="AB22" i="14" s="1"/>
  <c r="AC22" i="14" s="1"/>
  <c r="P23" i="14"/>
  <c r="AB23" i="14" s="1"/>
  <c r="AC23" i="14" s="1"/>
  <c r="P24" i="14"/>
  <c r="AB24" i="14" s="1"/>
  <c r="AC24" i="14" s="1"/>
  <c r="P25" i="14"/>
  <c r="AB25" i="14" s="1"/>
  <c r="AC25" i="14" s="1"/>
  <c r="P26" i="14"/>
  <c r="AB26" i="14" s="1"/>
  <c r="AC26" i="14" s="1"/>
  <c r="P27" i="14"/>
  <c r="AB27" i="14" s="1"/>
  <c r="AC27" i="14" s="1"/>
  <c r="P28" i="14"/>
  <c r="P29" i="14"/>
  <c r="P11" i="14"/>
  <c r="D72" i="14"/>
  <c r="I71" i="14" s="1"/>
  <c r="E69" i="14"/>
  <c r="C68" i="14"/>
  <c r="E88" i="13"/>
  <c r="E78" i="13"/>
  <c r="AR23" i="15" l="1"/>
  <c r="AN23" i="15"/>
  <c r="AE27" i="14"/>
  <c r="AH27" i="14"/>
  <c r="AE25" i="14"/>
  <c r="AH25" i="14"/>
  <c r="AE23" i="14"/>
  <c r="AH23" i="14"/>
  <c r="AE21" i="14"/>
  <c r="AH21" i="14"/>
  <c r="AE19" i="14"/>
  <c r="AH19" i="14"/>
  <c r="AE17" i="14"/>
  <c r="AH17" i="14"/>
  <c r="AH26" i="14"/>
  <c r="AE26" i="14"/>
  <c r="AH24" i="14"/>
  <c r="AE24" i="14"/>
  <c r="AH22" i="14"/>
  <c r="AE22" i="14"/>
  <c r="AH20" i="14"/>
  <c r="AE20" i="14"/>
  <c r="AH18" i="14"/>
  <c r="AE18" i="14"/>
  <c r="AE11" i="14"/>
  <c r="AH11" i="14"/>
  <c r="AB11" i="14"/>
  <c r="AC11" i="14" s="1"/>
  <c r="AE14" i="14"/>
  <c r="AH14" i="14"/>
  <c r="AH15" i="14"/>
  <c r="AE15" i="14"/>
  <c r="AH13" i="14"/>
  <c r="AE13" i="14"/>
  <c r="AE16" i="14"/>
  <c r="AH16" i="14"/>
  <c r="AE12" i="14"/>
  <c r="AH12" i="14"/>
  <c r="H17" i="15"/>
  <c r="Q8" i="15"/>
  <c r="U8" i="15" s="1"/>
  <c r="AN11" i="15"/>
  <c r="AR11" i="15"/>
  <c r="L17" i="15"/>
  <c r="T13" i="13"/>
  <c r="AK13" i="13" s="1"/>
  <c r="T14" i="13"/>
  <c r="AK14" i="13" s="1"/>
  <c r="T15" i="13"/>
  <c r="AK15" i="13" s="1"/>
  <c r="AK16" i="13"/>
  <c r="AK17" i="13"/>
  <c r="AK18" i="13"/>
  <c r="AK19" i="13"/>
  <c r="AK20" i="13"/>
  <c r="T21" i="13"/>
  <c r="AK21" i="13" s="1"/>
  <c r="T22" i="13"/>
  <c r="AK22" i="13" s="1"/>
  <c r="T23" i="13"/>
  <c r="AK23" i="13" s="1"/>
  <c r="T24" i="13"/>
  <c r="AK24" i="13" s="1"/>
  <c r="T25" i="13"/>
  <c r="AK27" i="13"/>
  <c r="T28" i="13"/>
  <c r="AK28" i="13" s="1"/>
  <c r="T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8" i="13"/>
  <c r="X12" i="13"/>
  <c r="O12" i="13"/>
  <c r="AC12" i="13" s="1"/>
  <c r="O15" i="13"/>
  <c r="O16" i="13"/>
  <c r="O17" i="13"/>
  <c r="O18" i="13"/>
  <c r="O19" i="13"/>
  <c r="O20" i="13"/>
  <c r="O21" i="13"/>
  <c r="O22" i="13"/>
  <c r="O23" i="13"/>
  <c r="O24" i="13"/>
  <c r="O25" i="13"/>
  <c r="O28" i="13"/>
  <c r="E68" i="13"/>
  <c r="C67" i="13"/>
  <c r="O14" i="13"/>
  <c r="C32" i="13"/>
  <c r="C55" i="13" s="1"/>
  <c r="F53" i="13"/>
  <c r="H53" i="13"/>
  <c r="H57" i="13"/>
  <c r="F57" i="13"/>
  <c r="F49" i="13"/>
  <c r="H49" i="13"/>
  <c r="D91" i="13"/>
  <c r="I90" i="13" s="1"/>
  <c r="AF25" i="13" l="1"/>
  <c r="AG25" i="13" s="1"/>
  <c r="AC25" i="13"/>
  <c r="AD25" i="13" s="1"/>
  <c r="AI25" i="13"/>
  <c r="AJ25" i="13" s="1"/>
  <c r="AL25" i="13"/>
  <c r="AK25" i="13"/>
  <c r="AF26" i="13"/>
  <c r="AG26" i="13" s="1"/>
  <c r="AC26" i="13"/>
  <c r="AD26" i="13" s="1"/>
  <c r="AI26" i="13"/>
  <c r="AJ26" i="13" s="1"/>
  <c r="AL26" i="13"/>
  <c r="AK26" i="13"/>
  <c r="AN10" i="15"/>
  <c r="C23" i="15"/>
  <c r="AR10" i="15" s="1"/>
  <c r="AL27" i="13"/>
  <c r="AM27" i="13" s="1"/>
  <c r="AL23" i="13"/>
  <c r="AM23" i="13" s="1"/>
  <c r="AL21" i="13"/>
  <c r="AM21" i="13" s="1"/>
  <c r="AL19" i="13"/>
  <c r="AM19" i="13" s="1"/>
  <c r="AL17" i="13"/>
  <c r="AM17" i="13" s="1"/>
  <c r="AL15" i="13"/>
  <c r="AM15" i="13" s="1"/>
  <c r="AL13" i="13"/>
  <c r="AM13" i="13" s="1"/>
  <c r="AL28" i="13"/>
  <c r="AM28" i="13" s="1"/>
  <c r="AL24" i="13"/>
  <c r="AM24" i="13" s="1"/>
  <c r="AL22" i="13"/>
  <c r="AM22" i="13" s="1"/>
  <c r="AL20" i="13"/>
  <c r="AM20" i="13" s="1"/>
  <c r="AL18" i="13"/>
  <c r="AM18" i="13" s="1"/>
  <c r="AL16" i="13"/>
  <c r="AM16" i="13" s="1"/>
  <c r="AL14" i="13"/>
  <c r="AM14" i="13" s="1"/>
  <c r="AL12" i="13"/>
  <c r="AK12" i="13"/>
  <c r="C47" i="13"/>
  <c r="C51" i="13"/>
  <c r="D81" i="13"/>
  <c r="I80" i="13" s="1"/>
  <c r="C71" i="13"/>
  <c r="D71" i="13"/>
  <c r="I70" i="13" s="1"/>
  <c r="AM25" i="13" l="1"/>
  <c r="AM26" i="13"/>
  <c r="AA20" i="13"/>
  <c r="S23" i="15"/>
  <c r="L31" i="15" s="1"/>
  <c r="A34" i="15" s="1"/>
  <c r="AM12" i="13"/>
  <c r="AL29" i="13"/>
  <c r="AK29" i="13"/>
  <c r="AG27" i="14"/>
  <c r="AD27" i="14"/>
  <c r="AG26" i="14"/>
  <c r="AD26" i="14"/>
  <c r="AG25" i="14"/>
  <c r="AD25" i="14"/>
  <c r="AG24" i="14"/>
  <c r="AD24" i="14"/>
  <c r="AG23" i="14"/>
  <c r="AD23" i="14"/>
  <c r="AG22" i="14"/>
  <c r="AD22" i="14"/>
  <c r="AG21" i="14"/>
  <c r="AD21" i="14"/>
  <c r="AG20" i="14"/>
  <c r="AD20" i="14"/>
  <c r="AG19" i="14"/>
  <c r="AD19" i="14"/>
  <c r="AG18" i="14"/>
  <c r="AD18" i="14"/>
  <c r="AG17" i="14"/>
  <c r="AD17" i="14"/>
  <c r="AG16" i="14"/>
  <c r="AD16" i="14"/>
  <c r="AG15" i="14"/>
  <c r="AD15" i="14"/>
  <c r="AG14" i="14"/>
  <c r="AD14" i="14"/>
  <c r="AG13" i="14"/>
  <c r="AD13" i="14"/>
  <c r="AG12" i="14"/>
  <c r="AD12" i="14"/>
  <c r="AG11" i="14"/>
  <c r="AD11" i="14"/>
  <c r="AA28" i="14"/>
  <c r="AH28" i="13"/>
  <c r="AE28" i="13"/>
  <c r="AB28" i="13"/>
  <c r="AH27" i="13"/>
  <c r="AE27" i="13"/>
  <c r="AB27" i="13"/>
  <c r="AF28" i="13"/>
  <c r="AF27" i="13"/>
  <c r="AH24" i="13"/>
  <c r="AE24" i="13"/>
  <c r="AB24" i="13"/>
  <c r="AH23" i="13"/>
  <c r="AE23" i="13"/>
  <c r="AB23" i="13"/>
  <c r="AF24" i="13"/>
  <c r="AH22" i="13"/>
  <c r="AE22" i="13"/>
  <c r="AB22" i="13"/>
  <c r="AF23" i="13"/>
  <c r="AH21" i="13"/>
  <c r="AE21" i="13"/>
  <c r="AB21" i="13"/>
  <c r="AF22" i="13"/>
  <c r="AH20" i="13"/>
  <c r="AE20" i="13"/>
  <c r="AB20" i="13"/>
  <c r="AF21" i="13"/>
  <c r="AH19" i="13"/>
  <c r="AE19" i="13"/>
  <c r="AB19" i="13"/>
  <c r="AF20" i="13"/>
  <c r="AH18" i="13"/>
  <c r="AE18" i="13"/>
  <c r="AB18" i="13"/>
  <c r="AF19" i="13"/>
  <c r="AH17" i="13"/>
  <c r="AE17" i="13"/>
  <c r="AB17" i="13"/>
  <c r="AF18" i="13"/>
  <c r="AH16" i="13"/>
  <c r="AE16" i="13"/>
  <c r="AB16" i="13"/>
  <c r="AF17" i="13"/>
  <c r="AH15" i="13"/>
  <c r="AE15" i="13"/>
  <c r="AB15" i="13"/>
  <c r="AF16" i="13"/>
  <c r="AH14" i="13"/>
  <c r="AE14" i="13"/>
  <c r="AB14" i="13"/>
  <c r="AF15" i="13"/>
  <c r="AH13" i="13"/>
  <c r="AE13" i="13"/>
  <c r="AB13" i="13"/>
  <c r="AF14" i="13"/>
  <c r="AH12" i="13"/>
  <c r="AE12" i="13"/>
  <c r="AD12" i="13"/>
  <c r="O13" i="13"/>
  <c r="AF13" i="13" s="1"/>
  <c r="AF12" i="13"/>
  <c r="AG28" i="14" l="1"/>
  <c r="AG14" i="13"/>
  <c r="AD28" i="14"/>
  <c r="AE29" i="13"/>
  <c r="AB29" i="13"/>
  <c r="AH29" i="13"/>
  <c r="H31" i="15"/>
  <c r="U38" i="15"/>
  <c r="T40" i="15" s="1"/>
  <c r="AH28" i="14"/>
  <c r="AI12" i="14"/>
  <c r="AI13" i="14"/>
  <c r="AI14" i="14"/>
  <c r="AI15" i="14"/>
  <c r="AI16" i="14"/>
  <c r="AI17" i="14"/>
  <c r="AI18" i="14"/>
  <c r="AI19" i="14"/>
  <c r="AI20" i="14"/>
  <c r="AI21" i="14"/>
  <c r="AM29" i="13"/>
  <c r="T31" i="13" s="1"/>
  <c r="AI12" i="13"/>
  <c r="AI22" i="14"/>
  <c r="AI23" i="14"/>
  <c r="AI24" i="14"/>
  <c r="AI25" i="14"/>
  <c r="AI26" i="14"/>
  <c r="AI27" i="14"/>
  <c r="AI11" i="14"/>
  <c r="AF12" i="14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  <c r="AF26" i="14"/>
  <c r="AF27" i="14"/>
  <c r="AF11" i="14"/>
  <c r="AG13" i="13"/>
  <c r="AG15" i="13"/>
  <c r="AG16" i="13"/>
  <c r="AG17" i="13"/>
  <c r="AG18" i="13"/>
  <c r="AG19" i="13"/>
  <c r="AG20" i="13"/>
  <c r="AG21" i="13"/>
  <c r="AG22" i="13"/>
  <c r="AG23" i="13"/>
  <c r="AG24" i="13"/>
  <c r="AG27" i="13"/>
  <c r="AG28" i="13"/>
  <c r="AF29" i="13"/>
  <c r="AG12" i="13"/>
  <c r="AI13" i="13"/>
  <c r="AC15" i="13"/>
  <c r="AD15" i="13" s="1"/>
  <c r="AI15" i="13"/>
  <c r="AJ15" i="13" s="1"/>
  <c r="AC16" i="13"/>
  <c r="AD16" i="13" s="1"/>
  <c r="AI16" i="13"/>
  <c r="AJ16" i="13" s="1"/>
  <c r="AC17" i="13"/>
  <c r="AD17" i="13" s="1"/>
  <c r="AI17" i="13"/>
  <c r="AJ17" i="13" s="1"/>
  <c r="AC18" i="13"/>
  <c r="AD18" i="13" s="1"/>
  <c r="AI18" i="13"/>
  <c r="AJ18" i="13" s="1"/>
  <c r="AC19" i="13"/>
  <c r="AD19" i="13" s="1"/>
  <c r="AI19" i="13"/>
  <c r="AJ19" i="13" s="1"/>
  <c r="AC20" i="13"/>
  <c r="AD20" i="13" s="1"/>
  <c r="AI20" i="13"/>
  <c r="AJ20" i="13" s="1"/>
  <c r="AC21" i="13"/>
  <c r="AD21" i="13" s="1"/>
  <c r="AI21" i="13"/>
  <c r="AJ21" i="13" s="1"/>
  <c r="AC22" i="13"/>
  <c r="AD22" i="13" s="1"/>
  <c r="AI22" i="13"/>
  <c r="AJ22" i="13" s="1"/>
  <c r="AC23" i="13"/>
  <c r="AD23" i="13" s="1"/>
  <c r="AI23" i="13"/>
  <c r="AJ23" i="13" s="1"/>
  <c r="AC24" i="13"/>
  <c r="AD24" i="13" s="1"/>
  <c r="AI24" i="13"/>
  <c r="AJ24" i="13" s="1"/>
  <c r="AC27" i="13"/>
  <c r="AD27" i="13" s="1"/>
  <c r="AI27" i="13"/>
  <c r="AJ27" i="13" s="1"/>
  <c r="AC28" i="13"/>
  <c r="AD28" i="13" s="1"/>
  <c r="AI28" i="13"/>
  <c r="AJ28" i="13" s="1"/>
  <c r="AC13" i="13"/>
  <c r="AC14" i="13"/>
  <c r="AD14" i="13" s="1"/>
  <c r="AI14" i="13"/>
  <c r="AJ14" i="13" s="1"/>
  <c r="AJ12" i="13"/>
  <c r="AG29" i="13" l="1"/>
  <c r="H43" i="13" s="1"/>
  <c r="N53" i="13" s="1"/>
  <c r="AI28" i="14"/>
  <c r="W40" i="15"/>
  <c r="P45" i="15" s="1"/>
  <c r="Q50" i="15" s="1"/>
  <c r="T34" i="13"/>
  <c r="T35" i="13" s="1"/>
  <c r="AC29" i="13"/>
  <c r="AD29" i="13" s="1"/>
  <c r="AI29" i="13"/>
  <c r="AJ29" i="13" s="1"/>
  <c r="J43" i="13" s="1"/>
  <c r="AE28" i="14"/>
  <c r="AB28" i="14"/>
  <c r="AD13" i="13"/>
  <c r="AJ13" i="13"/>
  <c r="H31" i="13" l="1"/>
  <c r="A53" i="13" s="1"/>
  <c r="K53" i="13" s="1"/>
  <c r="H40" i="13" s="1"/>
  <c r="L30" i="14"/>
  <c r="A54" i="14" s="1"/>
  <c r="I54" i="14" s="1"/>
  <c r="L41" i="14"/>
  <c r="N57" i="13"/>
  <c r="AF28" i="14"/>
  <c r="AC28" i="14"/>
  <c r="M45" i="15"/>
  <c r="AN24" i="15"/>
  <c r="AR24" i="15"/>
  <c r="AB50" i="15" s="1"/>
  <c r="H52" i="15" s="1"/>
  <c r="E43" i="13"/>
  <c r="E31" i="13"/>
  <c r="H44" i="13"/>
  <c r="J31" i="13"/>
  <c r="X50" i="15" l="1"/>
  <c r="C52" i="15" s="1"/>
  <c r="H61" i="14"/>
  <c r="L39" i="14"/>
  <c r="L42" i="14"/>
  <c r="M54" i="14"/>
  <c r="I30" i="14"/>
  <c r="I41" i="14"/>
  <c r="I42" i="14" s="1"/>
  <c r="G30" i="14"/>
  <c r="A46" i="14" s="1"/>
  <c r="I46" i="14" s="1"/>
  <c r="G41" i="14"/>
  <c r="G42" i="14" s="1"/>
  <c r="N49" i="13"/>
  <c r="E44" i="13"/>
  <c r="A57" i="13"/>
  <c r="K57" i="13" s="1"/>
  <c r="J40" i="13" s="1"/>
  <c r="A49" i="13"/>
  <c r="K49" i="13" s="1"/>
  <c r="E40" i="13" s="1"/>
  <c r="J44" i="13"/>
  <c r="B61" i="14" l="1"/>
  <c r="G39" i="14"/>
  <c r="M50" i="14"/>
  <c r="A50" i="14"/>
  <c r="I50" i="14" s="1"/>
  <c r="M46" i="14"/>
  <c r="AL11" i="10"/>
  <c r="AM11" i="10" s="1"/>
  <c r="AL12" i="10"/>
  <c r="AM12" i="10" s="1"/>
  <c r="AL4" i="10"/>
  <c r="AM4" i="10" s="1"/>
  <c r="AL5" i="10"/>
  <c r="AM5" i="10" s="1"/>
  <c r="AL6" i="10"/>
  <c r="AM6" i="10" s="1"/>
  <c r="AL7" i="10"/>
  <c r="AM7" i="10" s="1"/>
  <c r="AL8" i="10"/>
  <c r="AM8" i="10" s="1"/>
  <c r="AL9" i="10"/>
  <c r="AM9" i="10" s="1"/>
  <c r="AL10" i="10"/>
  <c r="AM10" i="10" s="1"/>
  <c r="AL3" i="10"/>
  <c r="J25" i="10"/>
  <c r="J26" i="10"/>
  <c r="R26" i="10" s="1"/>
  <c r="J27" i="10"/>
  <c r="R27" i="10" s="1"/>
  <c r="J28" i="10"/>
  <c r="R28" i="10" s="1"/>
  <c r="J29" i="10"/>
  <c r="R29" i="10" s="1"/>
  <c r="J30" i="10"/>
  <c r="R30" i="10" s="1"/>
  <c r="E61" i="14" l="1"/>
  <c r="I39" i="14"/>
  <c r="AM3" i="10"/>
  <c r="AN3" i="10"/>
  <c r="AC11" i="10"/>
  <c r="AH11" i="10" s="1"/>
  <c r="AC9" i="10"/>
  <c r="AH9" i="10" s="1"/>
  <c r="AC10" i="10"/>
  <c r="AH10" i="10" s="1"/>
  <c r="AC8" i="10"/>
  <c r="AH8" i="10" s="1"/>
  <c r="AN9" i="10"/>
  <c r="AN8" i="10"/>
  <c r="AN7" i="10"/>
  <c r="AN5" i="10"/>
  <c r="AN4" i="10"/>
  <c r="AN12" i="10"/>
  <c r="AN11" i="10"/>
  <c r="AN10" i="10"/>
  <c r="AN6" i="10"/>
  <c r="O14" i="1" l="1"/>
  <c r="U21" i="7" l="1"/>
  <c r="W21" i="7"/>
  <c r="AD18" i="1"/>
  <c r="AE18" i="1"/>
  <c r="U13" i="1"/>
  <c r="K12" i="1"/>
  <c r="E92" i="4"/>
  <c r="E88" i="4"/>
  <c r="E82" i="4"/>
  <c r="E78" i="4"/>
  <c r="E74" i="4"/>
  <c r="E70" i="4"/>
  <c r="E66" i="4"/>
  <c r="E62" i="4"/>
  <c r="E58" i="4"/>
  <c r="E54" i="4"/>
  <c r="E45" i="4"/>
  <c r="E41" i="4"/>
  <c r="E35" i="4"/>
  <c r="E31" i="4"/>
  <c r="E27" i="4"/>
  <c r="E23" i="4"/>
  <c r="E19" i="4"/>
  <c r="E15" i="4"/>
  <c r="E11" i="4"/>
  <c r="E7" i="4"/>
  <c r="J23" i="9"/>
  <c r="U22" i="1"/>
  <c r="U24" i="1"/>
  <c r="T23" i="9"/>
  <c r="O23" i="9"/>
  <c r="N54" i="9"/>
  <c r="P54" i="9" s="1"/>
  <c r="C59" i="1"/>
  <c r="BC10" i="9" s="1"/>
  <c r="AN16" i="9"/>
  <c r="AN15" i="9"/>
  <c r="AN14" i="9"/>
  <c r="AN13" i="9"/>
  <c r="AN12" i="9"/>
  <c r="AN11" i="9"/>
  <c r="AN10" i="9"/>
  <c r="AN9" i="9"/>
  <c r="AN8" i="9"/>
  <c r="AN7" i="9"/>
  <c r="H43" i="4"/>
  <c r="K43" i="4" s="1"/>
  <c r="H39" i="4"/>
  <c r="K39" i="4" s="1"/>
  <c r="H33" i="4"/>
  <c r="H35" i="4" s="1"/>
  <c r="H29" i="4"/>
  <c r="H31" i="4" s="1"/>
  <c r="H25" i="4"/>
  <c r="H21" i="4"/>
  <c r="H23" i="4" s="1"/>
  <c r="H17" i="4"/>
  <c r="H19" i="4" s="1"/>
  <c r="H13" i="4"/>
  <c r="H15" i="4" s="1"/>
  <c r="H9" i="4"/>
  <c r="H11" i="4" s="1"/>
  <c r="H5" i="4"/>
  <c r="H7" i="4" s="1"/>
  <c r="W12" i="10"/>
  <c r="W11" i="10"/>
  <c r="W10" i="10"/>
  <c r="W9" i="10"/>
  <c r="W8" i="10"/>
  <c r="W7" i="10"/>
  <c r="W6" i="10"/>
  <c r="W5" i="10"/>
  <c r="W4" i="10"/>
  <c r="W3" i="10"/>
  <c r="B91" i="4"/>
  <c r="B87" i="4"/>
  <c r="B81" i="4"/>
  <c r="B77" i="4"/>
  <c r="B73" i="4"/>
  <c r="B69" i="4"/>
  <c r="B65" i="4"/>
  <c r="B61" i="4"/>
  <c r="B57" i="4"/>
  <c r="B53" i="4"/>
  <c r="B44" i="4"/>
  <c r="B40" i="4"/>
  <c r="B34" i="4"/>
  <c r="B30" i="4"/>
  <c r="B26" i="4"/>
  <c r="B22" i="4"/>
  <c r="B18" i="4"/>
  <c r="B14" i="4"/>
  <c r="B10" i="4"/>
  <c r="B6" i="4"/>
  <c r="O24" i="1"/>
  <c r="O23" i="1"/>
  <c r="K22" i="1"/>
  <c r="O22" i="1"/>
  <c r="N25" i="10"/>
  <c r="N26" i="10"/>
  <c r="N27" i="10"/>
  <c r="N28" i="10"/>
  <c r="N29" i="10"/>
  <c r="N30" i="10"/>
  <c r="P25" i="10"/>
  <c r="P26" i="10"/>
  <c r="P27" i="10"/>
  <c r="P28" i="10"/>
  <c r="P29" i="10"/>
  <c r="P30" i="10"/>
  <c r="L23" i="10"/>
  <c r="L24" i="10"/>
  <c r="L25" i="10"/>
  <c r="T25" i="10" s="1"/>
  <c r="L26" i="10"/>
  <c r="T26" i="10" s="1"/>
  <c r="L27" i="10"/>
  <c r="T27" i="10" s="1"/>
  <c r="L28" i="10"/>
  <c r="T28" i="10" s="1"/>
  <c r="L29" i="10"/>
  <c r="T29" i="10" s="1"/>
  <c r="L30" i="10"/>
  <c r="T30" i="10" s="1"/>
  <c r="AB12" i="10"/>
  <c r="AB11" i="10"/>
  <c r="AB10" i="10"/>
  <c r="AB9" i="10"/>
  <c r="AB8" i="10"/>
  <c r="AB7" i="10"/>
  <c r="AB6" i="10"/>
  <c r="AB5" i="10"/>
  <c r="AB4" i="10"/>
  <c r="L22" i="10" s="1"/>
  <c r="AB3" i="10"/>
  <c r="L21" i="10" s="1"/>
  <c r="Z12" i="10"/>
  <c r="Z11" i="10"/>
  <c r="Z10" i="10"/>
  <c r="Z9" i="10"/>
  <c r="Z8" i="10"/>
  <c r="Z7" i="10"/>
  <c r="Z6" i="10"/>
  <c r="Z5" i="10"/>
  <c r="Z4" i="10"/>
  <c r="Z3" i="10"/>
  <c r="AA12" i="10"/>
  <c r="AA11" i="10"/>
  <c r="AA10" i="10"/>
  <c r="AA9" i="10"/>
  <c r="AA8" i="10"/>
  <c r="AA7" i="10"/>
  <c r="AA6" i="10"/>
  <c r="AA5" i="10"/>
  <c r="AA4" i="10"/>
  <c r="J23" i="10" s="1"/>
  <c r="AA3" i="10"/>
  <c r="J21" i="10" s="1"/>
  <c r="H45" i="4"/>
  <c r="H27" i="4"/>
  <c r="AP16" i="9"/>
  <c r="AP15" i="9"/>
  <c r="J30" i="7"/>
  <c r="J29" i="7"/>
  <c r="J28" i="7"/>
  <c r="J27" i="7"/>
  <c r="J26" i="7"/>
  <c r="AP14" i="9" s="1"/>
  <c r="J25" i="7"/>
  <c r="F27" i="7"/>
  <c r="AP13" i="9"/>
  <c r="B30" i="7"/>
  <c r="B28" i="7"/>
  <c r="AP12" i="9"/>
  <c r="R15" i="7"/>
  <c r="R14" i="7"/>
  <c r="R13" i="7"/>
  <c r="R12" i="7"/>
  <c r="R11" i="7"/>
  <c r="AP11" i="9" s="1"/>
  <c r="R10" i="7"/>
  <c r="N13" i="7"/>
  <c r="N12" i="7"/>
  <c r="J13" i="7"/>
  <c r="J12" i="7"/>
  <c r="F13" i="7"/>
  <c r="F12" i="7"/>
  <c r="B13" i="7"/>
  <c r="B12" i="7"/>
  <c r="U11" i="1"/>
  <c r="K25" i="1"/>
  <c r="E59" i="1"/>
  <c r="F73" i="1"/>
  <c r="BF10" i="9" s="1"/>
  <c r="F59" i="1"/>
  <c r="BD10" i="9" s="1"/>
  <c r="AY15" i="9"/>
  <c r="AT11" i="9"/>
  <c r="AS11" i="9"/>
  <c r="F23" i="9"/>
  <c r="E23" i="9"/>
  <c r="J24" i="10" l="1"/>
  <c r="R25" i="10"/>
  <c r="AC7" i="10"/>
  <c r="J22" i="10"/>
  <c r="E39" i="10"/>
  <c r="I39" i="10"/>
  <c r="J35" i="10"/>
  <c r="L35" i="10"/>
  <c r="AC12" i="10"/>
  <c r="AH12" i="10" s="1"/>
  <c r="Z29" i="9"/>
  <c r="AT10" i="9" s="1"/>
  <c r="AD11" i="10"/>
  <c r="AE11" i="10" s="1"/>
  <c r="AD9" i="10"/>
  <c r="AE9" i="10" s="1"/>
  <c r="AD7" i="10"/>
  <c r="AE7" i="10" s="1"/>
  <c r="AD12" i="10"/>
  <c r="AE12" i="10" s="1"/>
  <c r="AD10" i="10"/>
  <c r="AE10" i="10" s="1"/>
  <c r="AD8" i="10"/>
  <c r="AE8" i="10" s="1"/>
  <c r="H41" i="4"/>
  <c r="L64" i="9"/>
  <c r="G64" i="9"/>
  <c r="BE10" i="9"/>
  <c r="L60" i="9"/>
  <c r="V49" i="9"/>
  <c r="AX15" i="9" s="1"/>
  <c r="G60" i="9"/>
  <c r="AG29" i="9"/>
  <c r="E73" i="1"/>
  <c r="AA13" i="10" l="1"/>
  <c r="AB13" i="10"/>
  <c r="AG10" i="10"/>
  <c r="AF10" i="10"/>
  <c r="AG12" i="10"/>
  <c r="AF12" i="10"/>
  <c r="AG7" i="10"/>
  <c r="AF7" i="10"/>
  <c r="AH7" i="10" s="1"/>
  <c r="AG9" i="10"/>
  <c r="AF9" i="10"/>
  <c r="AG11" i="10"/>
  <c r="AF11" i="10"/>
  <c r="AG8" i="10"/>
  <c r="AF8" i="10"/>
  <c r="AO8" i="10" l="1"/>
  <c r="AP8" i="10" s="1"/>
  <c r="AO11" i="10"/>
  <c r="AP11" i="10" s="1"/>
  <c r="AO9" i="10"/>
  <c r="AP9" i="10" s="1"/>
  <c r="AO7" i="10"/>
  <c r="AP7" i="10" s="1"/>
  <c r="AO12" i="10"/>
  <c r="AP12" i="10" s="1"/>
  <c r="AO10" i="10"/>
  <c r="AP10" i="10" s="1"/>
  <c r="F13" i="1"/>
  <c r="O13" i="1"/>
  <c r="K13" i="1"/>
  <c r="F14" i="1"/>
  <c r="D13" i="1"/>
  <c r="F27" i="1" l="1"/>
  <c r="L27" i="1" s="1"/>
  <c r="F20" i="1"/>
  <c r="F26" i="1"/>
  <c r="L26" i="1" s="1"/>
  <c r="AO4" i="9"/>
  <c r="D35" i="1"/>
  <c r="AZ15" i="9" l="1"/>
  <c r="Z49" i="9"/>
  <c r="U15" i="1"/>
  <c r="O15" i="1"/>
  <c r="BC7" i="9" s="1"/>
  <c r="K11" i="1"/>
  <c r="E64" i="9" l="1"/>
  <c r="E60" i="9"/>
  <c r="AS13" i="9" s="1"/>
  <c r="E29" i="9"/>
  <c r="F29" i="9" s="1"/>
  <c r="AO2" i="9"/>
  <c r="BD7" i="9"/>
  <c r="BB15" i="9"/>
  <c r="BA15" i="9"/>
  <c r="I36" i="1"/>
  <c r="D78" i="1"/>
  <c r="F78" i="1" s="1"/>
  <c r="H60" i="9" l="1"/>
  <c r="AT13" i="9" s="1"/>
  <c r="H64" i="9"/>
  <c r="G29" i="9"/>
  <c r="D80" i="4" l="1"/>
  <c r="D33" i="4"/>
  <c r="K33" i="4" s="1"/>
  <c r="D29" i="4"/>
  <c r="K29" i="4" s="1"/>
  <c r="D76" i="4"/>
  <c r="D72" i="4"/>
  <c r="K72" i="4" s="1"/>
  <c r="D25" i="4"/>
  <c r="K25" i="4" s="1"/>
  <c r="D68" i="4"/>
  <c r="K68" i="4" s="1"/>
  <c r="D21" i="4"/>
  <c r="K21" i="4" s="1"/>
  <c r="H56" i="4"/>
  <c r="H58" i="4" s="1"/>
  <c r="F76" i="4" l="1"/>
  <c r="AR13" i="9"/>
  <c r="F25" i="4"/>
  <c r="M25" i="4" s="1"/>
  <c r="AR16" i="9"/>
  <c r="N44" i="9" s="1"/>
  <c r="AY10" i="9" s="1"/>
  <c r="F80" i="4"/>
  <c r="AR14" i="9"/>
  <c r="AU10" i="9"/>
  <c r="F72" i="4"/>
  <c r="AR12" i="9"/>
  <c r="F29" i="4"/>
  <c r="M29" i="4" s="1"/>
  <c r="AR15" i="9"/>
  <c r="F33" i="4"/>
  <c r="F68" i="4"/>
  <c r="AR11" i="9"/>
  <c r="F21" i="4"/>
  <c r="M21" i="4" s="1"/>
  <c r="AU11" i="9"/>
  <c r="H64" i="4"/>
  <c r="H66" i="4" s="1"/>
  <c r="H72" i="4"/>
  <c r="H74" i="4" s="1"/>
  <c r="X8" i="10"/>
  <c r="H80" i="4"/>
  <c r="X10" i="10"/>
  <c r="H90" i="4"/>
  <c r="X12" i="10"/>
  <c r="H52" i="4"/>
  <c r="H60" i="4"/>
  <c r="H62" i="4" s="1"/>
  <c r="H68" i="4"/>
  <c r="H70" i="4" s="1"/>
  <c r="X7" i="10"/>
  <c r="H76" i="4"/>
  <c r="H78" i="4" s="1"/>
  <c r="X9" i="10"/>
  <c r="H86" i="4"/>
  <c r="K86" i="4" s="1"/>
  <c r="X11" i="10"/>
  <c r="H92" i="4" l="1"/>
  <c r="K90" i="4"/>
  <c r="AQ16" i="9" s="1"/>
  <c r="I44" i="9" s="1"/>
  <c r="V44" i="9" s="1"/>
  <c r="AX10" i="9" s="1"/>
  <c r="K76" i="4"/>
  <c r="AQ13" i="9" s="1"/>
  <c r="H82" i="4"/>
  <c r="K80" i="4"/>
  <c r="AQ14" i="9" s="1"/>
  <c r="H88" i="4"/>
  <c r="Y12" i="10"/>
  <c r="M76" i="4"/>
  <c r="M33" i="4"/>
  <c r="Y10" i="10" s="1"/>
  <c r="M72" i="4"/>
  <c r="M80" i="4"/>
  <c r="Y11" i="10"/>
  <c r="Z50" i="9"/>
  <c r="AY16" i="9"/>
  <c r="AZ16" i="9" s="1"/>
  <c r="AY11" i="9"/>
  <c r="AZ11" i="9" s="1"/>
  <c r="M68" i="4"/>
  <c r="H54" i="4"/>
  <c r="Y7" i="10"/>
  <c r="Y9" i="10"/>
  <c r="Y8" i="10"/>
  <c r="Z44" i="9"/>
  <c r="AZ10" i="9"/>
  <c r="AO16" i="9"/>
  <c r="AO14" i="9"/>
  <c r="AO12" i="9"/>
  <c r="AO15" i="9"/>
  <c r="AO13" i="9"/>
  <c r="AQ12" i="9"/>
  <c r="AO11" i="9"/>
  <c r="AQ11" i="9"/>
  <c r="H123" i="3"/>
  <c r="I123" i="3" s="1"/>
  <c r="F123" i="3"/>
  <c r="G123" i="3" s="1"/>
  <c r="H122" i="3"/>
  <c r="I122" i="3" s="1"/>
  <c r="F122" i="3"/>
  <c r="G122" i="3" s="1"/>
  <c r="H121" i="3"/>
  <c r="I121" i="3" s="1"/>
  <c r="F121" i="3"/>
  <c r="G121" i="3" s="1"/>
  <c r="H120" i="3"/>
  <c r="I120" i="3" s="1"/>
  <c r="F120" i="3"/>
  <c r="G120" i="3" s="1"/>
  <c r="H119" i="3"/>
  <c r="I119" i="3" s="1"/>
  <c r="F119" i="3"/>
  <c r="G119" i="3" s="1"/>
  <c r="H118" i="3"/>
  <c r="I118" i="3" s="1"/>
  <c r="F118" i="3"/>
  <c r="G118" i="3" s="1"/>
  <c r="H117" i="3"/>
  <c r="I117" i="3" s="1"/>
  <c r="F117" i="3"/>
  <c r="G117" i="3" s="1"/>
  <c r="H116" i="3"/>
  <c r="I116" i="3" s="1"/>
  <c r="F116" i="3"/>
  <c r="G116" i="3" s="1"/>
  <c r="H115" i="3"/>
  <c r="I115" i="3" s="1"/>
  <c r="F115" i="3"/>
  <c r="G115" i="3" s="1"/>
  <c r="H114" i="3"/>
  <c r="I114" i="3" s="1"/>
  <c r="F114" i="3"/>
  <c r="G114" i="3" s="1"/>
  <c r="H113" i="3"/>
  <c r="I113" i="3" s="1"/>
  <c r="F113" i="3"/>
  <c r="G113" i="3" s="1"/>
  <c r="H112" i="3"/>
  <c r="I112" i="3" s="1"/>
  <c r="F112" i="3"/>
  <c r="G112" i="3" s="1"/>
  <c r="H111" i="3"/>
  <c r="I111" i="3" s="1"/>
  <c r="F111" i="3"/>
  <c r="G111" i="3" s="1"/>
  <c r="H110" i="3"/>
  <c r="I110" i="3" s="1"/>
  <c r="F110" i="3"/>
  <c r="G110" i="3" s="1"/>
  <c r="H109" i="3"/>
  <c r="I109" i="3" s="1"/>
  <c r="F109" i="3"/>
  <c r="G109" i="3" s="1"/>
  <c r="H108" i="3"/>
  <c r="I108" i="3" s="1"/>
  <c r="F108" i="3"/>
  <c r="G108" i="3" s="1"/>
  <c r="H107" i="3"/>
  <c r="I107" i="3" s="1"/>
  <c r="F107" i="3"/>
  <c r="G107" i="3" s="1"/>
  <c r="H106" i="3"/>
  <c r="I106" i="3" s="1"/>
  <c r="F106" i="3"/>
  <c r="G106" i="3" s="1"/>
  <c r="H105" i="3"/>
  <c r="I105" i="3" s="1"/>
  <c r="F105" i="3"/>
  <c r="G105" i="3" s="1"/>
  <c r="H104" i="3"/>
  <c r="I104" i="3" s="1"/>
  <c r="F104" i="3"/>
  <c r="G104" i="3" s="1"/>
  <c r="H103" i="3"/>
  <c r="I103" i="3" s="1"/>
  <c r="F103" i="3"/>
  <c r="G103" i="3" s="1"/>
  <c r="H102" i="3"/>
  <c r="I102" i="3" s="1"/>
  <c r="F102" i="3"/>
  <c r="G102" i="3" s="1"/>
  <c r="H101" i="3"/>
  <c r="I101" i="3" s="1"/>
  <c r="F101" i="3"/>
  <c r="G101" i="3" s="1"/>
  <c r="H100" i="3"/>
  <c r="I100" i="3" s="1"/>
  <c r="F100" i="3"/>
  <c r="G100" i="3" s="1"/>
  <c r="H99" i="3"/>
  <c r="I99" i="3" s="1"/>
  <c r="F99" i="3"/>
  <c r="G99" i="3" s="1"/>
  <c r="H98" i="3"/>
  <c r="I98" i="3" s="1"/>
  <c r="F98" i="3"/>
  <c r="G98" i="3" s="1"/>
  <c r="H97" i="3"/>
  <c r="I97" i="3" s="1"/>
  <c r="F97" i="3"/>
  <c r="G97" i="3" s="1"/>
  <c r="H96" i="3"/>
  <c r="I96" i="3" s="1"/>
  <c r="F96" i="3"/>
  <c r="G96" i="3" s="1"/>
  <c r="H95" i="3"/>
  <c r="I95" i="3" s="1"/>
  <c r="F95" i="3"/>
  <c r="G95" i="3" s="1"/>
  <c r="H94" i="3"/>
  <c r="I94" i="3" s="1"/>
  <c r="F94" i="3"/>
  <c r="G94" i="3" s="1"/>
  <c r="H93" i="3"/>
  <c r="I93" i="3" s="1"/>
  <c r="F93" i="3"/>
  <c r="G93" i="3" s="1"/>
  <c r="H92" i="3"/>
  <c r="I92" i="3" s="1"/>
  <c r="F92" i="3"/>
  <c r="G92" i="3" s="1"/>
  <c r="H91" i="3"/>
  <c r="I91" i="3" s="1"/>
  <c r="F91" i="3"/>
  <c r="G91" i="3" s="1"/>
  <c r="H90" i="3"/>
  <c r="I90" i="3" s="1"/>
  <c r="F90" i="3"/>
  <c r="G90" i="3" s="1"/>
  <c r="H89" i="3"/>
  <c r="I89" i="3" s="1"/>
  <c r="F89" i="3"/>
  <c r="G89" i="3" s="1"/>
  <c r="H88" i="3"/>
  <c r="I88" i="3" s="1"/>
  <c r="F88" i="3"/>
  <c r="G88" i="3" s="1"/>
  <c r="H87" i="3"/>
  <c r="I87" i="3" s="1"/>
  <c r="F87" i="3"/>
  <c r="G87" i="3" s="1"/>
  <c r="H86" i="3"/>
  <c r="I86" i="3" s="1"/>
  <c r="F86" i="3"/>
  <c r="G86" i="3" s="1"/>
  <c r="H85" i="3"/>
  <c r="I85" i="3" s="1"/>
  <c r="F85" i="3"/>
  <c r="G85" i="3" s="1"/>
  <c r="H84" i="3"/>
  <c r="I84" i="3" s="1"/>
  <c r="F84" i="3"/>
  <c r="G84" i="3" s="1"/>
  <c r="H83" i="3"/>
  <c r="I83" i="3" s="1"/>
  <c r="F83" i="3"/>
  <c r="G83" i="3" s="1"/>
  <c r="U26" i="1"/>
  <c r="E15" i="2"/>
  <c r="E12" i="2"/>
  <c r="E9" i="2"/>
  <c r="AQ15" i="9" l="1"/>
  <c r="Z45" i="9"/>
  <c r="V45" i="9"/>
  <c r="AX11" i="9" s="1"/>
  <c r="BA11" i="9" s="1"/>
  <c r="AY13" i="9"/>
  <c r="AZ13" i="9" s="1"/>
  <c r="Z47" i="9"/>
  <c r="AY14" i="9"/>
  <c r="AZ14" i="9" s="1"/>
  <c r="Z48" i="9"/>
  <c r="AY12" i="9"/>
  <c r="AZ12" i="9" s="1"/>
  <c r="Z46" i="9"/>
  <c r="AW11" i="9"/>
  <c r="AV11" i="9"/>
  <c r="BB10" i="9"/>
  <c r="BA10" i="9"/>
  <c r="O28" i="1"/>
  <c r="BE7" i="9" s="1"/>
  <c r="E41" i="2"/>
  <c r="D41" i="2"/>
  <c r="C41" i="2"/>
  <c r="B41" i="2"/>
  <c r="E38" i="2"/>
  <c r="D38" i="2"/>
  <c r="C38" i="2"/>
  <c r="B38" i="2"/>
  <c r="E17" i="5"/>
  <c r="H17" i="5"/>
  <c r="H16" i="5"/>
  <c r="E16" i="5"/>
  <c r="F16" i="5"/>
  <c r="I17" i="5"/>
  <c r="F17" i="5"/>
  <c r="I16" i="5"/>
  <c r="H17" i="6"/>
  <c r="I17" i="6" s="1"/>
  <c r="F17" i="6"/>
  <c r="G17" i="6" s="1"/>
  <c r="H16" i="6"/>
  <c r="I16" i="6" s="1"/>
  <c r="F16" i="6"/>
  <c r="G16" i="6" s="1"/>
  <c r="H15" i="6"/>
  <c r="I15" i="6" s="1"/>
  <c r="F15" i="6"/>
  <c r="G15" i="6" s="1"/>
  <c r="H14" i="6"/>
  <c r="I14" i="6" s="1"/>
  <c r="F14" i="6"/>
  <c r="G14" i="6" s="1"/>
  <c r="H13" i="6"/>
  <c r="I13" i="6" s="1"/>
  <c r="F13" i="6"/>
  <c r="G13" i="6" s="1"/>
  <c r="H53" i="6"/>
  <c r="I53" i="6" s="1"/>
  <c r="F53" i="6"/>
  <c r="G53" i="6" s="1"/>
  <c r="H52" i="6"/>
  <c r="I52" i="6" s="1"/>
  <c r="F52" i="6"/>
  <c r="G52" i="6" s="1"/>
  <c r="H51" i="6"/>
  <c r="I51" i="6" s="1"/>
  <c r="F51" i="6"/>
  <c r="G51" i="6" s="1"/>
  <c r="H50" i="6"/>
  <c r="I50" i="6" s="1"/>
  <c r="F50" i="6"/>
  <c r="G50" i="6" s="1"/>
  <c r="H49" i="6"/>
  <c r="I49" i="6" s="1"/>
  <c r="F49" i="6"/>
  <c r="G49" i="6" s="1"/>
  <c r="H48" i="6"/>
  <c r="I48" i="6" s="1"/>
  <c r="F48" i="6"/>
  <c r="G48" i="6" s="1"/>
  <c r="H47" i="6"/>
  <c r="I47" i="6" s="1"/>
  <c r="F47" i="6"/>
  <c r="G47" i="6" s="1"/>
  <c r="H46" i="6"/>
  <c r="I46" i="6" s="1"/>
  <c r="F46" i="6"/>
  <c r="G46" i="6" s="1"/>
  <c r="H45" i="6"/>
  <c r="I45" i="6" s="1"/>
  <c r="F45" i="6"/>
  <c r="G45" i="6" s="1"/>
  <c r="H44" i="6"/>
  <c r="I44" i="6" s="1"/>
  <c r="F44" i="6"/>
  <c r="G44" i="6" s="1"/>
  <c r="H43" i="6"/>
  <c r="I43" i="6" s="1"/>
  <c r="F43" i="6"/>
  <c r="G43" i="6" s="1"/>
  <c r="H42" i="6"/>
  <c r="I42" i="6" s="1"/>
  <c r="F42" i="6"/>
  <c r="G42" i="6" s="1"/>
  <c r="H41" i="6"/>
  <c r="I41" i="6" s="1"/>
  <c r="F41" i="6"/>
  <c r="G41" i="6" s="1"/>
  <c r="H40" i="6"/>
  <c r="I40" i="6" s="1"/>
  <c r="F40" i="6"/>
  <c r="G40" i="6" s="1"/>
  <c r="H39" i="6"/>
  <c r="I39" i="6" s="1"/>
  <c r="F39" i="6"/>
  <c r="G39" i="6" s="1"/>
  <c r="H38" i="6"/>
  <c r="I38" i="6" s="1"/>
  <c r="F38" i="6"/>
  <c r="G38" i="6" s="1"/>
  <c r="H37" i="6"/>
  <c r="I37" i="6" s="1"/>
  <c r="F37" i="6"/>
  <c r="G37" i="6" s="1"/>
  <c r="H36" i="6"/>
  <c r="I36" i="6" s="1"/>
  <c r="F36" i="6"/>
  <c r="G36" i="6" s="1"/>
  <c r="H35" i="6"/>
  <c r="I35" i="6" s="1"/>
  <c r="F35" i="6"/>
  <c r="G35" i="6" s="1"/>
  <c r="H34" i="6"/>
  <c r="I34" i="6" s="1"/>
  <c r="F34" i="6"/>
  <c r="G34" i="6" s="1"/>
  <c r="H33" i="6"/>
  <c r="I33" i="6" s="1"/>
  <c r="F33" i="6"/>
  <c r="G33" i="6" s="1"/>
  <c r="H32" i="6"/>
  <c r="I32" i="6" s="1"/>
  <c r="F32" i="6"/>
  <c r="G32" i="6" s="1"/>
  <c r="H31" i="6"/>
  <c r="I31" i="6" s="1"/>
  <c r="F31" i="6"/>
  <c r="G31" i="6" s="1"/>
  <c r="H30" i="6"/>
  <c r="I30" i="6" s="1"/>
  <c r="F30" i="6"/>
  <c r="G30" i="6" s="1"/>
  <c r="H29" i="6"/>
  <c r="I29" i="6" s="1"/>
  <c r="F29" i="6"/>
  <c r="G29" i="6" s="1"/>
  <c r="H28" i="6"/>
  <c r="I28" i="6" s="1"/>
  <c r="F28" i="6"/>
  <c r="G28" i="6" s="1"/>
  <c r="H27" i="6"/>
  <c r="I27" i="6" s="1"/>
  <c r="F27" i="6"/>
  <c r="G27" i="6" s="1"/>
  <c r="H26" i="6"/>
  <c r="I26" i="6" s="1"/>
  <c r="F26" i="6"/>
  <c r="G26" i="6" s="1"/>
  <c r="H25" i="6"/>
  <c r="I25" i="6" s="1"/>
  <c r="F25" i="6"/>
  <c r="G25" i="6" s="1"/>
  <c r="H24" i="6"/>
  <c r="I24" i="6" s="1"/>
  <c r="F24" i="6"/>
  <c r="G24" i="6" s="1"/>
  <c r="H23" i="6"/>
  <c r="I23" i="6" s="1"/>
  <c r="F23" i="6"/>
  <c r="G23" i="6" s="1"/>
  <c r="H22" i="6"/>
  <c r="I22" i="6" s="1"/>
  <c r="F22" i="6"/>
  <c r="G22" i="6" s="1"/>
  <c r="H21" i="6"/>
  <c r="I21" i="6" s="1"/>
  <c r="F21" i="6"/>
  <c r="G21" i="6" s="1"/>
  <c r="H20" i="6"/>
  <c r="I20" i="6" s="1"/>
  <c r="F20" i="6"/>
  <c r="G20" i="6" s="1"/>
  <c r="H19" i="6"/>
  <c r="I19" i="6" s="1"/>
  <c r="F19" i="6"/>
  <c r="G19" i="6" s="1"/>
  <c r="H18" i="6"/>
  <c r="I18" i="6" s="1"/>
  <c r="F18" i="6"/>
  <c r="G18" i="6" s="1"/>
  <c r="H12" i="6"/>
  <c r="I12" i="6" s="1"/>
  <c r="F12" i="6"/>
  <c r="G12" i="6" s="1"/>
  <c r="H11" i="6"/>
  <c r="I11" i="6" s="1"/>
  <c r="F11" i="6"/>
  <c r="G11" i="6" s="1"/>
  <c r="H10" i="6"/>
  <c r="I10" i="6" s="1"/>
  <c r="F10" i="6"/>
  <c r="G10" i="6" s="1"/>
  <c r="H9" i="6"/>
  <c r="I9" i="6" s="1"/>
  <c r="F9" i="6"/>
  <c r="G9" i="6" s="1"/>
  <c r="H8" i="6"/>
  <c r="I8" i="6" s="1"/>
  <c r="F8" i="6"/>
  <c r="G8" i="6" s="1"/>
  <c r="H7" i="6"/>
  <c r="I7" i="6" s="1"/>
  <c r="F7" i="6"/>
  <c r="G7" i="6" s="1"/>
  <c r="H6" i="6"/>
  <c r="I6" i="6" s="1"/>
  <c r="F6" i="6"/>
  <c r="G6" i="6" s="1"/>
  <c r="H5" i="6"/>
  <c r="I5" i="6" s="1"/>
  <c r="F5" i="6"/>
  <c r="G5" i="6" s="1"/>
  <c r="H48" i="3"/>
  <c r="I48" i="3" s="1"/>
  <c r="F48" i="3"/>
  <c r="G48" i="3" s="1"/>
  <c r="H47" i="3"/>
  <c r="I47" i="3" s="1"/>
  <c r="F47" i="3"/>
  <c r="G47" i="3" s="1"/>
  <c r="A21" i="5"/>
  <c r="A19" i="5"/>
  <c r="A18" i="5"/>
  <c r="A20" i="5"/>
  <c r="M64" i="9" l="1"/>
  <c r="M60" i="9"/>
  <c r="P25" i="4"/>
  <c r="N90" i="4"/>
  <c r="BB11" i="9"/>
  <c r="V48" i="9"/>
  <c r="AX14" i="9" s="1"/>
  <c r="V47" i="9"/>
  <c r="AX13" i="9" s="1"/>
  <c r="V46" i="9"/>
  <c r="AX12" i="9" s="1"/>
  <c r="J29" i="9"/>
  <c r="AS7" i="9"/>
  <c r="A78" i="1"/>
  <c r="I78" i="1" s="1"/>
  <c r="M36" i="1"/>
  <c r="A79" i="1"/>
  <c r="F36" i="1"/>
  <c r="U28" i="1"/>
  <c r="P33" i="4"/>
  <c r="N64" i="4"/>
  <c r="B17" i="5"/>
  <c r="D17" i="5"/>
  <c r="C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A7" i="5"/>
  <c r="A6" i="5"/>
  <c r="A5" i="5"/>
  <c r="A4" i="5"/>
  <c r="A3" i="5"/>
  <c r="K6" i="2"/>
  <c r="J6" i="2"/>
  <c r="G5" i="5"/>
  <c r="N29" i="4" l="1"/>
  <c r="N43" i="4"/>
  <c r="N25" i="4"/>
  <c r="P39" i="4"/>
  <c r="N9" i="4"/>
  <c r="N13" i="4"/>
  <c r="P21" i="4"/>
  <c r="N17" i="4"/>
  <c r="N33" i="4"/>
  <c r="N21" i="4"/>
  <c r="N39" i="4"/>
  <c r="P13" i="4"/>
  <c r="P29" i="4"/>
  <c r="P43" i="4"/>
  <c r="P17" i="4"/>
  <c r="P86" i="4"/>
  <c r="P9" i="4"/>
  <c r="P90" i="4"/>
  <c r="P72" i="4"/>
  <c r="N76" i="4"/>
  <c r="N60" i="4"/>
  <c r="P68" i="4"/>
  <c r="P56" i="4"/>
  <c r="N72" i="4"/>
  <c r="N80" i="4"/>
  <c r="N86" i="4"/>
  <c r="P60" i="4"/>
  <c r="P76" i="4"/>
  <c r="P64" i="4"/>
  <c r="P80" i="4"/>
  <c r="N56" i="4"/>
  <c r="N68" i="4"/>
  <c r="AS14" i="9"/>
  <c r="M29" i="9"/>
  <c r="BA13" i="9"/>
  <c r="BB13" i="9"/>
  <c r="BB14" i="9"/>
  <c r="BA14" i="9"/>
  <c r="BB12" i="9"/>
  <c r="BA12" i="9"/>
  <c r="AO3" i="9"/>
  <c r="AT7" i="9" s="1"/>
  <c r="BF7" i="9"/>
  <c r="N29" i="9" s="1"/>
  <c r="M78" i="1"/>
  <c r="AU13" i="9"/>
  <c r="AW13" i="9" s="1"/>
  <c r="AS8" i="9"/>
  <c r="Q36" i="1"/>
  <c r="D79" i="1"/>
  <c r="F79" i="1" s="1"/>
  <c r="I79" i="1" s="1"/>
  <c r="J6" i="5"/>
  <c r="I6" i="5"/>
  <c r="G6" i="2"/>
  <c r="L6" i="2"/>
  <c r="M6" i="2"/>
  <c r="Q60" i="9" l="1"/>
  <c r="AT14" i="9" s="1"/>
  <c r="AU14" i="9" s="1"/>
  <c r="AW14" i="9" s="1"/>
  <c r="Q64" i="9"/>
  <c r="AT8" i="9"/>
  <c r="AU8" i="9" s="1"/>
  <c r="AU7" i="9"/>
  <c r="AV13" i="9"/>
  <c r="M79" i="1"/>
  <c r="D81" i="1" s="1"/>
  <c r="F5" i="5"/>
  <c r="J4" i="5"/>
  <c r="I4" i="5"/>
  <c r="AV14" i="9" l="1"/>
  <c r="AW7" i="9"/>
  <c r="AV7" i="9"/>
  <c r="AV8" i="9"/>
  <c r="AW8" i="9"/>
  <c r="A81" i="1"/>
  <c r="F3" i="2"/>
  <c r="F6" i="2"/>
  <c r="G3" i="2"/>
  <c r="E35" i="2"/>
  <c r="D35" i="2"/>
  <c r="C35" i="2"/>
  <c r="B35" i="2"/>
  <c r="E32" i="2"/>
  <c r="D32" i="2"/>
  <c r="C32" i="2"/>
  <c r="B32" i="2"/>
  <c r="E29" i="2"/>
  <c r="D29" i="2"/>
  <c r="C29" i="2"/>
  <c r="B29" i="2"/>
  <c r="W35" i="1" l="1"/>
  <c r="W40" i="1" s="1"/>
  <c r="H3" i="2"/>
  <c r="I3" i="2"/>
  <c r="H6" i="2"/>
  <c r="I6" i="2"/>
  <c r="E26" i="2"/>
  <c r="D26" i="2"/>
  <c r="C26" i="2"/>
  <c r="B26" i="2"/>
  <c r="L40" i="1" l="1"/>
  <c r="E18" i="2"/>
  <c r="D18" i="2"/>
  <c r="D15" i="2"/>
  <c r="D12" i="2"/>
  <c r="D9" i="2"/>
  <c r="C18" i="2"/>
  <c r="C15" i="2"/>
  <c r="C12" i="2"/>
  <c r="C9" i="2"/>
  <c r="B12" i="2"/>
  <c r="B9" i="2"/>
  <c r="B18" i="2"/>
  <c r="B15" i="2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H52" i="3"/>
  <c r="I52" i="3" s="1"/>
  <c r="H51" i="3"/>
  <c r="I51" i="3" s="1"/>
  <c r="H50" i="3"/>
  <c r="I50" i="3" s="1"/>
  <c r="H49" i="3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F52" i="3"/>
  <c r="G52" i="3" s="1"/>
  <c r="F51" i="3"/>
  <c r="G51" i="3" s="1"/>
  <c r="F50" i="3"/>
  <c r="G50" i="3" s="1"/>
  <c r="F49" i="3"/>
  <c r="I49" i="3" l="1"/>
  <c r="H11" i="5"/>
  <c r="I53" i="3"/>
  <c r="H13" i="5"/>
  <c r="H12" i="5"/>
  <c r="I12" i="5"/>
  <c r="I13" i="5"/>
  <c r="J13" i="5"/>
  <c r="G53" i="3"/>
  <c r="E11" i="5"/>
  <c r="G49" i="3"/>
  <c r="E12" i="5"/>
  <c r="E13" i="5"/>
  <c r="F12" i="5"/>
  <c r="F13" i="5"/>
  <c r="I7" i="5"/>
  <c r="F7" i="5"/>
  <c r="B6" i="2"/>
  <c r="T21" i="2"/>
  <c r="U21" i="2"/>
  <c r="V21" i="2"/>
  <c r="N21" i="2"/>
  <c r="P21" i="2"/>
  <c r="D6" i="2"/>
  <c r="J12" i="5" l="1"/>
  <c r="G13" i="5"/>
  <c r="G12" i="5"/>
  <c r="G7" i="5"/>
  <c r="J7" i="5"/>
  <c r="C6" i="2"/>
  <c r="E6" i="2" s="1"/>
  <c r="I21" i="2" s="1"/>
  <c r="T23" i="2"/>
  <c r="F21" i="5" s="1"/>
  <c r="W21" i="2"/>
  <c r="V23" i="2" s="1"/>
  <c r="H21" i="2"/>
  <c r="D21" i="2"/>
  <c r="J21" i="2"/>
  <c r="Q21" i="2"/>
  <c r="P23" i="2" s="1"/>
  <c r="O21" i="2"/>
  <c r="N23" i="2" s="1"/>
  <c r="G3" i="5"/>
  <c r="F3" i="5"/>
  <c r="H46" i="3"/>
  <c r="F46" i="3"/>
  <c r="H45" i="3"/>
  <c r="I45" i="3" s="1"/>
  <c r="F45" i="3"/>
  <c r="G45" i="3" s="1"/>
  <c r="H44" i="3"/>
  <c r="I44" i="3" s="1"/>
  <c r="F44" i="3"/>
  <c r="G44" i="3" s="1"/>
  <c r="H43" i="3"/>
  <c r="I43" i="3" s="1"/>
  <c r="F43" i="3"/>
  <c r="G43" i="3" s="1"/>
  <c r="H42" i="3"/>
  <c r="F42" i="3"/>
  <c r="H41" i="3"/>
  <c r="I41" i="3" s="1"/>
  <c r="F41" i="3"/>
  <c r="G41" i="3" s="1"/>
  <c r="H40" i="3"/>
  <c r="I40" i="3" s="1"/>
  <c r="F40" i="3"/>
  <c r="G40" i="3" s="1"/>
  <c r="H39" i="3"/>
  <c r="I39" i="3" s="1"/>
  <c r="F39" i="3"/>
  <c r="G39" i="3" s="1"/>
  <c r="H38" i="3"/>
  <c r="I38" i="3" s="1"/>
  <c r="F38" i="3"/>
  <c r="G38" i="3" s="1"/>
  <c r="H37" i="3"/>
  <c r="I37" i="3" s="1"/>
  <c r="F37" i="3"/>
  <c r="G37" i="3" s="1"/>
  <c r="H36" i="3"/>
  <c r="I36" i="3" s="1"/>
  <c r="F36" i="3"/>
  <c r="G36" i="3" s="1"/>
  <c r="H35" i="3"/>
  <c r="I35" i="3" s="1"/>
  <c r="F35" i="3"/>
  <c r="G35" i="3" s="1"/>
  <c r="H34" i="3"/>
  <c r="I34" i="3" s="1"/>
  <c r="F34" i="3"/>
  <c r="G34" i="3" s="1"/>
  <c r="H33" i="3"/>
  <c r="I33" i="3" s="1"/>
  <c r="F33" i="3"/>
  <c r="G33" i="3" s="1"/>
  <c r="H32" i="3"/>
  <c r="I32" i="3" s="1"/>
  <c r="F32" i="3"/>
  <c r="G32" i="3" s="1"/>
  <c r="H31" i="3"/>
  <c r="J14" i="7" s="1"/>
  <c r="D60" i="4" s="1"/>
  <c r="K60" i="4" s="1"/>
  <c r="AQ9" i="9" s="1"/>
  <c r="V50" i="9" s="1"/>
  <c r="AX16" i="9" s="1"/>
  <c r="F31" i="3"/>
  <c r="J10" i="7" s="1"/>
  <c r="D13" i="4" s="1"/>
  <c r="K13" i="4" s="1"/>
  <c r="H30" i="3"/>
  <c r="I30" i="3" s="1"/>
  <c r="F30" i="3"/>
  <c r="G30" i="3" s="1"/>
  <c r="H29" i="3"/>
  <c r="I29" i="3" s="1"/>
  <c r="F29" i="3"/>
  <c r="G29" i="3" s="1"/>
  <c r="H28" i="3"/>
  <c r="I28" i="3" s="1"/>
  <c r="F28" i="3"/>
  <c r="G28" i="3" s="1"/>
  <c r="H27" i="3"/>
  <c r="I27" i="3" s="1"/>
  <c r="F27" i="3"/>
  <c r="G27" i="3" s="1"/>
  <c r="H26" i="3"/>
  <c r="I26" i="3" s="1"/>
  <c r="F26" i="3"/>
  <c r="G26" i="3" s="1"/>
  <c r="H25" i="3"/>
  <c r="I25" i="3" s="1"/>
  <c r="F25" i="3"/>
  <c r="G25" i="3" s="1"/>
  <c r="H24" i="3"/>
  <c r="I24" i="3" s="1"/>
  <c r="F24" i="3"/>
  <c r="G24" i="3" s="1"/>
  <c r="H23" i="3"/>
  <c r="I23" i="3" s="1"/>
  <c r="F23" i="3"/>
  <c r="G23" i="3" s="1"/>
  <c r="H22" i="3"/>
  <c r="F22" i="3"/>
  <c r="H21" i="3"/>
  <c r="I21" i="3" s="1"/>
  <c r="F21" i="3"/>
  <c r="G21" i="3" s="1"/>
  <c r="H20" i="3"/>
  <c r="F20" i="3"/>
  <c r="H19" i="3"/>
  <c r="I19" i="3" s="1"/>
  <c r="F19" i="3"/>
  <c r="G19" i="3" s="1"/>
  <c r="H18" i="3"/>
  <c r="F18" i="3"/>
  <c r="H17" i="3"/>
  <c r="I17" i="3" s="1"/>
  <c r="F17" i="3"/>
  <c r="G17" i="3" s="1"/>
  <c r="H16" i="3"/>
  <c r="I16" i="3" s="1"/>
  <c r="F16" i="3"/>
  <c r="G16" i="3" s="1"/>
  <c r="H15" i="3"/>
  <c r="I15" i="3" s="1"/>
  <c r="F15" i="3"/>
  <c r="G15" i="3" s="1"/>
  <c r="H14" i="3"/>
  <c r="I14" i="3" s="1"/>
  <c r="F14" i="3"/>
  <c r="G14" i="3" s="1"/>
  <c r="H13" i="3"/>
  <c r="I13" i="3" s="1"/>
  <c r="F13" i="3"/>
  <c r="G13" i="3" s="1"/>
  <c r="H12" i="3"/>
  <c r="I12" i="3" s="1"/>
  <c r="F12" i="3"/>
  <c r="G12" i="3" s="1"/>
  <c r="H11" i="3"/>
  <c r="I11" i="3" s="1"/>
  <c r="F11" i="3"/>
  <c r="G11" i="3" s="1"/>
  <c r="H10" i="3"/>
  <c r="I10" i="3" s="1"/>
  <c r="F10" i="3"/>
  <c r="G10" i="3" s="1"/>
  <c r="H9" i="3"/>
  <c r="I9" i="3" s="1"/>
  <c r="F9" i="3"/>
  <c r="G9" i="3" s="1"/>
  <c r="H8" i="3"/>
  <c r="I8" i="3" s="1"/>
  <c r="F8" i="3"/>
  <c r="G8" i="3" s="1"/>
  <c r="H7" i="3"/>
  <c r="I7" i="3" s="1"/>
  <c r="F7" i="3"/>
  <c r="G7" i="3" s="1"/>
  <c r="H6" i="3"/>
  <c r="I6" i="3" s="1"/>
  <c r="F6" i="3"/>
  <c r="G6" i="3" s="1"/>
  <c r="H5" i="3"/>
  <c r="N14" i="7" s="1"/>
  <c r="F5" i="3"/>
  <c r="N10" i="7" s="1"/>
  <c r="D17" i="4" l="1"/>
  <c r="K17" i="4" s="1"/>
  <c r="F11" i="5"/>
  <c r="D64" i="4"/>
  <c r="K64" i="4" s="1"/>
  <c r="AQ10" i="9" s="1"/>
  <c r="I11" i="5"/>
  <c r="X5" i="10"/>
  <c r="AO9" i="9"/>
  <c r="I18" i="3"/>
  <c r="F15" i="7" s="1"/>
  <c r="F14" i="7"/>
  <c r="D56" i="4" s="1"/>
  <c r="K56" i="4" s="1"/>
  <c r="AQ8" i="9" s="1"/>
  <c r="I20" i="3"/>
  <c r="B15" i="7" s="1"/>
  <c r="B14" i="7"/>
  <c r="D52" i="4" s="1"/>
  <c r="K52" i="4" s="1"/>
  <c r="G18" i="3"/>
  <c r="F11" i="7" s="1"/>
  <c r="F10" i="7"/>
  <c r="D9" i="4" s="1"/>
  <c r="K9" i="4" s="1"/>
  <c r="G20" i="3"/>
  <c r="B11" i="7" s="1"/>
  <c r="B10" i="7"/>
  <c r="D5" i="4" s="1"/>
  <c r="K5" i="4" s="1"/>
  <c r="I42" i="3"/>
  <c r="J14" i="5" s="1"/>
  <c r="I14" i="5"/>
  <c r="H14" i="5"/>
  <c r="I46" i="3"/>
  <c r="I15" i="5"/>
  <c r="I9" i="5"/>
  <c r="H15" i="5"/>
  <c r="G42" i="3"/>
  <c r="G14" i="5" s="1"/>
  <c r="F14" i="5"/>
  <c r="E14" i="5"/>
  <c r="G46" i="3"/>
  <c r="F15" i="5"/>
  <c r="E15" i="5"/>
  <c r="G31" i="3"/>
  <c r="J11" i="7" s="1"/>
  <c r="E9" i="5"/>
  <c r="I31" i="3"/>
  <c r="J15" i="7" s="1"/>
  <c r="H9" i="5"/>
  <c r="I22" i="3"/>
  <c r="H8" i="5"/>
  <c r="G22" i="3"/>
  <c r="E8" i="5"/>
  <c r="I5" i="3"/>
  <c r="N15" i="7" s="1"/>
  <c r="H10" i="5"/>
  <c r="I10" i="5"/>
  <c r="G5" i="3"/>
  <c r="N11" i="7" s="1"/>
  <c r="E10" i="5"/>
  <c r="F10" i="5"/>
  <c r="H23" i="2"/>
  <c r="F19" i="5" s="1"/>
  <c r="K21" i="2"/>
  <c r="J23" i="2" s="1"/>
  <c r="K23" i="2" s="1"/>
  <c r="J19" i="5" s="1"/>
  <c r="E21" i="2"/>
  <c r="C3" i="2"/>
  <c r="B3" i="2"/>
  <c r="I21" i="5"/>
  <c r="W23" i="2"/>
  <c r="J21" i="5" s="1"/>
  <c r="U23" i="2"/>
  <c r="G21" i="5" s="1"/>
  <c r="I20" i="5"/>
  <c r="Q23" i="2"/>
  <c r="J20" i="5" s="1"/>
  <c r="F20" i="5"/>
  <c r="O23" i="2"/>
  <c r="G20" i="5" s="1"/>
  <c r="AR9" i="9" l="1"/>
  <c r="F60" i="4"/>
  <c r="M60" i="4" s="1"/>
  <c r="AP9" i="9"/>
  <c r="F13" i="4"/>
  <c r="M13" i="4" s="1"/>
  <c r="Y5" i="10" s="1"/>
  <c r="F64" i="4"/>
  <c r="M64" i="4" s="1"/>
  <c r="AR10" i="9"/>
  <c r="J11" i="5"/>
  <c r="AP10" i="9"/>
  <c r="F17" i="4"/>
  <c r="M17" i="4" s="1"/>
  <c r="Y6" i="10" s="1"/>
  <c r="P24" i="10" s="1"/>
  <c r="G11" i="5"/>
  <c r="X6" i="10"/>
  <c r="N24" i="10" s="1"/>
  <c r="AO10" i="9"/>
  <c r="I43" i="9"/>
  <c r="V43" i="9" s="1"/>
  <c r="AX9" i="9" s="1"/>
  <c r="I42" i="9"/>
  <c r="V42" i="9" s="1"/>
  <c r="AX8" i="9" s="1"/>
  <c r="I8" i="5"/>
  <c r="F8" i="5"/>
  <c r="F9" i="5"/>
  <c r="X3" i="10"/>
  <c r="AO7" i="9"/>
  <c r="P29" i="9" s="1"/>
  <c r="N5" i="4"/>
  <c r="X4" i="10"/>
  <c r="AO8" i="9"/>
  <c r="V29" i="9" s="1"/>
  <c r="AQ7" i="9"/>
  <c r="I41" i="9" s="1"/>
  <c r="V41" i="9" s="1"/>
  <c r="AX7" i="9" s="1"/>
  <c r="N52" i="4"/>
  <c r="AP7" i="9"/>
  <c r="T29" i="9" s="1"/>
  <c r="AT9" i="9" s="1"/>
  <c r="AU9" i="9" s="1"/>
  <c r="F5" i="4"/>
  <c r="M5" i="4" s="1"/>
  <c r="AP8" i="9"/>
  <c r="F9" i="4"/>
  <c r="M9" i="4" s="1"/>
  <c r="Y4" i="10" s="1"/>
  <c r="AR7" i="9"/>
  <c r="N41" i="9" s="1"/>
  <c r="F52" i="4"/>
  <c r="M52" i="4" s="1"/>
  <c r="P52" i="4" s="1"/>
  <c r="AR8" i="9"/>
  <c r="F56" i="4"/>
  <c r="M56" i="4" s="1"/>
  <c r="G15" i="5"/>
  <c r="G9" i="5"/>
  <c r="J15" i="5"/>
  <c r="J9" i="5"/>
  <c r="I23" i="2"/>
  <c r="G19" i="5" s="1"/>
  <c r="E3" i="2"/>
  <c r="C21" i="2" s="1"/>
  <c r="D3" i="2"/>
  <c r="B21" i="2" s="1"/>
  <c r="G16" i="5"/>
  <c r="J16" i="5"/>
  <c r="J8" i="5"/>
  <c r="H11" i="2"/>
  <c r="G8" i="5"/>
  <c r="H10" i="2"/>
  <c r="J17" i="5"/>
  <c r="J10" i="5"/>
  <c r="G17" i="5"/>
  <c r="G10" i="5"/>
  <c r="I19" i="5"/>
  <c r="T24" i="10" l="1"/>
  <c r="AD6" i="10"/>
  <c r="AE6" i="10" s="1"/>
  <c r="R24" i="10"/>
  <c r="AC6" i="10"/>
  <c r="N43" i="9"/>
  <c r="Z43" i="9" s="1"/>
  <c r="N42" i="9"/>
  <c r="AS9" i="9"/>
  <c r="S29" i="9"/>
  <c r="P23" i="10"/>
  <c r="P22" i="10"/>
  <c r="N23" i="10"/>
  <c r="N22" i="10"/>
  <c r="AY7" i="9"/>
  <c r="AZ7" i="9" s="1"/>
  <c r="BA7" i="9" s="1"/>
  <c r="Z41" i="9"/>
  <c r="P39" i="10"/>
  <c r="X16" i="10" s="1"/>
  <c r="N35" i="10"/>
  <c r="P35" i="10"/>
  <c r="R39" i="10"/>
  <c r="Y16" i="10" s="1"/>
  <c r="Z16" i="10" s="1"/>
  <c r="P5" i="4"/>
  <c r="Y3" i="10"/>
  <c r="Y29" i="9"/>
  <c r="AS10" i="9"/>
  <c r="L39" i="10"/>
  <c r="X15" i="10" s="1"/>
  <c r="N21" i="10"/>
  <c r="B23" i="2"/>
  <c r="C23" i="2" s="1"/>
  <c r="G18" i="5" s="1"/>
  <c r="D23" i="2"/>
  <c r="AG6" i="10" l="1"/>
  <c r="AF6" i="10"/>
  <c r="AY9" i="9"/>
  <c r="AZ9" i="9" s="1"/>
  <c r="AY8" i="9"/>
  <c r="AZ8" i="9" s="1"/>
  <c r="Z42" i="9"/>
  <c r="AW9" i="9"/>
  <c r="AV9" i="9"/>
  <c r="T23" i="10"/>
  <c r="AD5" i="10"/>
  <c r="AE5" i="10" s="1"/>
  <c r="R22" i="10"/>
  <c r="AC4" i="10"/>
  <c r="R23" i="10"/>
  <c r="AC5" i="10"/>
  <c r="T22" i="10"/>
  <c r="AD4" i="10"/>
  <c r="AE4" i="10" s="1"/>
  <c r="BB7" i="9"/>
  <c r="R21" i="10"/>
  <c r="AC3" i="10"/>
  <c r="AW10" i="9"/>
  <c r="AV10" i="9"/>
  <c r="N39" i="10"/>
  <c r="Y15" i="10" s="1"/>
  <c r="Z15" i="10" s="1"/>
  <c r="P21" i="10"/>
  <c r="AB16" i="10"/>
  <c r="AA16" i="10"/>
  <c r="R35" i="10"/>
  <c r="AC13" i="10"/>
  <c r="T35" i="10"/>
  <c r="AD13" i="10"/>
  <c r="AE13" i="10" s="1"/>
  <c r="BB9" i="9"/>
  <c r="BA9" i="9"/>
  <c r="F18" i="5"/>
  <c r="E23" i="2"/>
  <c r="J18" i="5" s="1"/>
  <c r="I18" i="5"/>
  <c r="BA16" i="9"/>
  <c r="AH6" i="10" l="1"/>
  <c r="AO6" i="10"/>
  <c r="AP6" i="10" s="1"/>
  <c r="BA8" i="9"/>
  <c r="BB8" i="9"/>
  <c r="AS12" i="9"/>
  <c r="C32" i="9" s="1"/>
  <c r="AF4" i="10"/>
  <c r="AG4" i="10"/>
  <c r="AF5" i="10"/>
  <c r="AG5" i="10"/>
  <c r="T21" i="10"/>
  <c r="AD3" i="10"/>
  <c r="AE3" i="10" s="1"/>
  <c r="AG13" i="10"/>
  <c r="AF13" i="10"/>
  <c r="AB15" i="10"/>
  <c r="AA15" i="10"/>
  <c r="AT12" i="9"/>
  <c r="BB16" i="9"/>
  <c r="V51" i="9" s="1"/>
  <c r="AO4" i="10" l="1"/>
  <c r="AP4" i="10" s="1"/>
  <c r="AH5" i="10"/>
  <c r="AO5" i="10"/>
  <c r="AP5" i="10" s="1"/>
  <c r="AH4" i="10"/>
  <c r="AH13" i="10"/>
  <c r="AC15" i="10"/>
  <c r="AC16" i="10" s="1"/>
  <c r="AG16" i="10" s="1"/>
  <c r="AD15" i="10"/>
  <c r="AG3" i="10"/>
  <c r="AF3" i="10"/>
  <c r="U60" i="9"/>
  <c r="U64" i="9"/>
  <c r="X64" i="9" s="1"/>
  <c r="Z51" i="9"/>
  <c r="AF16" i="10" l="1"/>
  <c r="AI16" i="10" s="1"/>
  <c r="AI13" i="10"/>
  <c r="AO3" i="10"/>
  <c r="AI12" i="10"/>
  <c r="R31" i="10" s="1"/>
  <c r="R32" i="10" s="1"/>
  <c r="AH3" i="10"/>
  <c r="T60" i="9"/>
  <c r="X60" i="9"/>
  <c r="T64" i="9"/>
  <c r="Y64" i="9"/>
  <c r="Y60" i="9"/>
  <c r="AT15" i="9" s="1"/>
  <c r="AU15" i="9" s="1"/>
  <c r="AS15" i="9"/>
  <c r="AH16" i="10" l="1"/>
  <c r="AW15" i="9"/>
  <c r="AV15" i="9"/>
  <c r="AT16" i="9" l="1"/>
  <c r="AS16" i="9"/>
  <c r="AG63" i="9" l="1"/>
  <c r="AG5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AN11" authorId="0" shapeId="0" xr:uid="{00000000-0006-0000-0100-000001000000}">
      <text>
        <r>
          <rPr>
            <b/>
            <sz val="9"/>
            <color indexed="81"/>
            <rFont val="Tahoma"/>
          </rPr>
          <t>Forfatter:</t>
        </r>
        <r>
          <rPr>
            <sz val="9"/>
            <color indexed="81"/>
            <rFont val="Tahoma"/>
          </rPr>
          <t xml:space="preserve">
400^2/(60*10^6&lt;-cos-1(0,45))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Z2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Hvis nullederen fører strøm uden tilsvarende reduktion af strømmen i faselederne, skal der tages hensyn til nullederen, når strømkredsens strømværdi skal fastlægges. Sådanne strømme kan skyldes forekomsten af højere harmoniske strømme i trefasede strømkredse. Hvis indholdet af harmoniske er større end 10%, må nullederen ikke være mindre end faselederne. De termiske virkninger pga. harmoniske strømme og den tilhørende korrektionsfaktor for højere harmoniske strømme er angivet 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W1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Hvis nullederen fører strøm uden tilsvarende reduktion af strømmen i faselederne, skal der tages hensyn til nullederen, når strømkredsens strømværdi skal fastlægges. Sådanne strømme kan skyldes forekomsten af højere harmoniske strømme i trefasede strømkredse. Hvis indholdet af harmoniske er større end 10%, må nullederen ikke være mindre end faselederne. De termiske virkninger pga. harmoniske strømme og den tilhørende korrektionsfaktor for højere harmoniske strømme er angivet i</t>
        </r>
      </text>
    </comment>
  </commentList>
</comments>
</file>

<file path=xl/sharedStrings.xml><?xml version="1.0" encoding="utf-8"?>
<sst xmlns="http://schemas.openxmlformats.org/spreadsheetml/2006/main" count="1658" uniqueCount="460">
  <si>
    <t>Kabel værdi 20 grader</t>
  </si>
  <si>
    <t>Kabel værdi 70 grader</t>
  </si>
  <si>
    <t>Leder</t>
  </si>
  <si>
    <t>R</t>
  </si>
  <si>
    <t>X</t>
  </si>
  <si>
    <t>Z 20</t>
  </si>
  <si>
    <t>Cos fi 20</t>
  </si>
  <si>
    <t>Z 70</t>
  </si>
  <si>
    <t>Cos fi 70</t>
  </si>
  <si>
    <t>CU</t>
  </si>
  <si>
    <t>3-leder</t>
  </si>
  <si>
    <t>CU 3x1,5</t>
  </si>
  <si>
    <t>CU 3x2,5</t>
  </si>
  <si>
    <t>CU 3x4</t>
  </si>
  <si>
    <t>CU 3x6</t>
  </si>
  <si>
    <t>CU 3x10</t>
  </si>
  <si>
    <t>CU 3x16</t>
  </si>
  <si>
    <t>CU 3x25</t>
  </si>
  <si>
    <t>CU 3x35</t>
  </si>
  <si>
    <t>4-leder</t>
  </si>
  <si>
    <t>CU 4x1,5</t>
  </si>
  <si>
    <t>CU 4x2,5</t>
  </si>
  <si>
    <t>CU 4x4</t>
  </si>
  <si>
    <t>CU 4x6</t>
  </si>
  <si>
    <t>CU 4x10</t>
  </si>
  <si>
    <t>CU 4x16</t>
  </si>
  <si>
    <t>CU 4x25</t>
  </si>
  <si>
    <t>CU 4x35</t>
  </si>
  <si>
    <t>CU 4x50</t>
  </si>
  <si>
    <t>CU 4x70</t>
  </si>
  <si>
    <t>CU 4x95</t>
  </si>
  <si>
    <t>CU 4x120</t>
  </si>
  <si>
    <t>CU 4x150</t>
  </si>
  <si>
    <t>CU 4x185</t>
  </si>
  <si>
    <t>CU 4x240</t>
  </si>
  <si>
    <t>5-leder</t>
  </si>
  <si>
    <t>CU 5x1,5</t>
  </si>
  <si>
    <t>CU 5x2,5</t>
  </si>
  <si>
    <t>CU 5x4</t>
  </si>
  <si>
    <t>CU 5x6</t>
  </si>
  <si>
    <t>CU 5x10</t>
  </si>
  <si>
    <t>CU 5x16</t>
  </si>
  <si>
    <t>CU 5x25</t>
  </si>
  <si>
    <t>AL</t>
  </si>
  <si>
    <t>Værdierne i denne tabel er opgivet for følgende kabel typer</t>
  </si>
  <si>
    <t>Type</t>
  </si>
  <si>
    <t>Oversigt</t>
  </si>
  <si>
    <t>Transformer</t>
  </si>
  <si>
    <t>R/X</t>
  </si>
  <si>
    <t>Znet</t>
  </si>
  <si>
    <t>Cos</t>
  </si>
  <si>
    <t>Kabel 4</t>
  </si>
  <si>
    <t>Zt</t>
  </si>
  <si>
    <t>Kabel1</t>
  </si>
  <si>
    <t>Kabel2</t>
  </si>
  <si>
    <t>Kabel3</t>
  </si>
  <si>
    <t>Kabel4</t>
  </si>
  <si>
    <t>R20</t>
  </si>
  <si>
    <t>R70</t>
  </si>
  <si>
    <t>Rt</t>
  </si>
  <si>
    <t>Xt</t>
  </si>
  <si>
    <t>Samlt</t>
  </si>
  <si>
    <t>Z20</t>
  </si>
  <si>
    <t>Z70</t>
  </si>
  <si>
    <t>Værdier er taget fra 4 ledet kabel.</t>
  </si>
  <si>
    <t>Kabel 5</t>
  </si>
  <si>
    <t>Kabel5</t>
  </si>
  <si>
    <t>Kabel 6</t>
  </si>
  <si>
    <t>Kabel 7</t>
  </si>
  <si>
    <t>Kabel 8</t>
  </si>
  <si>
    <t>Modstande kun kabler</t>
  </si>
  <si>
    <t>Modstande kabler og trafo</t>
  </si>
  <si>
    <t>modstande kabler- trafo- net</t>
  </si>
  <si>
    <t>meter</t>
  </si>
  <si>
    <t>n</t>
  </si>
  <si>
    <t>kabet</t>
  </si>
  <si>
    <t>betegnelse</t>
  </si>
  <si>
    <t>20- pr.km</t>
  </si>
  <si>
    <t>z 20</t>
  </si>
  <si>
    <t>fi 20</t>
  </si>
  <si>
    <t>70- pr.km</t>
  </si>
  <si>
    <t>z 70</t>
  </si>
  <si>
    <t>fi 70</t>
  </si>
  <si>
    <r>
      <t xml:space="preserve">Znet </t>
    </r>
    <r>
      <rPr>
        <sz val="9"/>
        <color theme="1"/>
        <rFont val="Calibri"/>
        <family val="2"/>
        <scheme val="minor"/>
      </rPr>
      <t>min</t>
    </r>
  </si>
  <si>
    <r>
      <t>Cos</t>
    </r>
    <r>
      <rPr>
        <sz val="9"/>
        <color theme="1"/>
        <rFont val="Calibri"/>
        <family val="2"/>
        <scheme val="minor"/>
      </rPr>
      <t xml:space="preserve"> min</t>
    </r>
  </si>
  <si>
    <r>
      <t xml:space="preserve">Rnet </t>
    </r>
    <r>
      <rPr>
        <sz val="9"/>
        <color theme="1"/>
        <rFont val="Calibri"/>
        <family val="2"/>
        <scheme val="minor"/>
      </rPr>
      <t>min</t>
    </r>
  </si>
  <si>
    <r>
      <t xml:space="preserve">Xnet </t>
    </r>
    <r>
      <rPr>
        <sz val="9"/>
        <color theme="1"/>
        <rFont val="Calibri"/>
        <family val="2"/>
        <scheme val="minor"/>
      </rPr>
      <t>min</t>
    </r>
  </si>
  <si>
    <r>
      <t xml:space="preserve">Znet </t>
    </r>
    <r>
      <rPr>
        <sz val="9"/>
        <color theme="1"/>
        <rFont val="Calibri"/>
        <family val="2"/>
        <scheme val="minor"/>
      </rPr>
      <t>max</t>
    </r>
  </si>
  <si>
    <r>
      <t>Cos</t>
    </r>
    <r>
      <rPr>
        <sz val="9"/>
        <color theme="1"/>
        <rFont val="Calibri"/>
        <family val="2"/>
        <scheme val="minor"/>
      </rPr>
      <t xml:space="preserve"> max</t>
    </r>
  </si>
  <si>
    <r>
      <t xml:space="preserve">Rnet </t>
    </r>
    <r>
      <rPr>
        <sz val="9"/>
        <color theme="1"/>
        <rFont val="Calibri"/>
        <family val="2"/>
        <scheme val="minor"/>
      </rPr>
      <t>max</t>
    </r>
  </si>
  <si>
    <r>
      <t xml:space="preserve">Xnet </t>
    </r>
    <r>
      <rPr>
        <sz val="9"/>
        <color theme="1"/>
        <rFont val="Calibri"/>
        <family val="2"/>
        <scheme val="minor"/>
      </rPr>
      <t>max</t>
    </r>
  </si>
  <si>
    <t>Omregning af Ikmax</t>
  </si>
  <si>
    <t>Omregning af Ikmin</t>
  </si>
  <si>
    <t>Beregning af nettetmin (Ikmax)</t>
  </si>
  <si>
    <t>Beregning af nettetmax (Ikmin)</t>
  </si>
  <si>
    <t>beregning af trafo</t>
  </si>
  <si>
    <t>Kabel6</t>
  </si>
  <si>
    <t>Kabel7</t>
  </si>
  <si>
    <t>Kabel8</t>
  </si>
  <si>
    <t>Kabel9</t>
  </si>
  <si>
    <t>Kabel10</t>
  </si>
  <si>
    <r>
      <t>modstande kabler- Ik</t>
    </r>
    <r>
      <rPr>
        <sz val="8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- Ik</t>
    </r>
    <r>
      <rPr>
        <sz val="8"/>
        <color theme="1"/>
        <rFont val="Calibri"/>
        <family val="2"/>
        <scheme val="minor"/>
      </rPr>
      <t>min</t>
    </r>
  </si>
  <si>
    <t>bugger difineret</t>
  </si>
  <si>
    <t>Længden</t>
  </si>
  <si>
    <t>=</t>
  </si>
  <si>
    <r>
      <t>Z 20</t>
    </r>
    <r>
      <rPr>
        <sz val="10"/>
        <color theme="1"/>
        <rFont val="Calibri"/>
        <family val="2"/>
      </rPr>
      <t>°</t>
    </r>
  </si>
  <si>
    <t>killometer</t>
  </si>
  <si>
    <r>
      <t>Z 70</t>
    </r>
    <r>
      <rPr>
        <sz val="10"/>
        <color theme="1"/>
        <rFont val="Calibri"/>
        <family val="2"/>
      </rPr>
      <t>°</t>
    </r>
  </si>
  <si>
    <t>Disp</t>
  </si>
  <si>
    <t>Kabel værdier tabel nr.13 0g tabel 17</t>
  </si>
  <si>
    <t>NOIKLX, PVIKX, NOIKX, NOIKX FLEX - OG ALU NOIK AL-M, NOIK AL-S NOBH AL-S</t>
  </si>
  <si>
    <t>2-leder</t>
  </si>
  <si>
    <t>CU 2x1</t>
  </si>
  <si>
    <t>CU 2x1,5</t>
  </si>
  <si>
    <t>CU 2x2,5</t>
  </si>
  <si>
    <t>CU 3x1</t>
  </si>
  <si>
    <t>CU 4x1</t>
  </si>
  <si>
    <t>CU 4x300</t>
  </si>
  <si>
    <t>CU 5x1</t>
  </si>
  <si>
    <t>NOPKA, H05VV-F, H05RR-F, H05RN-F,</t>
  </si>
  <si>
    <t>TILLEDNINGER    Kabel værdier tabel nr.13 0g tabel 17</t>
  </si>
  <si>
    <t>CU2x0,75</t>
  </si>
  <si>
    <t>CU3x0,75</t>
  </si>
  <si>
    <t>CU4x0,75</t>
  </si>
  <si>
    <t>CU5x0,75</t>
  </si>
  <si>
    <t>Tilledning</t>
  </si>
  <si>
    <t>Aluminium</t>
  </si>
  <si>
    <t>Kobber</t>
  </si>
  <si>
    <t>Kabel 1</t>
  </si>
  <si>
    <t>Kabel 2</t>
  </si>
  <si>
    <t>Længde (m)</t>
  </si>
  <si>
    <t>Kabel 3</t>
  </si>
  <si>
    <r>
      <t>Z</t>
    </r>
    <r>
      <rPr>
        <vertAlign val="subscript"/>
        <sz val="11"/>
        <color theme="1"/>
        <rFont val="Calibri"/>
        <family val="2"/>
        <scheme val="minor"/>
      </rPr>
      <t>20°</t>
    </r>
  </si>
  <si>
    <r>
      <t>Z</t>
    </r>
    <r>
      <rPr>
        <vertAlign val="subscript"/>
        <sz val="11"/>
        <color theme="1"/>
        <rFont val="Calibri"/>
        <family val="2"/>
        <scheme val="minor"/>
      </rPr>
      <t>70°</t>
    </r>
  </si>
  <si>
    <t>*</t>
  </si>
  <si>
    <r>
      <t>I</t>
    </r>
    <r>
      <rPr>
        <vertAlign val="subscript"/>
        <sz val="14"/>
        <color theme="1"/>
        <rFont val="Calibri"/>
        <family val="2"/>
        <scheme val="minor"/>
      </rPr>
      <t>Kmax</t>
    </r>
  </si>
  <si>
    <r>
      <t>I</t>
    </r>
    <r>
      <rPr>
        <vertAlign val="subscript"/>
        <sz val="14"/>
        <color theme="1"/>
        <rFont val="Calibri"/>
        <family val="2"/>
        <scheme val="minor"/>
      </rPr>
      <t>Kmin</t>
    </r>
  </si>
  <si>
    <r>
      <t>I</t>
    </r>
    <r>
      <rPr>
        <vertAlign val="subscript"/>
        <sz val="11"/>
        <color theme="1"/>
        <rFont val="Calibri"/>
        <family val="2"/>
        <scheme val="minor"/>
      </rPr>
      <t>B</t>
    </r>
  </si>
  <si>
    <t>G</t>
  </si>
  <si>
    <t>mm²</t>
  </si>
  <si>
    <t>Ð</t>
  </si>
  <si>
    <r>
      <rPr>
        <sz val="10"/>
        <color theme="1"/>
        <rFont val="Calibri"/>
        <family val="2"/>
      </rPr>
      <t>ϕ</t>
    </r>
    <r>
      <rPr>
        <sz val="10"/>
        <color theme="1"/>
        <rFont val="Calibri"/>
        <family val="2"/>
        <scheme val="minor"/>
      </rPr>
      <t xml:space="preserve"> 20</t>
    </r>
    <r>
      <rPr>
        <sz val="10"/>
        <color theme="1"/>
        <rFont val="Calibri"/>
        <family val="2"/>
      </rPr>
      <t>°</t>
    </r>
  </si>
  <si>
    <r>
      <rPr>
        <sz val="10"/>
        <color theme="1"/>
        <rFont val="Calibri"/>
        <family val="2"/>
      </rPr>
      <t>ϕ</t>
    </r>
    <r>
      <rPr>
        <sz val="10"/>
        <color theme="1"/>
        <rFont val="Calibri"/>
        <family val="2"/>
        <scheme val="minor"/>
      </rPr>
      <t xml:space="preserve"> 70</t>
    </r>
    <r>
      <rPr>
        <sz val="10"/>
        <color theme="1"/>
        <rFont val="Calibri"/>
        <family val="2"/>
      </rPr>
      <t>°</t>
    </r>
  </si>
  <si>
    <t>Formel</t>
  </si>
  <si>
    <t>Kabel type</t>
  </si>
  <si>
    <t>Sumeret Z</t>
  </si>
  <si>
    <t>m</t>
  </si>
  <si>
    <t>Paralle (n)</t>
  </si>
  <si>
    <r>
      <rPr>
        <sz val="11"/>
        <color theme="1"/>
        <rFont val="Symbol"/>
        <family val="1"/>
        <charset val="2"/>
      </rPr>
      <t>Ð</t>
    </r>
    <r>
      <rPr>
        <sz val="11"/>
        <color theme="1"/>
        <rFont val="Calibri"/>
        <family val="2"/>
        <scheme val="minor"/>
      </rPr>
      <t xml:space="preserve"> 20°</t>
    </r>
  </si>
  <si>
    <r>
      <rPr>
        <sz val="11"/>
        <color theme="1"/>
        <rFont val="Symbol"/>
        <family val="1"/>
        <charset val="2"/>
      </rPr>
      <t>Ð</t>
    </r>
    <r>
      <rPr>
        <sz val="11"/>
        <color theme="1"/>
        <rFont val="Calibri"/>
        <family val="2"/>
        <scheme val="minor"/>
      </rPr>
      <t xml:space="preserve"> 70°</t>
    </r>
  </si>
  <si>
    <r>
      <t xml:space="preserve"> I̅ </t>
    </r>
    <r>
      <rPr>
        <vertAlign val="subscript"/>
        <sz val="11"/>
        <color theme="1"/>
        <rFont val="Calibri"/>
        <family val="2"/>
        <scheme val="minor"/>
      </rPr>
      <t>B</t>
    </r>
  </si>
  <si>
    <r>
      <t xml:space="preserve">Σ 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Z̅</t>
    </r>
  </si>
  <si>
    <t>V</t>
  </si>
  <si>
    <t>Rad</t>
  </si>
  <si>
    <t>cos</t>
  </si>
  <si>
    <t>sin</t>
  </si>
  <si>
    <t>Z</t>
  </si>
  <si>
    <t xml:space="preserve"> Z̅</t>
  </si>
  <si>
    <r>
      <t>U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²</t>
    </r>
  </si>
  <si>
    <r>
      <t>U</t>
    </r>
    <r>
      <rPr>
        <vertAlign val="subscript"/>
        <sz val="11"/>
        <color theme="1"/>
        <rFont val="Calibri"/>
        <family val="2"/>
        <scheme val="minor"/>
      </rPr>
      <t>N</t>
    </r>
  </si>
  <si>
    <r>
      <t>S</t>
    </r>
    <r>
      <rPr>
        <vertAlign val="subscript"/>
        <sz val="11"/>
        <color theme="1"/>
        <rFont val="Calibri"/>
        <family val="2"/>
        <scheme val="minor"/>
      </rPr>
      <t>KN</t>
    </r>
  </si>
  <si>
    <t>(</t>
  </si>
  <si>
    <t>)</t>
  </si>
  <si>
    <t>²</t>
  </si>
  <si>
    <t>=&gt;</t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</si>
  <si>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</si>
  <si>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1/1</t>
    </r>
  </si>
  <si>
    <r>
      <t>100 * S</t>
    </r>
    <r>
      <rPr>
        <vertAlign val="subscript"/>
        <sz val="11"/>
        <rFont val="Calibri"/>
        <family val="2"/>
        <scheme val="minor"/>
      </rPr>
      <t>1/1</t>
    </r>
  </si>
  <si>
    <r>
      <t>e</t>
    </r>
    <r>
      <rPr>
        <vertAlign val="subscript"/>
        <sz val="11"/>
        <color theme="1"/>
        <rFont val="Calibri"/>
        <family val="2"/>
        <scheme val="minor"/>
      </rPr>
      <t>k</t>
    </r>
  </si>
  <si>
    <r>
      <t>e</t>
    </r>
    <r>
      <rPr>
        <vertAlign val="subscript"/>
        <sz val="11"/>
        <rFont val="Calibri"/>
        <family val="2"/>
        <scheme val="minor"/>
      </rPr>
      <t>k</t>
    </r>
    <r>
      <rPr>
        <sz val="11"/>
        <rFont val="Calibri"/>
        <family val="2"/>
        <scheme val="minor"/>
      </rPr>
      <t xml:space="preserve"> * U²</t>
    </r>
    <r>
      <rPr>
        <vertAlign val="subscript"/>
        <sz val="11"/>
        <rFont val="Calibri"/>
        <family val="2"/>
        <scheme val="minor"/>
      </rPr>
      <t>T</t>
    </r>
  </si>
  <si>
    <r>
      <t>U</t>
    </r>
    <r>
      <rPr>
        <vertAlign val="subscript"/>
        <sz val="11"/>
        <color theme="1"/>
        <rFont val="Calibri"/>
        <family val="2"/>
        <scheme val="minor"/>
      </rPr>
      <t>T</t>
    </r>
  </si>
  <si>
    <r>
      <t>R</t>
    </r>
    <r>
      <rPr>
        <vertAlign val="subscript"/>
        <sz val="11"/>
        <rFont val="Calibri"/>
        <family val="2"/>
        <scheme val="minor"/>
      </rPr>
      <t>T</t>
    </r>
  </si>
  <si>
    <r>
      <t>P</t>
    </r>
    <r>
      <rPr>
        <vertAlign val="subscript"/>
        <sz val="11"/>
        <rFont val="Calibri"/>
        <family val="2"/>
        <scheme val="minor"/>
      </rPr>
      <t>CU</t>
    </r>
    <r>
      <rPr>
        <sz val="11"/>
        <rFont val="Calibri"/>
        <family val="2"/>
        <scheme val="minor"/>
      </rPr>
      <t xml:space="preserve"> * U²</t>
    </r>
    <r>
      <rPr>
        <vertAlign val="subscript"/>
        <sz val="11"/>
        <rFont val="Calibri"/>
        <family val="2"/>
        <scheme val="minor"/>
      </rPr>
      <t>T</t>
    </r>
  </si>
  <si>
    <r>
      <t>S²</t>
    </r>
    <r>
      <rPr>
        <vertAlign val="subscript"/>
        <sz val="11"/>
        <rFont val="Calibri"/>
        <family val="2"/>
        <scheme val="minor"/>
      </rPr>
      <t>1/1</t>
    </r>
  </si>
  <si>
    <r>
      <t>cos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</si>
  <si>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Z</t>
    </r>
    <r>
      <rPr>
        <vertAlign val="subscript"/>
        <sz val="11"/>
        <rFont val="Calibri"/>
        <family val="2"/>
        <scheme val="minor"/>
      </rPr>
      <t>T</t>
    </r>
  </si>
  <si>
    <r>
      <t>Z</t>
    </r>
    <r>
      <rPr>
        <vertAlign val="subscript"/>
        <sz val="11"/>
        <color theme="1"/>
        <rFont val="Calibri"/>
        <family val="2"/>
        <scheme val="minor"/>
      </rPr>
      <t>N</t>
    </r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</si>
  <si>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N</t>
    </r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</si>
  <si>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T</t>
    </r>
  </si>
  <si>
    <t>MVA</t>
  </si>
  <si>
    <r>
      <t>ϕ</t>
    </r>
    <r>
      <rPr>
        <vertAlign val="subscript"/>
        <sz val="11"/>
        <color theme="1"/>
        <rFont val="Calibri"/>
        <family val="2"/>
      </rPr>
      <t>N</t>
    </r>
  </si>
  <si>
    <r>
      <rPr>
        <sz val="11"/>
        <color theme="1"/>
        <rFont val="Calibri"/>
        <family val="2"/>
      </rPr>
      <t>ϕ</t>
    </r>
    <r>
      <rPr>
        <vertAlign val="subscript"/>
        <sz val="11"/>
        <color theme="1"/>
        <rFont val="Calibri"/>
        <family val="2"/>
      </rPr>
      <t>T</t>
    </r>
  </si>
  <si>
    <t>Kortslutningsstrøm på transformers sekundær klemmer</t>
  </si>
  <si>
    <t>√3</t>
  </si>
  <si>
    <t>&lt;=&gt;</t>
  </si>
  <si>
    <t>+</t>
  </si>
  <si>
    <t>kA</t>
  </si>
  <si>
    <t>er</t>
  </si>
  <si>
    <t>23</t>
  </si>
  <si>
    <t>224</t>
  </si>
  <si>
    <r>
      <t>cos</t>
    </r>
    <r>
      <rPr>
        <sz val="11"/>
        <color theme="1"/>
        <rFont val="Calibri"/>
        <family val="2"/>
      </rPr>
      <t>ϕ</t>
    </r>
  </si>
  <si>
    <t>Sikring</t>
  </si>
  <si>
    <t>A</t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</si>
  <si>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min</t>
    </r>
  </si>
  <si>
    <t>Ð-</t>
  </si>
  <si>
    <r>
      <t>Hvis der ikke er nogen transformerdata kan der bruges disse værdier I</t>
    </r>
    <r>
      <rPr>
        <vertAlign val="subscript"/>
        <sz val="11"/>
        <color theme="1"/>
        <rFont val="Calibri"/>
        <family val="2"/>
        <scheme val="minor"/>
      </rPr>
      <t>Kmax</t>
    </r>
    <r>
      <rPr>
        <sz val="11"/>
        <color theme="1"/>
        <rFont val="Calibri"/>
        <family val="2"/>
        <scheme val="minor"/>
      </rPr>
      <t xml:space="preserve"> 16kA cos</t>
    </r>
    <r>
      <rPr>
        <sz val="11"/>
        <color theme="1"/>
        <rFont val="Calibri"/>
        <family val="2"/>
      </rPr>
      <t>ϕ 0,3    I</t>
    </r>
    <r>
      <rPr>
        <vertAlign val="subscript"/>
        <sz val="11"/>
        <color theme="1"/>
        <rFont val="Calibri"/>
        <family val="2"/>
      </rPr>
      <t>kmin =</t>
    </r>
    <r>
      <rPr>
        <sz val="11"/>
        <color theme="1"/>
        <rFont val="Calibri"/>
        <family val="2"/>
      </rPr>
      <t xml:space="preserve"> 5 gange stikledningenssikringens mærkestrøm</t>
    </r>
  </si>
  <si>
    <t>Beregnet</t>
  </si>
  <si>
    <t>UN</t>
  </si>
  <si>
    <t>Første fordeling</t>
  </si>
  <si>
    <t>Z̅N</t>
  </si>
  <si>
    <t>radianer</t>
  </si>
  <si>
    <t>fi</t>
  </si>
  <si>
    <t>20 grader</t>
  </si>
  <si>
    <t>Gange</t>
  </si>
  <si>
    <t>70 grader</t>
  </si>
  <si>
    <t>∑</t>
  </si>
  <si>
    <t>RT</t>
  </si>
  <si>
    <t>ZT</t>
  </si>
  <si>
    <t>ek</t>
  </si>
  <si>
    <r>
      <t>I</t>
    </r>
    <r>
      <rPr>
        <vertAlign val="subscript"/>
        <sz val="14"/>
        <color theme="1"/>
        <rFont val="Calibri"/>
        <family val="2"/>
        <scheme val="minor"/>
      </rPr>
      <t>KminFN(PE)</t>
    </r>
  </si>
  <si>
    <r>
      <t>I</t>
    </r>
    <r>
      <rPr>
        <vertAlign val="subscript"/>
        <sz val="14"/>
        <color theme="1"/>
        <rFont val="Calibri"/>
        <family val="2"/>
        <scheme val="minor"/>
      </rPr>
      <t>Kmax3F</t>
    </r>
  </si>
  <si>
    <r>
      <t>I</t>
    </r>
    <r>
      <rPr>
        <vertAlign val="subscript"/>
        <sz val="14"/>
        <color theme="1"/>
        <rFont val="Calibri"/>
        <family val="2"/>
        <scheme val="minor"/>
      </rPr>
      <t>K2F</t>
    </r>
  </si>
  <si>
    <r>
      <t>U</t>
    </r>
    <r>
      <rPr>
        <vertAlign val="subscript"/>
        <sz val="8"/>
        <color theme="1"/>
        <rFont val="Calibri"/>
        <family val="2"/>
        <scheme val="minor"/>
      </rPr>
      <t>N</t>
    </r>
  </si>
  <si>
    <t>cosϕ</t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</si>
  <si>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max</t>
    </r>
  </si>
  <si>
    <r>
      <rPr>
        <sz val="11"/>
        <color theme="1"/>
        <rFont val="Calibri"/>
        <family val="2"/>
      </rPr>
      <t>Ʃ</t>
    </r>
    <r>
      <rPr>
        <sz val="11"/>
        <color theme="1"/>
        <rFont val="Calibri"/>
        <family val="2"/>
        <scheme val="minor"/>
      </rPr>
      <t>ΔU</t>
    </r>
  </si>
  <si>
    <t>IB</t>
  </si>
  <si>
    <t xml:space="preserve"> + Z̅</t>
  </si>
  <si>
    <t>√3 *</t>
  </si>
  <si>
    <t>Antal ledere</t>
  </si>
  <si>
    <t>Materiale</t>
  </si>
  <si>
    <t>Kvadrat (mm²)</t>
  </si>
  <si>
    <t>Navn</t>
  </si>
  <si>
    <t>Længden m</t>
  </si>
  <si>
    <t>l</t>
  </si>
  <si>
    <r>
      <t>Z</t>
    </r>
    <r>
      <rPr>
        <vertAlign val="subscript"/>
        <sz val="10"/>
        <color theme="1"/>
        <rFont val="Calibri"/>
        <family val="2"/>
        <scheme val="minor"/>
      </rPr>
      <t xml:space="preserve"> 70</t>
    </r>
    <r>
      <rPr>
        <vertAlign val="subscript"/>
        <sz val="10"/>
        <color theme="1"/>
        <rFont val="Calibri"/>
        <family val="2"/>
      </rPr>
      <t>°</t>
    </r>
  </si>
  <si>
    <r>
      <rPr>
        <sz val="10"/>
        <color theme="1"/>
        <rFont val="Calibri"/>
        <family val="2"/>
      </rPr>
      <t>ϕ</t>
    </r>
    <r>
      <rPr>
        <sz val="10"/>
        <color theme="1"/>
        <rFont val="Calibri"/>
        <family val="2"/>
        <scheme val="minor"/>
      </rPr>
      <t xml:space="preserve"> </t>
    </r>
    <r>
      <rPr>
        <vertAlign val="subscript"/>
        <sz val="10"/>
        <color theme="1"/>
        <rFont val="Calibri"/>
        <family val="2"/>
        <scheme val="minor"/>
      </rPr>
      <t>70</t>
    </r>
    <r>
      <rPr>
        <vertAlign val="subscript"/>
        <sz val="10"/>
        <color theme="1"/>
        <rFont val="Calibri"/>
        <family val="2"/>
      </rPr>
      <t>°</t>
    </r>
  </si>
  <si>
    <r>
      <t>Z</t>
    </r>
    <r>
      <rPr>
        <vertAlign val="subscript"/>
        <sz val="10"/>
        <color theme="1"/>
        <rFont val="Calibri"/>
        <family val="2"/>
        <scheme val="minor"/>
      </rPr>
      <t>20</t>
    </r>
    <r>
      <rPr>
        <vertAlign val="subscript"/>
        <sz val="10"/>
        <color theme="1"/>
        <rFont val="Calibri"/>
        <family val="2"/>
      </rPr>
      <t>°</t>
    </r>
  </si>
  <si>
    <r>
      <rPr>
        <sz val="10"/>
        <color theme="1"/>
        <rFont val="Calibri"/>
        <family val="2"/>
      </rPr>
      <t>ϕ</t>
    </r>
    <r>
      <rPr>
        <sz val="10"/>
        <color theme="1"/>
        <rFont val="Calibri"/>
        <family val="2"/>
        <scheme val="minor"/>
      </rPr>
      <t xml:space="preserve"> </t>
    </r>
    <r>
      <rPr>
        <vertAlign val="subscript"/>
        <sz val="10"/>
        <color theme="1"/>
        <rFont val="Calibri"/>
        <family val="2"/>
        <scheme val="minor"/>
      </rPr>
      <t>20</t>
    </r>
    <r>
      <rPr>
        <vertAlign val="subscript"/>
        <sz val="10"/>
        <color theme="1"/>
        <rFont val="Calibri"/>
        <family val="2"/>
      </rPr>
      <t>°</t>
    </r>
  </si>
  <si>
    <t>Tranformer</t>
  </si>
  <si>
    <t>ZN</t>
  </si>
  <si>
    <t>Kabel værdier</t>
  </si>
  <si>
    <t>Beregning</t>
  </si>
  <si>
    <t>Beregnet max</t>
  </si>
  <si>
    <t>Beregnet min</t>
  </si>
  <si>
    <t xml:space="preserve"> </t>
  </si>
  <si>
    <t>kVA</t>
  </si>
  <si>
    <r>
      <t>*10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)</t>
    </r>
    <r>
      <rPr>
        <vertAlign val="superscript"/>
        <sz val="11"/>
        <color theme="1"/>
        <rFont val="Calibri"/>
        <family val="2"/>
        <scheme val="minor"/>
      </rPr>
      <t>2</t>
    </r>
  </si>
  <si>
    <t>NOIKLX</t>
  </si>
  <si>
    <t>CU 1</t>
  </si>
  <si>
    <t>z</t>
  </si>
  <si>
    <t>L1</t>
  </si>
  <si>
    <t>L2</t>
  </si>
  <si>
    <t>L3</t>
  </si>
  <si>
    <t>Vinkel</t>
  </si>
  <si>
    <t>Iw</t>
  </si>
  <si>
    <t>Iwl</t>
  </si>
  <si>
    <t>komp</t>
  </si>
  <si>
    <t>SF</t>
  </si>
  <si>
    <t>UF</t>
  </si>
  <si>
    <t>Amp.</t>
  </si>
  <si>
    <t>Procent fordeling harmoniskstrøm</t>
  </si>
  <si>
    <t>Tavle</t>
  </si>
  <si>
    <t>P</t>
  </si>
  <si>
    <t>I =</t>
  </si>
  <si>
    <t>S</t>
  </si>
  <si>
    <t>1 X</t>
  </si>
  <si>
    <t>3 X</t>
  </si>
  <si>
    <t>U</t>
  </si>
  <si>
    <t>Belastningstabel</t>
  </si>
  <si>
    <r>
      <rPr>
        <sz val="12"/>
        <color theme="1"/>
        <rFont val="Calibri"/>
        <family val="2"/>
      </rPr>
      <t>∑</t>
    </r>
    <r>
      <rPr>
        <sz val="12"/>
        <color theme="1"/>
        <rFont val="Calibri"/>
        <family val="2"/>
        <scheme val="minor"/>
      </rPr>
      <t>I</t>
    </r>
    <r>
      <rPr>
        <vertAlign val="subscript"/>
        <sz val="12"/>
        <color theme="1"/>
        <rFont val="Calibri"/>
        <family val="2"/>
        <scheme val="minor"/>
      </rPr>
      <t>B</t>
    </r>
  </si>
  <si>
    <r>
      <t>∑I</t>
    </r>
    <r>
      <rPr>
        <vertAlign val="subscript"/>
        <sz val="14"/>
        <color theme="1"/>
        <rFont val="Calibri"/>
        <family val="2"/>
        <scheme val="minor"/>
      </rPr>
      <t>B</t>
    </r>
  </si>
  <si>
    <t>-A2</t>
  </si>
  <si>
    <r>
      <t>P</t>
    </r>
    <r>
      <rPr>
        <sz val="9"/>
        <color theme="1"/>
        <rFont val="Calibri"/>
        <family val="2"/>
        <scheme val="minor"/>
      </rPr>
      <t>CU</t>
    </r>
  </si>
  <si>
    <t>Startstrøm</t>
  </si>
  <si>
    <t>Strøm</t>
  </si>
  <si>
    <r>
      <t>U</t>
    </r>
    <r>
      <rPr>
        <vertAlign val="subscript"/>
        <sz val="11"/>
        <color theme="1"/>
        <rFont val="Calibri"/>
        <family val="2"/>
      </rPr>
      <t xml:space="preserve"> </t>
    </r>
  </si>
  <si>
    <r>
      <t>∑I</t>
    </r>
    <r>
      <rPr>
        <vertAlign val="subscript"/>
        <sz val="12"/>
        <color theme="1"/>
        <rFont val="Calibri"/>
        <family val="2"/>
        <scheme val="minor"/>
      </rPr>
      <t>B</t>
    </r>
  </si>
  <si>
    <t>§523.5</t>
  </si>
  <si>
    <t>Hvis nullederen fører strøm uden tilsvarende reduktion af strømmen i faselederne, skal der tages hensyn til nullederen, når strømkredsens strømværdi skal fastlægges. Sådanne strømme kan skyldes forekomsten af højere harmoniske strømme i trefasede strømkredse. Hvis indholdet af harmoniske er større end 10%, må nullederen ikke være mindre end faselederne. De termiske virkninger pga. harmoniske strømme og den tilhørende korrektionsfaktor for højere harmoniske strømme er angivet i Bilag C</t>
  </si>
  <si>
    <t>Fasekompensering</t>
  </si>
  <si>
    <t>ó</t>
  </si>
  <si>
    <t>cosφ</t>
  </si>
  <si>
    <t>Ny cosφ</t>
  </si>
  <si>
    <t>Radianer</t>
  </si>
  <si>
    <t>-</t>
  </si>
  <si>
    <t>Antal kVAR der skal bruges</t>
  </si>
  <si>
    <t>kVAR</t>
  </si>
  <si>
    <t xml:space="preserve">Antal celler </t>
  </si>
  <si>
    <t>stk.</t>
  </si>
  <si>
    <t>Størelsen af anlæg (antal celler x størelsen )</t>
  </si>
  <si>
    <t>2GCA280554A0030</t>
  </si>
  <si>
    <t>2GCA280555A0030</t>
  </si>
  <si>
    <t>2GCA280553A0030</t>
  </si>
  <si>
    <t>2GCA280556A0030</t>
  </si>
  <si>
    <t>2GCA280557A0030</t>
  </si>
  <si>
    <t>2GCA280558A0030</t>
  </si>
  <si>
    <t>2GCA280559A0030</t>
  </si>
  <si>
    <t>2GCA280960A0030</t>
  </si>
  <si>
    <t>2GCA280774A0030</t>
  </si>
  <si>
    <t>2GCA280961A0030</t>
  </si>
  <si>
    <t>2GCA280730A0030</t>
  </si>
  <si>
    <t>2GCA280776A0030</t>
  </si>
  <si>
    <t>2GCA280777A0030</t>
  </si>
  <si>
    <t>2GCA280729A0030</t>
  </si>
  <si>
    <t>ABB`s type nr.</t>
  </si>
  <si>
    <t>Beregning af antal celler</t>
  </si>
  <si>
    <r>
      <t>Q</t>
    </r>
    <r>
      <rPr>
        <vertAlign val="subscript"/>
        <sz val="11"/>
        <color theme="1"/>
        <rFont val="Calibri"/>
        <family val="2"/>
        <scheme val="minor"/>
      </rPr>
      <t>C</t>
    </r>
  </si>
  <si>
    <r>
      <t>1000 * Q</t>
    </r>
    <r>
      <rPr>
        <vertAlign val="subscript"/>
        <sz val="11"/>
        <color theme="1"/>
        <rFont val="Calibri"/>
        <family val="2"/>
        <scheme val="minor"/>
      </rPr>
      <t>C</t>
    </r>
  </si>
  <si>
    <r>
      <t>√3 * U</t>
    </r>
    <r>
      <rPr>
        <vertAlign val="subscript"/>
        <sz val="11"/>
        <color theme="1"/>
        <rFont val="Calibri"/>
        <family val="2"/>
        <scheme val="minor"/>
      </rPr>
      <t>N</t>
    </r>
  </si>
  <si>
    <r>
      <t>Beregning af ny I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cosφ </t>
    </r>
  </si>
  <si>
    <r>
      <t>cos</t>
    </r>
    <r>
      <rPr>
        <sz val="12"/>
        <color theme="1"/>
        <rFont val="Calibri"/>
        <family val="2"/>
      </rPr>
      <t>ϕ</t>
    </r>
    <r>
      <rPr>
        <vertAlign val="subscript"/>
        <sz val="12"/>
        <color theme="1"/>
        <rFont val="Times New Roman"/>
        <family val="1"/>
      </rPr>
      <t xml:space="preserve"> gl</t>
    </r>
  </si>
  <si>
    <r>
      <t xml:space="preserve"> cos</t>
    </r>
    <r>
      <rPr>
        <sz val="12"/>
        <color theme="1"/>
        <rFont val="Calibri"/>
        <family val="2"/>
      </rPr>
      <t>ϕ</t>
    </r>
    <r>
      <rPr>
        <sz val="12"/>
        <color theme="1"/>
        <rFont val="Times New Roman"/>
        <family val="1"/>
      </rPr>
      <t xml:space="preserve"> </t>
    </r>
    <r>
      <rPr>
        <vertAlign val="subscript"/>
        <sz val="12"/>
        <color theme="1"/>
        <rFont val="Times New Roman"/>
        <family val="1"/>
      </rPr>
      <t>ny</t>
    </r>
  </si>
  <si>
    <r>
      <rPr>
        <sz val="11"/>
        <color theme="1"/>
        <rFont val="Calibri"/>
        <family val="2"/>
      </rPr>
      <t>√3 * U</t>
    </r>
    <r>
      <rPr>
        <vertAlign val="subscript"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 xml:space="preserve"> * I</t>
    </r>
    <r>
      <rPr>
        <vertAlign val="subscript"/>
        <sz val="11"/>
        <color theme="1"/>
        <rFont val="Calibri"/>
        <family val="2"/>
      </rPr>
      <t>C</t>
    </r>
  </si>
  <si>
    <r>
      <t>I</t>
    </r>
    <r>
      <rPr>
        <vertAlign val="subscript"/>
        <sz val="11"/>
        <color theme="1"/>
        <rFont val="Calibri"/>
        <family val="2"/>
        <scheme val="minor"/>
      </rPr>
      <t>C ny</t>
    </r>
  </si>
  <si>
    <r>
      <t xml:space="preserve"> I̅</t>
    </r>
    <r>
      <rPr>
        <vertAlign val="subscript"/>
        <sz val="11"/>
        <color theme="1"/>
        <rFont val="Calibri"/>
        <family val="2"/>
        <scheme val="minor"/>
      </rPr>
      <t>B</t>
    </r>
  </si>
  <si>
    <r>
      <t xml:space="preserve"> I̅</t>
    </r>
    <r>
      <rPr>
        <vertAlign val="subscript"/>
        <sz val="11"/>
        <color theme="1"/>
        <rFont val="Calibri"/>
        <family val="2"/>
        <scheme val="minor"/>
      </rPr>
      <t>Cny</t>
    </r>
  </si>
  <si>
    <r>
      <t xml:space="preserve"> I̅</t>
    </r>
    <r>
      <rPr>
        <vertAlign val="subscript"/>
        <sz val="11"/>
        <color theme="1"/>
        <rFont val="Calibri"/>
        <family val="2"/>
        <scheme val="minor"/>
      </rPr>
      <t>idel</t>
    </r>
  </si>
  <si>
    <r>
      <t>I</t>
    </r>
    <r>
      <rPr>
        <vertAlign val="subscript"/>
        <sz val="10"/>
        <color theme="1"/>
        <rFont val="Times New Roman"/>
        <family val="1"/>
      </rPr>
      <t>C</t>
    </r>
  </si>
  <si>
    <r>
      <t xml:space="preserve"> I̅</t>
    </r>
    <r>
      <rPr>
        <vertAlign val="subscript"/>
        <sz val="12"/>
        <color theme="1"/>
        <rFont val="Calibri"/>
        <family val="2"/>
        <scheme val="minor"/>
      </rPr>
      <t>idel</t>
    </r>
  </si>
  <si>
    <r>
      <t>regner man med en vinkel på 90</t>
    </r>
    <r>
      <rPr>
        <sz val="11"/>
        <color theme="1"/>
        <rFont val="Calibri"/>
        <family val="2"/>
      </rPr>
      <t>˚</t>
    </r>
  </si>
  <si>
    <r>
      <t>Beregning af ny strøm pga. dårlig cos</t>
    </r>
    <r>
      <rPr>
        <sz val="11"/>
        <color theme="1"/>
        <rFont val="Calibri"/>
        <family val="2"/>
      </rPr>
      <t>ϕ</t>
    </r>
  </si>
  <si>
    <t>Beregning på hvor stor en kapacitiv belastning, der skal indsættes</t>
  </si>
  <si>
    <t>Gammel strøm før fasekompensering</t>
  </si>
  <si>
    <t>Ny strøm efter fasekompensering</t>
  </si>
  <si>
    <t>Beregning af kondensatorstrømmen</t>
  </si>
  <si>
    <t>Den nye kondensatorstrøm</t>
  </si>
  <si>
    <t xml:space="preserve">Ny belastningsstrøm </t>
  </si>
  <si>
    <r>
      <t xml:space="preserve"> I̅</t>
    </r>
    <r>
      <rPr>
        <vertAlign val="subscript"/>
        <sz val="11"/>
        <color theme="1"/>
        <rFont val="Calibri"/>
        <family val="2"/>
        <scheme val="minor"/>
      </rPr>
      <t>reel</t>
    </r>
  </si>
  <si>
    <t>Effektberegner for W=P og VA=S</t>
  </si>
  <si>
    <t>U=</t>
  </si>
  <si>
    <r>
      <t>Hvis der er oplyst en ny I</t>
    </r>
    <r>
      <rPr>
        <vertAlign val="subscript"/>
        <sz val="11"/>
        <color theme="1"/>
        <rFont val="Calibri"/>
        <family val="2"/>
        <scheme val="minor"/>
      </rPr>
      <t>bmax</t>
    </r>
    <r>
      <rPr>
        <sz val="11"/>
        <color theme="1"/>
        <rFont val="Calibri"/>
        <family val="2"/>
        <scheme val="minor"/>
      </rPr>
      <t xml:space="preserve"> skal der findes en ny cos</t>
    </r>
    <r>
      <rPr>
        <sz val="11"/>
        <color theme="1"/>
        <rFont val="Calibri"/>
        <family val="2"/>
      </rPr>
      <t>ϕ</t>
    </r>
  </si>
  <si>
    <r>
      <t>cos</t>
    </r>
    <r>
      <rPr>
        <sz val="12"/>
        <color theme="1"/>
        <rFont val="Calibri"/>
        <family val="2"/>
      </rPr>
      <t>ϕ</t>
    </r>
    <r>
      <rPr>
        <vertAlign val="subscript"/>
        <sz val="12"/>
        <color theme="1"/>
        <rFont val="Calibri"/>
        <family val="2"/>
      </rPr>
      <t>ny</t>
    </r>
  </si>
  <si>
    <r>
      <t>cos</t>
    </r>
    <r>
      <rPr>
        <sz val="12"/>
        <color theme="1"/>
        <rFont val="Calibri"/>
        <family val="2"/>
      </rPr>
      <t>ϕ</t>
    </r>
    <r>
      <rPr>
        <vertAlign val="subscript"/>
        <sz val="12"/>
        <color theme="1"/>
        <rFont val="Calibri"/>
        <family val="2"/>
      </rPr>
      <t>gl</t>
    </r>
  </si>
  <si>
    <r>
      <t>I</t>
    </r>
    <r>
      <rPr>
        <vertAlign val="subscript"/>
        <sz val="14"/>
        <color theme="1"/>
        <rFont val="Calibri"/>
        <family val="2"/>
        <scheme val="minor"/>
      </rPr>
      <t>B gl</t>
    </r>
  </si>
  <si>
    <r>
      <t>I</t>
    </r>
    <r>
      <rPr>
        <vertAlign val="subscript"/>
        <sz val="14"/>
        <color theme="1"/>
        <rFont val="Calibri"/>
        <family val="2"/>
        <scheme val="minor"/>
      </rPr>
      <t>B ny</t>
    </r>
  </si>
  <si>
    <r>
      <t>I</t>
    </r>
    <r>
      <rPr>
        <vertAlign val="subscript"/>
        <sz val="12"/>
        <color theme="1"/>
        <rFont val="Calibri"/>
        <family val="2"/>
        <scheme val="minor"/>
      </rPr>
      <t>Bmax</t>
    </r>
  </si>
  <si>
    <t>FR 09 §29 skal der bruges auto indkobling over 25kVAR</t>
  </si>
  <si>
    <t>FR 09 §28 må kobles direkte op til 25kVAR</t>
  </si>
  <si>
    <t>Hvis værdien ikke findes som AAB´s</t>
  </si>
  <si>
    <t>Størelsen af fasekompenserings celler ABB´s</t>
  </si>
  <si>
    <t xml:space="preserve">Hvis man får R og X værdi </t>
  </si>
  <si>
    <t>R+JX</t>
  </si>
  <si>
    <t>1,5*R+JX</t>
  </si>
  <si>
    <t>Med R og X værdier Formel</t>
  </si>
  <si>
    <r>
      <t xml:space="preserve"> Z̅</t>
    </r>
    <r>
      <rPr>
        <vertAlign val="subscript"/>
        <sz val="12"/>
        <color theme="1"/>
        <rFont val="Calibri"/>
        <family val="2"/>
        <scheme val="minor"/>
      </rPr>
      <t>kabel70</t>
    </r>
    <r>
      <rPr>
        <vertAlign val="subscript"/>
        <sz val="12"/>
        <color theme="1"/>
        <rFont val="Calibri"/>
        <family val="2"/>
      </rPr>
      <t>˚</t>
    </r>
    <r>
      <rPr>
        <sz val="12"/>
        <color theme="1"/>
        <rFont val="Calibri"/>
        <family val="2"/>
      </rPr>
      <t xml:space="preserve"> [Ω]</t>
    </r>
  </si>
  <si>
    <r>
      <t xml:space="preserve"> Z̅</t>
    </r>
    <r>
      <rPr>
        <vertAlign val="subscript"/>
        <sz val="12"/>
        <color theme="1"/>
        <rFont val="Calibri"/>
        <family val="2"/>
        <scheme val="minor"/>
      </rPr>
      <t>kabel20˚</t>
    </r>
    <r>
      <rPr>
        <sz val="12"/>
        <color theme="1"/>
        <rFont val="Calibri"/>
        <family val="2"/>
        <scheme val="minor"/>
      </rPr>
      <t xml:space="preserve"> [Ω]</t>
    </r>
  </si>
  <si>
    <t>Skjul denne linie</t>
  </si>
  <si>
    <t>-A11</t>
  </si>
  <si>
    <t>-A12</t>
  </si>
  <si>
    <t>-A13</t>
  </si>
  <si>
    <t>-A14</t>
  </si>
  <si>
    <t>-A15</t>
  </si>
  <si>
    <t>-A16</t>
  </si>
  <si>
    <t>-A10</t>
  </si>
  <si>
    <t>2GCA280982A0030</t>
  </si>
  <si>
    <t>2GCA280780A0030</t>
  </si>
  <si>
    <t>2GCA280781A0030</t>
  </si>
  <si>
    <t>2GCA280731A0030</t>
  </si>
  <si>
    <t>2GCA281094A0030</t>
  </si>
  <si>
    <t>-M23.1</t>
  </si>
  <si>
    <t>-M23.2</t>
  </si>
  <si>
    <t>-M23.3</t>
  </si>
  <si>
    <t>-M23.4</t>
  </si>
  <si>
    <t>-M23.5</t>
  </si>
  <si>
    <t>-X23.6</t>
  </si>
  <si>
    <r>
      <t>R 20</t>
    </r>
    <r>
      <rPr>
        <sz val="11"/>
        <color theme="1"/>
        <rFont val="Calibri"/>
        <family val="2"/>
      </rPr>
      <t>˚</t>
    </r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</si>
  <si>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Kabel</t>
    </r>
  </si>
  <si>
    <t>ΔU̅</t>
  </si>
  <si>
    <t>√3 x</t>
  </si>
  <si>
    <r>
      <t>x 10</t>
    </r>
    <r>
      <rPr>
        <vertAlign val="superscript"/>
        <sz val="11"/>
        <color theme="1"/>
        <rFont val="Calibri"/>
        <family val="2"/>
        <scheme val="minor"/>
      </rPr>
      <t>3</t>
    </r>
  </si>
  <si>
    <r>
      <t>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</rPr>
      <t>ϕ</t>
    </r>
  </si>
  <si>
    <r>
      <rPr>
        <sz val="11"/>
        <color theme="1"/>
        <rFont val="Calibri"/>
        <family val="2"/>
      </rPr>
      <t xml:space="preserve">√3 * </t>
    </r>
    <r>
      <rPr>
        <sz val="11"/>
        <color theme="1"/>
        <rFont val="Calibri"/>
        <family val="2"/>
        <scheme val="minor"/>
      </rPr>
      <t>I</t>
    </r>
    <r>
      <rPr>
        <vertAlign val="subscript"/>
        <sz val="11"/>
        <color theme="1"/>
        <rFont val="Calibri"/>
        <family val="2"/>
        <scheme val="minor"/>
      </rPr>
      <t>Kmax</t>
    </r>
    <r>
      <rPr>
        <sz val="11"/>
        <color theme="1"/>
        <rFont val="Calibri"/>
        <family val="2"/>
        <scheme val="minor"/>
      </rPr>
      <t xml:space="preserve"> * 10</t>
    </r>
    <r>
      <rPr>
        <vertAlign val="superscript"/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</si>
  <si>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Calibri"/>
        <family val="2"/>
      </rPr>
      <t xml:space="preserve">√3 * </t>
    </r>
    <r>
      <rPr>
        <sz val="11"/>
        <color theme="1"/>
        <rFont val="Calibri"/>
        <family val="2"/>
        <scheme val="minor"/>
      </rPr>
      <t>I</t>
    </r>
    <r>
      <rPr>
        <vertAlign val="subscript"/>
        <sz val="11"/>
        <color theme="1"/>
        <rFont val="Calibri"/>
        <family val="2"/>
        <scheme val="minor"/>
      </rPr>
      <t>Kmin</t>
    </r>
    <r>
      <rPr>
        <sz val="11"/>
        <color theme="1"/>
        <rFont val="Calibri"/>
        <family val="2"/>
        <scheme val="minor"/>
      </rPr>
      <t xml:space="preserve"> * 10</t>
    </r>
    <r>
      <rPr>
        <vertAlign val="superscript"/>
        <sz val="11"/>
        <color theme="1"/>
        <rFont val="Calibri"/>
        <family val="2"/>
        <scheme val="minor"/>
      </rPr>
      <t>3</t>
    </r>
  </si>
  <si>
    <t>√3*</t>
  </si>
  <si>
    <r>
      <t>* 10</t>
    </r>
    <r>
      <rPr>
        <vertAlign val="superscript"/>
        <sz val="11"/>
        <color theme="1"/>
        <rFont val="Calibri"/>
        <family val="2"/>
        <scheme val="minor"/>
      </rPr>
      <t>3</t>
    </r>
  </si>
  <si>
    <t>-W1</t>
  </si>
  <si>
    <r>
      <t>Beregning af transformer Z̅</t>
    </r>
    <r>
      <rPr>
        <vertAlign val="subscript"/>
        <sz val="11"/>
        <color theme="1"/>
        <rFont val="Calibri"/>
        <family val="2"/>
        <scheme val="minor"/>
      </rPr>
      <t>T</t>
    </r>
  </si>
  <si>
    <r>
      <t>( Z̅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+  Z̅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</si>
  <si>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Beregning af Z̅</t>
    </r>
    <r>
      <rPr>
        <vertAlign val="subscript"/>
        <sz val="11"/>
        <color theme="1"/>
        <rFont val="Calibri"/>
        <family val="2"/>
        <scheme val="minor"/>
      </rPr>
      <t>Nmax</t>
    </r>
    <r>
      <rPr>
        <sz val="11"/>
        <color theme="1"/>
        <rFont val="Calibri"/>
        <family val="2"/>
        <scheme val="minor"/>
      </rPr>
      <t xml:space="preserve"> ved oplyst I</t>
    </r>
    <r>
      <rPr>
        <vertAlign val="subscript"/>
        <sz val="11"/>
        <color theme="1"/>
        <rFont val="Calibri"/>
        <family val="2"/>
        <scheme val="minor"/>
      </rPr>
      <t>Kmax</t>
    </r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</si>
  <si>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Nmax</t>
    </r>
  </si>
  <si>
    <r>
      <t>Beregning af Z̅</t>
    </r>
    <r>
      <rPr>
        <vertAlign val="subscript"/>
        <sz val="11"/>
        <color theme="1"/>
        <rFont val="Calibri"/>
        <family val="2"/>
        <scheme val="minor"/>
      </rPr>
      <t>Nmin</t>
    </r>
    <r>
      <rPr>
        <sz val="11"/>
        <color theme="1"/>
        <rFont val="Calibri"/>
        <family val="2"/>
        <scheme val="minor"/>
      </rPr>
      <t xml:space="preserve"> ved oplyst IK</t>
    </r>
    <r>
      <rPr>
        <vertAlign val="subscript"/>
        <sz val="11"/>
        <color theme="1"/>
        <rFont val="Calibri"/>
        <family val="2"/>
        <scheme val="minor"/>
      </rPr>
      <t>min</t>
    </r>
  </si>
  <si>
    <r>
      <t xml:space="preserve"> Z̅</t>
    </r>
    <r>
      <rPr>
        <vertAlign val="subscript"/>
        <sz val="11"/>
        <color theme="1"/>
        <rFont val="Calibri"/>
        <family val="2"/>
        <scheme val="minor"/>
      </rPr>
      <t>Nmin</t>
    </r>
  </si>
  <si>
    <r>
      <rPr>
        <sz val="11"/>
        <color theme="1"/>
        <rFont val="Symbol"/>
        <family val="1"/>
        <charset val="2"/>
      </rPr>
      <t>Ð</t>
    </r>
    <r>
      <rPr>
        <sz val="11"/>
        <color theme="1"/>
        <rFont val="Calibri"/>
        <family val="2"/>
        <scheme val="minor"/>
      </rPr>
      <t xml:space="preserve"> cos</t>
    </r>
    <r>
      <rPr>
        <vertAlign val="superscript"/>
        <sz val="11"/>
        <color theme="1"/>
        <rFont val="Calibri"/>
        <family val="2"/>
        <scheme val="minor"/>
      </rPr>
      <t>-1</t>
    </r>
  </si>
  <si>
    <t>Husk overskrift, tegning og forklaring  (overskriv dette)</t>
  </si>
  <si>
    <r>
      <t xml:space="preserve"> I</t>
    </r>
    <r>
      <rPr>
        <vertAlign val="subscript"/>
        <sz val="11"/>
        <color theme="1"/>
        <rFont val="Calibri"/>
        <family val="2"/>
        <scheme val="minor"/>
      </rPr>
      <t>KminFN(PE)</t>
    </r>
  </si>
  <si>
    <t>kabelværdi er 70˚ C</t>
  </si>
  <si>
    <t>Kabelimpedanser  Z̅ er regnet på bilag</t>
  </si>
  <si>
    <t>n* er antal gange impedansen indgår i fejlkredsen</t>
  </si>
  <si>
    <t>Kabelimpedans id</t>
  </si>
  <si>
    <t>n*</t>
  </si>
  <si>
    <t xml:space="preserve"> Z̅ * n</t>
  </si>
  <si>
    <r>
      <t xml:space="preserve"> Summeret ∑Z̅</t>
    </r>
    <r>
      <rPr>
        <vertAlign val="subscript"/>
        <sz val="11"/>
        <color theme="1"/>
        <rFont val="Calibri"/>
        <family val="2"/>
      </rPr>
      <t>Kabel</t>
    </r>
  </si>
  <si>
    <r>
      <t>Beregning af Z̅</t>
    </r>
    <r>
      <rPr>
        <vertAlign val="subscript"/>
        <sz val="11"/>
        <color theme="1"/>
        <rFont val="Calibri"/>
        <family val="2"/>
        <scheme val="minor"/>
      </rPr>
      <t>N</t>
    </r>
  </si>
  <si>
    <r>
      <t>I</t>
    </r>
    <r>
      <rPr>
        <vertAlign val="subscript"/>
        <sz val="14"/>
        <color theme="1"/>
        <rFont val="Calibri"/>
        <family val="2"/>
        <scheme val="minor"/>
      </rPr>
      <t>Kmax3F</t>
    </r>
    <r>
      <rPr>
        <sz val="12"/>
        <color theme="1"/>
        <rFont val="Calibri"/>
        <family val="2"/>
        <scheme val="minor"/>
      </rPr>
      <t/>
    </r>
  </si>
  <si>
    <t>kabelværdier er 20˚C</t>
  </si>
  <si>
    <t>Impedansværdier 20 grader</t>
  </si>
  <si>
    <t>Impedansværdier 70 grader</t>
  </si>
  <si>
    <t>-W10</t>
  </si>
  <si>
    <t>Kabel id</t>
  </si>
  <si>
    <t>ƩΔU%</t>
  </si>
  <si>
    <t>∑IB</t>
  </si>
  <si>
    <t>Samtidhedsfaktor [sf]</t>
  </si>
  <si>
    <t>Udvidelsesfaktor [uf]</t>
  </si>
  <si>
    <t>3 harmonisk</t>
  </si>
  <si>
    <r>
      <rPr>
        <b/>
        <sz val="12"/>
        <color theme="1"/>
        <rFont val="Calibri"/>
        <family val="2"/>
      </rPr>
      <t>∑</t>
    </r>
    <r>
      <rPr>
        <b/>
        <sz val="12"/>
        <color theme="1"/>
        <rFont val="Calibri"/>
        <family val="2"/>
        <scheme val="minor"/>
      </rPr>
      <t>I</t>
    </r>
    <r>
      <rPr>
        <b/>
        <vertAlign val="subscript"/>
        <sz val="12"/>
        <color theme="1"/>
        <rFont val="Calibri"/>
        <family val="2"/>
        <scheme val="minor"/>
      </rPr>
      <t>Bkor</t>
    </r>
  </si>
  <si>
    <r>
      <rPr>
        <b/>
        <sz val="11"/>
        <color theme="1"/>
        <rFont val="Calibri"/>
        <family val="2"/>
      </rPr>
      <t>Strømme efter sf og uf  ∑I</t>
    </r>
    <r>
      <rPr>
        <b/>
        <vertAlign val="subscript"/>
        <sz val="11"/>
        <color theme="1"/>
        <rFont val="Calibri"/>
        <family val="2"/>
      </rPr>
      <t>Bkor</t>
    </r>
    <r>
      <rPr>
        <b/>
        <sz val="11"/>
        <color theme="1"/>
        <rFont val="Calibri"/>
        <family val="2"/>
      </rPr>
      <t xml:space="preserve"> = ∑</t>
    </r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 xml:space="preserve">B </t>
    </r>
    <r>
      <rPr>
        <b/>
        <sz val="11"/>
        <color theme="1"/>
        <rFont val="Calibri"/>
        <family val="2"/>
        <scheme val="minor"/>
      </rPr>
      <t>* sf * uf</t>
    </r>
  </si>
  <si>
    <r>
      <rPr>
        <b/>
        <sz val="11"/>
        <color theme="1"/>
        <rFont val="Calibri"/>
        <family val="2"/>
      </rPr>
      <t>Strømme efter sf og uf ∑I</t>
    </r>
    <r>
      <rPr>
        <b/>
        <vertAlign val="subscript"/>
        <sz val="11"/>
        <color theme="1"/>
        <rFont val="Calibri"/>
        <family val="2"/>
      </rPr>
      <t>Bkor</t>
    </r>
    <r>
      <rPr>
        <b/>
        <sz val="11"/>
        <color theme="1"/>
        <rFont val="Calibri"/>
        <family val="2"/>
      </rPr>
      <t xml:space="preserve"> = ∑</t>
    </r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 xml:space="preserve">B </t>
    </r>
    <r>
      <rPr>
        <b/>
        <sz val="11"/>
        <color theme="1"/>
        <rFont val="Calibri"/>
        <family val="2"/>
        <scheme val="minor"/>
      </rPr>
      <t>* sf * uf</t>
    </r>
  </si>
  <si>
    <r>
      <t>I</t>
    </r>
    <r>
      <rPr>
        <vertAlign val="subscript"/>
        <sz val="12"/>
        <color theme="1"/>
        <rFont val="Calibri"/>
        <family val="2"/>
        <scheme val="minor"/>
      </rPr>
      <t>B 3harm</t>
    </r>
    <r>
      <rPr>
        <sz val="12"/>
        <color theme="1"/>
        <rFont val="Calibri"/>
        <family val="2"/>
        <scheme val="minor"/>
      </rPr>
      <t xml:space="preserve"> * 100</t>
    </r>
  </si>
  <si>
    <r>
      <t>3 * I</t>
    </r>
    <r>
      <rPr>
        <vertAlign val="subscript"/>
        <sz val="11"/>
        <color theme="1"/>
        <rFont val="Calibri"/>
        <family val="2"/>
        <scheme val="minor"/>
      </rPr>
      <t>B</t>
    </r>
  </si>
  <si>
    <t>Hvis 3 harmoniske strømme er 0% til 15% faktor 1. 15% til 33% faktor 0,86 på faselederen</t>
  </si>
  <si>
    <r>
      <t xml:space="preserve"> I̅</t>
    </r>
    <r>
      <rPr>
        <vertAlign val="subscript"/>
        <sz val="14"/>
        <color theme="1"/>
        <rFont val="Calibri"/>
        <family val="2"/>
      </rPr>
      <t>B</t>
    </r>
  </si>
  <si>
    <r>
      <t xml:space="preserve"> Z̅</t>
    </r>
    <r>
      <rPr>
        <vertAlign val="subscript"/>
        <sz val="14"/>
        <color theme="1"/>
        <rFont val="Calibri"/>
        <family val="2"/>
      </rPr>
      <t>kabel</t>
    </r>
  </si>
  <si>
    <r>
      <t>ΔU̅</t>
    </r>
    <r>
      <rPr>
        <vertAlign val="subscript"/>
        <sz val="14"/>
        <color theme="1"/>
        <rFont val="Calibri"/>
        <family val="2"/>
      </rPr>
      <t>(1),(2)….</t>
    </r>
  </si>
  <si>
    <r>
      <t xml:space="preserve"> U</t>
    </r>
    <r>
      <rPr>
        <vertAlign val="subscript"/>
        <sz val="20"/>
        <color theme="1"/>
        <rFont val="Calibri"/>
        <family val="2"/>
      </rPr>
      <t>F</t>
    </r>
    <r>
      <rPr>
        <sz val="20"/>
        <color theme="1"/>
        <rFont val="Calibri"/>
        <family val="2"/>
      </rPr>
      <t xml:space="preserve"> -| U̅</t>
    </r>
    <r>
      <rPr>
        <vertAlign val="subscript"/>
        <sz val="20"/>
        <color theme="1"/>
        <rFont val="Calibri"/>
        <family val="2"/>
      </rPr>
      <t>F</t>
    </r>
    <r>
      <rPr>
        <sz val="20"/>
        <color theme="1"/>
        <rFont val="Calibri"/>
        <family val="2"/>
      </rPr>
      <t xml:space="preserve"> - ( I̅</t>
    </r>
    <r>
      <rPr>
        <vertAlign val="subscript"/>
        <sz val="20"/>
        <color theme="1"/>
        <rFont val="Calibri"/>
        <family val="2"/>
      </rPr>
      <t>B</t>
    </r>
    <r>
      <rPr>
        <sz val="20"/>
        <color theme="1"/>
        <rFont val="Calibri"/>
        <family val="2"/>
      </rPr>
      <t xml:space="preserve"> * Z̅</t>
    </r>
    <r>
      <rPr>
        <vertAlign val="subscript"/>
        <sz val="20"/>
        <color theme="1"/>
        <rFont val="Calibri"/>
        <family val="2"/>
      </rPr>
      <t xml:space="preserve">kabel </t>
    </r>
    <r>
      <rPr>
        <sz val="20"/>
        <color theme="1"/>
        <rFont val="Calibri"/>
        <family val="2"/>
      </rPr>
      <t>) |</t>
    </r>
  </si>
  <si>
    <r>
      <t>∑∆U</t>
    </r>
    <r>
      <rPr>
        <vertAlign val="subscript"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= U</t>
    </r>
    <r>
      <rPr>
        <vertAlign val="subscript"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-|U̅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- (∆U̅</t>
    </r>
    <r>
      <rPr>
        <vertAlign val="subscript"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+∆U̅</t>
    </r>
    <r>
      <rPr>
        <vertAlign val="subscript"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>+∆U̅</t>
    </r>
    <r>
      <rPr>
        <vertAlign val="subscript"/>
        <sz val="11"/>
        <color theme="1"/>
        <rFont val="Calibri"/>
        <family val="2"/>
        <scheme val="minor"/>
      </rPr>
      <t>(3)</t>
    </r>
    <r>
      <rPr>
        <sz val="11"/>
        <color theme="1"/>
        <rFont val="Calibri"/>
        <family val="2"/>
        <scheme val="minor"/>
      </rPr>
      <t>+osv.)|</t>
    </r>
  </si>
  <si>
    <t>Stjerne trekant</t>
  </si>
  <si>
    <t>230</t>
  </si>
  <si>
    <t>0</t>
  </si>
  <si>
    <t xml:space="preserve">Dahlandermotor </t>
  </si>
  <si>
    <r>
      <t>*</t>
    </r>
    <r>
      <rPr>
        <sz val="18"/>
        <color theme="1"/>
        <rFont val="Calibri"/>
        <family val="2"/>
        <scheme val="minor"/>
      </rPr>
      <t>(</t>
    </r>
  </si>
  <si>
    <r>
      <t xml:space="preserve"> Z̅</t>
    </r>
    <r>
      <rPr>
        <vertAlign val="subscript"/>
        <sz val="14"/>
        <color theme="1"/>
        <rFont val="Calibri"/>
        <family val="2"/>
        <scheme val="minor"/>
      </rPr>
      <t>høj</t>
    </r>
  </si>
  <si>
    <r>
      <t xml:space="preserve"> Z̅</t>
    </r>
    <r>
      <rPr>
        <vertAlign val="subscript"/>
        <sz val="14"/>
        <color theme="1"/>
        <rFont val="Calibri"/>
        <family val="2"/>
        <scheme val="minor"/>
      </rPr>
      <t>lav</t>
    </r>
  </si>
  <si>
    <t>Høj</t>
  </si>
  <si>
    <r>
      <rPr>
        <sz val="18"/>
        <color theme="1"/>
        <rFont val="Calibri"/>
        <family val="2"/>
        <scheme val="minor"/>
      </rPr>
      <t>)</t>
    </r>
    <r>
      <rPr>
        <sz val="20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</si>
  <si>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t>Lav</t>
  </si>
  <si>
    <t>Y / D</t>
  </si>
  <si>
    <t>Dahlander</t>
  </si>
  <si>
    <t>Ny z</t>
  </si>
  <si>
    <t>ny vinkel</t>
  </si>
  <si>
    <t>-W2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</si>
  <si>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</si>
  <si>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</si>
  <si>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</si>
  <si>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</si>
  <si>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</si>
  <si>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</si>
  <si>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</si>
  <si>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</si>
  <si>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</si>
  <si>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</si>
  <si>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r>
      <t>Z̅</t>
    </r>
    <r>
      <rPr>
        <vertAlign val="subscript"/>
        <sz val="14"/>
        <color theme="1"/>
        <rFont val="Calibri"/>
        <family val="2"/>
        <scheme val="minor"/>
      </rPr>
      <t>kabel</t>
    </r>
  </si>
  <si>
    <r>
      <t xml:space="preserve"> I̅</t>
    </r>
    <r>
      <rPr>
        <vertAlign val="subscript"/>
        <sz val="14"/>
        <color theme="1"/>
        <rFont val="Calibri"/>
        <family val="2"/>
        <scheme val="minor"/>
      </rPr>
      <t>B</t>
    </r>
  </si>
  <si>
    <r>
      <t>U̅</t>
    </r>
    <r>
      <rPr>
        <vertAlign val="subscript"/>
        <sz val="14"/>
        <color theme="1"/>
        <rFont val="Calibri"/>
        <family val="2"/>
        <scheme val="minor"/>
      </rPr>
      <t>F</t>
    </r>
  </si>
  <si>
    <r>
      <t>U</t>
    </r>
    <r>
      <rPr>
        <vertAlign val="subscript"/>
        <sz val="14"/>
        <color theme="1"/>
        <rFont val="Calibri"/>
        <family val="2"/>
        <scheme val="minor"/>
      </rPr>
      <t>F</t>
    </r>
  </si>
  <si>
    <r>
      <rPr>
        <sz val="18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=</t>
    </r>
  </si>
  <si>
    <t>L1,L2 og L3</t>
  </si>
  <si>
    <t>L1, L2 og L3</t>
  </si>
  <si>
    <t>* 100</t>
  </si>
  <si>
    <t>-W3</t>
  </si>
  <si>
    <t>-W4</t>
  </si>
  <si>
    <r>
      <t>*10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)</t>
    </r>
  </si>
  <si>
    <t>-W09.1</t>
  </si>
  <si>
    <t>-W09.2</t>
  </si>
  <si>
    <t>-W09.3</t>
  </si>
  <si>
    <t>-W09.4</t>
  </si>
  <si>
    <t>-W09.5</t>
  </si>
  <si>
    <t>-W09.6</t>
  </si>
  <si>
    <t>-W09.7</t>
  </si>
  <si>
    <t>-W09.8</t>
  </si>
  <si>
    <t>-W09.9</t>
  </si>
  <si>
    <t>-W09.10</t>
  </si>
  <si>
    <t>-W09.11</t>
  </si>
  <si>
    <t>-W09.12</t>
  </si>
  <si>
    <t>-W09.13</t>
  </si>
  <si>
    <t>-W09.14_20</t>
  </si>
  <si>
    <t>-W09.21_22</t>
  </si>
  <si>
    <t>-W09.23_25</t>
  </si>
  <si>
    <r>
      <t>I</t>
    </r>
    <r>
      <rPr>
        <vertAlign val="subscript"/>
        <sz val="14"/>
        <color theme="1"/>
        <rFont val="Calibri"/>
        <family val="2"/>
        <scheme val="minor"/>
      </rPr>
      <t>KFPE(N)</t>
    </r>
  </si>
  <si>
    <t>-E5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</si>
</sst>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#,##0.0000"/>
    <numFmt numFmtId="165" formatCode="\∠"/>
    <numFmt numFmtId="166" formatCode="0.0000"/>
    <numFmt numFmtId="167" formatCode="0.000"/>
    <numFmt numFmtId="168" formatCode="0.0"/>
    <numFmt numFmtId="169" formatCode="\(?.0\)"/>
    <numFmt numFmtId="170" formatCode="0.00\ \V"/>
    <numFmt numFmtId="171" formatCode="0.0\ \k\A"/>
    <numFmt numFmtId="172" formatCode="0.00\ \˚\Ω"/>
    <numFmt numFmtId="173" formatCode="0.00\ \˚"/>
    <numFmt numFmtId="174" formatCode="0.0000\ \Ω"/>
    <numFmt numFmtId="175" formatCode="&quot;*&quot;\ \(\ 0.0000"/>
    <numFmt numFmtId="176" formatCode="\+\ 0.0000"/>
    <numFmt numFmtId="177" formatCode="0.00\ \)"/>
    <numFmt numFmtId="178" formatCode="0.000\ \)"/>
    <numFmt numFmtId="179" formatCode="?\ \A"/>
    <numFmt numFmtId="180" formatCode="0.000\ \˚\Ω"/>
    <numFmt numFmtId="181" formatCode="0.00\+"/>
    <numFmt numFmtId="182" formatCode="0\ \)\ \-\ \("/>
    <numFmt numFmtId="183" formatCode="?&quot;)&quot;\ &quot;*&quot;"/>
    <numFmt numFmtId="184" formatCode="0.00\ \k\A"/>
    <numFmt numFmtId="185" formatCode="\(\ 0.0000"/>
    <numFmt numFmtId="186" formatCode="0\ \A"/>
    <numFmt numFmtId="187" formatCode="0.0\A"/>
    <numFmt numFmtId="188" formatCode="&quot;*&quot;\ 0.00"/>
    <numFmt numFmtId="189" formatCode="0.0\ \˚"/>
    <numFmt numFmtId="190" formatCode="0.00\ \˚\A"/>
    <numFmt numFmtId="191" formatCode="&quot;1,5 *&quot;\ 0.0000"/>
    <numFmt numFmtId="192" formatCode="\J\ 0.0000"/>
    <numFmt numFmtId="193" formatCode="0\ \V"/>
    <numFmt numFmtId="194" formatCode="\-\ \ \ \(\ ?"/>
    <numFmt numFmtId="195" formatCode="0.0%"/>
    <numFmt numFmtId="196" formatCode="General\ &quot;*&quot;"/>
    <numFmt numFmtId="197" formatCode="&quot;*&quot;\ 0"/>
    <numFmt numFmtId="198" formatCode="\-0.00"/>
    <numFmt numFmtId="199" formatCode="&quot;-&quot;\ 0.00"/>
    <numFmt numFmtId="200" formatCode="0.00\˚\ \V"/>
  </numFmts>
  <fonts count="57" x14ac:knownFonts="1">
    <font>
      <sz val="11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</font>
    <font>
      <sz val="20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i/>
      <sz val="11"/>
      <color theme="1"/>
      <name val="Calibri"/>
      <family val="2"/>
    </font>
    <font>
      <sz val="14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</font>
    <font>
      <sz val="125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Wingdings"/>
      <charset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vertAlign val="subscript"/>
      <sz val="12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bscript"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sz val="14"/>
      <color theme="1"/>
      <name val="Calibri"/>
      <family val="2"/>
    </font>
    <font>
      <vertAlign val="subscript"/>
      <sz val="20"/>
      <color theme="1"/>
      <name val="Calibri"/>
      <family val="2"/>
    </font>
    <font>
      <vertAlign val="subscript"/>
      <sz val="14"/>
      <color theme="1"/>
      <name val="Calibri"/>
      <family val="2"/>
    </font>
    <font>
      <sz val="9"/>
      <color indexed="81"/>
      <name val="Tahoma"/>
    </font>
    <font>
      <b/>
      <sz val="9"/>
      <color indexed="81"/>
      <name val="Tahoma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1412">
    <xf numFmtId="0" fontId="0" fillId="0" borderId="0" xfId="0"/>
    <xf numFmtId="0" fontId="0" fillId="0" borderId="7" xfId="0" applyBorder="1" applyAlignment="1"/>
    <xf numFmtId="0" fontId="0" fillId="0" borderId="10" xfId="0" applyBorder="1" applyProtection="1">
      <protection hidden="1"/>
    </xf>
    <xf numFmtId="0" fontId="0" fillId="0" borderId="11" xfId="0" applyFont="1" applyBorder="1" applyProtection="1">
      <protection hidden="1"/>
    </xf>
    <xf numFmtId="0" fontId="0" fillId="0" borderId="11" xfId="0" applyBorder="1" applyProtection="1">
      <protection hidden="1"/>
    </xf>
    <xf numFmtId="0" fontId="0" fillId="0" borderId="10" xfId="0" applyFill="1" applyBorder="1" applyProtection="1">
      <protection hidden="1"/>
    </xf>
    <xf numFmtId="0" fontId="0" fillId="0" borderId="10" xfId="0" applyFont="1" applyBorder="1" applyProtection="1">
      <protection hidden="1"/>
    </xf>
    <xf numFmtId="0" fontId="0" fillId="0" borderId="12" xfId="0" applyBorder="1" applyProtection="1">
      <protection hidden="1"/>
    </xf>
    <xf numFmtId="0" fontId="0" fillId="0" borderId="12" xfId="0" applyBorder="1"/>
    <xf numFmtId="0" fontId="0" fillId="0" borderId="13" xfId="0" applyBorder="1" applyProtection="1">
      <protection hidden="1"/>
    </xf>
    <xf numFmtId="0" fontId="0" fillId="0" borderId="13" xfId="0" applyBorder="1"/>
    <xf numFmtId="0" fontId="0" fillId="0" borderId="0" xfId="0" applyBorder="1"/>
    <xf numFmtId="0" fontId="0" fillId="0" borderId="5" xfId="0" applyBorder="1"/>
    <xf numFmtId="0" fontId="0" fillId="2" borderId="0" xfId="0" applyFill="1"/>
    <xf numFmtId="0" fontId="0" fillId="2" borderId="15" xfId="0" applyFill="1" applyBorder="1"/>
    <xf numFmtId="0" fontId="0" fillId="0" borderId="17" xfId="0" applyFill="1" applyBorder="1" applyProtection="1">
      <protection hidden="1"/>
    </xf>
    <xf numFmtId="0" fontId="0" fillId="0" borderId="17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3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/>
    <xf numFmtId="164" fontId="0" fillId="2" borderId="0" xfId="0" applyNumberFormat="1" applyFill="1"/>
    <xf numFmtId="4" fontId="0" fillId="2" borderId="0" xfId="0" applyNumberFormat="1" applyFill="1"/>
    <xf numFmtId="0" fontId="0" fillId="0" borderId="0" xfId="0" applyFill="1"/>
    <xf numFmtId="0" fontId="0" fillId="0" borderId="0" xfId="0" applyFill="1" applyAlignment="1"/>
    <xf numFmtId="0" fontId="4" fillId="0" borderId="31" xfId="0" applyFont="1" applyBorder="1"/>
    <xf numFmtId="0" fontId="4" fillId="0" borderId="20" xfId="0" applyFont="1" applyBorder="1"/>
    <xf numFmtId="0" fontId="4" fillId="0" borderId="14" xfId="0" applyFont="1" applyBorder="1"/>
    <xf numFmtId="0" fontId="0" fillId="0" borderId="0" xfId="0" applyFill="1" applyBorder="1" applyAlignment="1" applyProtection="1">
      <alignment vertical="center" wrapText="1"/>
      <protection hidden="1"/>
    </xf>
    <xf numFmtId="0" fontId="0" fillId="0" borderId="44" xfId="0" applyBorder="1" applyProtection="1">
      <protection hidden="1"/>
    </xf>
    <xf numFmtId="0" fontId="0" fillId="0" borderId="44" xfId="0" applyBorder="1"/>
    <xf numFmtId="0" fontId="0" fillId="0" borderId="0" xfId="0" applyBorder="1" applyProtection="1">
      <protection hidden="1"/>
    </xf>
    <xf numFmtId="0" fontId="0" fillId="0" borderId="0" xfId="0" applyFill="1" applyBorder="1" applyProtection="1">
      <protection hidden="1"/>
    </xf>
    <xf numFmtId="0" fontId="0" fillId="0" borderId="0" xfId="0" applyFill="1" applyBorder="1"/>
    <xf numFmtId="0" fontId="3" fillId="0" borderId="0" xfId="0" applyFont="1" applyBorder="1" applyAlignment="1">
      <alignment textRotation="90" wrapText="1"/>
    </xf>
    <xf numFmtId="0" fontId="4" fillId="0" borderId="5" xfId="0" applyFont="1" applyBorder="1"/>
    <xf numFmtId="0" fontId="0" fillId="0" borderId="0" xfId="0"/>
    <xf numFmtId="0" fontId="0" fillId="4" borderId="0" xfId="0" applyFill="1" applyAlignment="1">
      <alignment horizontal="center"/>
    </xf>
    <xf numFmtId="0" fontId="0" fillId="0" borderId="0" xfId="0"/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0" borderId="18" xfId="0" applyFont="1" applyBorder="1" applyAlignment="1">
      <alignment textRotation="90" wrapText="1"/>
    </xf>
    <xf numFmtId="0" fontId="3" fillId="0" borderId="19" xfId="0" applyFont="1" applyBorder="1" applyAlignment="1">
      <alignment textRotation="90" wrapText="1"/>
    </xf>
    <xf numFmtId="0" fontId="3" fillId="0" borderId="21" xfId="0" applyFont="1" applyBorder="1" applyAlignment="1">
      <alignment textRotation="90" wrapText="1"/>
    </xf>
    <xf numFmtId="166" fontId="0" fillId="0" borderId="12" xfId="0" applyNumberFormat="1" applyBorder="1"/>
    <xf numFmtId="166" fontId="0" fillId="0" borderId="13" xfId="0" applyNumberFormat="1" applyBorder="1"/>
    <xf numFmtId="166" fontId="0" fillId="0" borderId="12" xfId="0" applyNumberFormat="1" applyBorder="1" applyProtection="1">
      <protection hidden="1"/>
    </xf>
    <xf numFmtId="166" fontId="0" fillId="0" borderId="13" xfId="0" applyNumberFormat="1" applyBorder="1" applyProtection="1">
      <protection hidden="1"/>
    </xf>
    <xf numFmtId="0" fontId="11" fillId="0" borderId="0" xfId="0" applyFont="1" applyFill="1" applyAlignment="1"/>
    <xf numFmtId="0" fontId="4" fillId="0" borderId="7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33" xfId="0" applyFont="1" applyBorder="1"/>
    <xf numFmtId="0" fontId="4" fillId="0" borderId="3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0" xfId="0" applyFont="1" applyBorder="1"/>
    <xf numFmtId="0" fontId="0" fillId="4" borderId="0" xfId="0" applyFill="1" applyAlignment="1"/>
    <xf numFmtId="0" fontId="0" fillId="4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4" fillId="0" borderId="2" xfId="0" applyFont="1" applyBorder="1" applyAlignment="1"/>
    <xf numFmtId="0" fontId="4" fillId="0" borderId="5" xfId="0" applyFont="1" applyBorder="1" applyAlignment="1"/>
    <xf numFmtId="0" fontId="4" fillId="0" borderId="5" xfId="0" applyFont="1" applyBorder="1" applyAlignment="1">
      <alignment horizontal="center" vertical="top"/>
    </xf>
    <xf numFmtId="0" fontId="4" fillId="0" borderId="3" xfId="0" applyFont="1" applyBorder="1" applyAlignment="1"/>
    <xf numFmtId="0" fontId="4" fillId="0" borderId="6" xfId="0" applyFont="1" applyBorder="1" applyAlignment="1"/>
    <xf numFmtId="0" fontId="0" fillId="0" borderId="0" xfId="0" applyBorder="1" applyAlignment="1"/>
    <xf numFmtId="49" fontId="0" fillId="0" borderId="0" xfId="0" applyNumberFormat="1" applyBorder="1" applyAlignment="1"/>
    <xf numFmtId="0" fontId="0" fillId="0" borderId="18" xfId="0" applyNumberFormat="1" applyBorder="1" applyAlignment="1"/>
    <xf numFmtId="0" fontId="4" fillId="0" borderId="9" xfId="0" applyFont="1" applyBorder="1" applyAlignment="1">
      <alignment horizontal="center"/>
    </xf>
    <xf numFmtId="0" fontId="0" fillId="0" borderId="5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/>
    <xf numFmtId="49" fontId="0" fillId="0" borderId="0" xfId="0" applyNumberForma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0" fontId="0" fillId="0" borderId="7" xfId="0" applyBorder="1"/>
    <xf numFmtId="0" fontId="7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0" fillId="0" borderId="47" xfId="0" applyFill="1" applyBorder="1"/>
    <xf numFmtId="0" fontId="0" fillId="0" borderId="20" xfId="0" applyFill="1" applyBorder="1"/>
    <xf numFmtId="0" fontId="0" fillId="0" borderId="20" xfId="0" applyBorder="1"/>
    <xf numFmtId="0" fontId="0" fillId="0" borderId="39" xfId="0" applyFill="1" applyBorder="1"/>
    <xf numFmtId="0" fontId="0" fillId="0" borderId="14" xfId="0" applyFill="1" applyBorder="1"/>
    <xf numFmtId="0" fontId="2" fillId="0" borderId="50" xfId="0" applyFont="1" applyFill="1" applyBorder="1" applyAlignment="1">
      <alignment horizontal="center" vertical="center"/>
    </xf>
    <xf numFmtId="0" fontId="2" fillId="0" borderId="50" xfId="0" applyFont="1" applyFill="1" applyBorder="1"/>
    <xf numFmtId="0" fontId="0" fillId="0" borderId="50" xfId="0" applyFill="1" applyBorder="1"/>
    <xf numFmtId="0" fontId="2" fillId="0" borderId="14" xfId="0" applyFont="1" applyFill="1" applyBorder="1"/>
    <xf numFmtId="0" fontId="2" fillId="0" borderId="20" xfId="0" applyFont="1" applyFill="1" applyBorder="1" applyAlignment="1">
      <alignment horizontal="center"/>
    </xf>
    <xf numFmtId="0" fontId="2" fillId="0" borderId="20" xfId="0" applyFont="1" applyFill="1" applyBorder="1"/>
    <xf numFmtId="0" fontId="0" fillId="0" borderId="50" xfId="0" applyFill="1" applyBorder="1" applyAlignment="1"/>
    <xf numFmtId="0" fontId="0" fillId="0" borderId="20" xfId="0" applyFill="1" applyBorder="1" applyAlignment="1">
      <alignment vertical="center"/>
    </xf>
    <xf numFmtId="0" fontId="0" fillId="0" borderId="51" xfId="0" applyFill="1" applyBorder="1" applyAlignment="1">
      <alignment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49" fontId="0" fillId="0" borderId="20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right" vertical="center"/>
    </xf>
    <xf numFmtId="0" fontId="0" fillId="0" borderId="20" xfId="0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19" fillId="0" borderId="0" xfId="0" applyNumberFormat="1" applyFont="1" applyFill="1" applyBorder="1" applyAlignment="1">
      <alignment horizontal="center" vertical="center"/>
    </xf>
    <xf numFmtId="49" fontId="19" fillId="0" borderId="5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4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37" xfId="0" applyBorder="1" applyAlignment="1">
      <alignment horizontal="center" vertical="center"/>
    </xf>
    <xf numFmtId="0" fontId="17" fillId="0" borderId="0" xfId="0" applyFont="1"/>
    <xf numFmtId="0" fontId="17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/>
    <xf numFmtId="0" fontId="0" fillId="0" borderId="0" xfId="0" applyNumberFormat="1" applyAlignment="1"/>
    <xf numFmtId="0" fontId="0" fillId="0" borderId="37" xfId="0" applyBorder="1"/>
    <xf numFmtId="0" fontId="0" fillId="0" borderId="0" xfId="0" applyBorder="1" applyAlignment="1">
      <alignment vertical="center"/>
    </xf>
    <xf numFmtId="0" fontId="0" fillId="0" borderId="0" xfId="0" applyAlignment="1"/>
    <xf numFmtId="0" fontId="24" fillId="0" borderId="0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/>
    <xf numFmtId="0" fontId="24" fillId="0" borderId="0" xfId="0" applyFont="1" applyBorder="1" applyAlignment="1">
      <alignment vertical="center"/>
    </xf>
    <xf numFmtId="0" fontId="0" fillId="0" borderId="0" xfId="0" applyBorder="1" applyAlignment="1">
      <alignment vertical="top"/>
    </xf>
    <xf numFmtId="0" fontId="7" fillId="0" borderId="0" xfId="0" applyFont="1"/>
    <xf numFmtId="0" fontId="24" fillId="0" borderId="19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Border="1" applyAlignment="1">
      <alignment horizontal="center" vertical="center"/>
    </xf>
    <xf numFmtId="0" fontId="9" fillId="0" borderId="0" xfId="0" applyFont="1"/>
    <xf numFmtId="0" fontId="0" fillId="0" borderId="2" xfId="0" applyFill="1" applyBorder="1"/>
    <xf numFmtId="0" fontId="0" fillId="0" borderId="50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0" fillId="4" borderId="15" xfId="0" applyFill="1" applyBorder="1" applyProtection="1">
      <protection locked="0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69" fontId="0" fillId="0" borderId="0" xfId="0" applyNumberFormat="1"/>
    <xf numFmtId="0" fontId="24" fillId="0" borderId="0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left" vertical="center"/>
    </xf>
    <xf numFmtId="180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NumberFormat="1"/>
    <xf numFmtId="175" fontId="4" fillId="0" borderId="0" xfId="0" applyNumberFormat="1" applyFont="1" applyBorder="1" applyAlignment="1">
      <alignment vertical="center"/>
    </xf>
    <xf numFmtId="179" fontId="0" fillId="0" borderId="0" xfId="0" applyNumberFormat="1" applyFont="1" applyAlignment="1">
      <alignment vertical="center"/>
    </xf>
    <xf numFmtId="0" fontId="0" fillId="0" borderId="0" xfId="0" applyFont="1" applyBorder="1"/>
    <xf numFmtId="0" fontId="0" fillId="0" borderId="5" xfId="0" applyFont="1" applyBorder="1"/>
    <xf numFmtId="49" fontId="0" fillId="0" borderId="14" xfId="0" applyNumberFormat="1" applyFill="1" applyBorder="1" applyAlignment="1">
      <alignment horizontal="center" vertical="center"/>
    </xf>
    <xf numFmtId="49" fontId="0" fillId="0" borderId="20" xfId="0" applyNumberForma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37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7" fillId="0" borderId="0" xfId="0" applyFont="1" applyFill="1" applyBorder="1"/>
    <xf numFmtId="49" fontId="0" fillId="0" borderId="13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16" fillId="5" borderId="7" xfId="0" applyFont="1" applyFill="1" applyBorder="1" applyAlignment="1"/>
    <xf numFmtId="0" fontId="16" fillId="5" borderId="9" xfId="0" applyFont="1" applyFill="1" applyBorder="1" applyAlignment="1"/>
    <xf numFmtId="0" fontId="9" fillId="5" borderId="7" xfId="0" applyFont="1" applyFill="1" applyBorder="1" applyAlignment="1"/>
    <xf numFmtId="0" fontId="9" fillId="5" borderId="9" xfId="0" applyFont="1" applyFill="1" applyBorder="1" applyAlignment="1"/>
    <xf numFmtId="49" fontId="0" fillId="0" borderId="19" xfId="0" applyNumberFormat="1" applyBorder="1" applyAlignment="1"/>
    <xf numFmtId="0" fontId="0" fillId="0" borderId="8" xfId="0" applyBorder="1"/>
    <xf numFmtId="0" fontId="0" fillId="0" borderId="10" xfId="0" applyBorder="1"/>
    <xf numFmtId="49" fontId="0" fillId="0" borderId="35" xfId="0" applyNumberFormat="1" applyFill="1" applyBorder="1" applyAlignment="1">
      <alignment horizontal="left"/>
    </xf>
    <xf numFmtId="0" fontId="0" fillId="0" borderId="14" xfId="0" applyNumberFormat="1" applyBorder="1" applyAlignment="1"/>
    <xf numFmtId="0" fontId="0" fillId="0" borderId="0" xfId="0" applyNumberFormat="1" applyBorder="1" applyAlignment="1"/>
    <xf numFmtId="0" fontId="0" fillId="0" borderId="19" xfId="0" applyNumberFormat="1" applyBorder="1" applyAlignment="1"/>
    <xf numFmtId="166" fontId="0" fillId="0" borderId="0" xfId="0" applyNumberFormat="1"/>
    <xf numFmtId="0" fontId="2" fillId="0" borderId="51" xfId="0" applyFont="1" applyFill="1" applyBorder="1" applyAlignment="1"/>
    <xf numFmtId="0" fontId="0" fillId="0" borderId="51" xfId="0" applyFill="1" applyBorder="1" applyAlignment="1">
      <alignment horizontal="center" vertical="center"/>
    </xf>
    <xf numFmtId="0" fontId="28" fillId="0" borderId="0" xfId="0" applyFont="1"/>
    <xf numFmtId="0" fontId="0" fillId="0" borderId="0" xfId="0" applyFill="1" applyBorder="1" applyAlignment="1">
      <alignment vertical="center"/>
    </xf>
    <xf numFmtId="0" fontId="0" fillId="0" borderId="32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0" xfId="0" applyFill="1" applyBorder="1"/>
    <xf numFmtId="0" fontId="0" fillId="0" borderId="31" xfId="0" applyFill="1" applyBorder="1"/>
    <xf numFmtId="0" fontId="0" fillId="0" borderId="47" xfId="0" applyBorder="1"/>
    <xf numFmtId="0" fontId="0" fillId="0" borderId="0" xfId="0" applyFill="1" applyBorder="1" applyAlignment="1">
      <alignment horizontal="left"/>
    </xf>
    <xf numFmtId="0" fontId="29" fillId="0" borderId="0" xfId="0" applyFont="1" applyFill="1" applyBorder="1"/>
    <xf numFmtId="0" fontId="24" fillId="0" borderId="0" xfId="0" applyFont="1"/>
    <xf numFmtId="0" fontId="30" fillId="0" borderId="0" xfId="0" applyFont="1"/>
    <xf numFmtId="0" fontId="0" fillId="0" borderId="15" xfId="0" applyBorder="1"/>
    <xf numFmtId="0" fontId="0" fillId="0" borderId="28" xfId="0" applyBorder="1" applyAlignment="1">
      <alignment horizontal="center"/>
    </xf>
    <xf numFmtId="49" fontId="30" fillId="4" borderId="0" xfId="0" applyNumberFormat="1" applyFont="1" applyFill="1"/>
    <xf numFmtId="0" fontId="0" fillId="0" borderId="54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9" fontId="30" fillId="0" borderId="0" xfId="0" applyNumberFormat="1" applyFont="1" applyFill="1"/>
    <xf numFmtId="0" fontId="7" fillId="0" borderId="0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/>
    </xf>
    <xf numFmtId="0" fontId="24" fillId="0" borderId="0" xfId="0" applyFont="1" applyBorder="1"/>
    <xf numFmtId="0" fontId="7" fillId="0" borderId="5" xfId="0" applyNumberFormat="1" applyFont="1" applyBorder="1" applyAlignment="1">
      <alignment horizontal="left"/>
    </xf>
    <xf numFmtId="0" fontId="0" fillId="0" borderId="24" xfId="0" applyBorder="1" applyAlignment="1"/>
    <xf numFmtId="2" fontId="0" fillId="0" borderId="26" xfId="0" applyNumberFormat="1" applyBorder="1" applyAlignment="1"/>
    <xf numFmtId="2" fontId="0" fillId="0" borderId="53" xfId="0" applyNumberFormat="1" applyBorder="1" applyAlignment="1"/>
    <xf numFmtId="1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2" xfId="0" applyBorder="1" applyAlignment="1"/>
    <xf numFmtId="0" fontId="0" fillId="0" borderId="54" xfId="0" applyBorder="1" applyAlignment="1"/>
    <xf numFmtId="49" fontId="5" fillId="0" borderId="19" xfId="0" applyNumberFormat="1" applyFont="1" applyFill="1" applyBorder="1" applyAlignment="1">
      <alignment vertical="center"/>
    </xf>
    <xf numFmtId="49" fontId="5" fillId="0" borderId="20" xfId="0" applyNumberFormat="1" applyFont="1" applyFill="1" applyBorder="1" applyAlignment="1">
      <alignment vertical="center"/>
    </xf>
    <xf numFmtId="49" fontId="5" fillId="0" borderId="21" xfId="0" applyNumberFormat="1" applyFont="1" applyFill="1" applyBorder="1" applyAlignment="1">
      <alignment vertical="center"/>
    </xf>
    <xf numFmtId="0" fontId="5" fillId="0" borderId="28" xfId="0" applyFont="1" applyBorder="1"/>
    <xf numFmtId="0" fontId="0" fillId="0" borderId="2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0" xfId="0" applyBorder="1" applyAlignment="1">
      <alignment horizontal="right"/>
    </xf>
    <xf numFmtId="0" fontId="37" fillId="0" borderId="0" xfId="0" applyFont="1"/>
    <xf numFmtId="0" fontId="37" fillId="0" borderId="0" xfId="0" applyFont="1" applyAlignment="1"/>
    <xf numFmtId="0" fontId="36" fillId="0" borderId="0" xfId="0" applyFont="1" applyAlignment="1"/>
    <xf numFmtId="2" fontId="0" fillId="0" borderId="0" xfId="0" applyNumberFormat="1" applyAlignment="1"/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/>
    </xf>
    <xf numFmtId="0" fontId="1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right" vertical="center" wrapText="1"/>
    </xf>
    <xf numFmtId="0" fontId="36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90" fontId="0" fillId="0" borderId="0" xfId="0" applyNumberFormat="1" applyAlignment="1">
      <alignment horizontal="left" vertical="center"/>
    </xf>
    <xf numFmtId="173" fontId="0" fillId="0" borderId="0" xfId="0" applyNumberFormat="1" applyAlignment="1">
      <alignment horizontal="center"/>
    </xf>
    <xf numFmtId="0" fontId="23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6" fillId="0" borderId="0" xfId="0" applyFont="1" applyAlignment="1">
      <alignment horizontal="center"/>
    </xf>
    <xf numFmtId="2" fontId="0" fillId="0" borderId="0" xfId="0" applyNumberFormat="1" applyAlignment="1">
      <alignment horizontal="left"/>
    </xf>
    <xf numFmtId="166" fontId="4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0" fontId="0" fillId="4" borderId="15" xfId="0" applyFill="1" applyBorder="1"/>
    <xf numFmtId="190" fontId="0" fillId="0" borderId="0" xfId="0" applyNumberFormat="1" applyFill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87" fontId="0" fillId="0" borderId="0" xfId="0" applyNumberForma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0" fillId="0" borderId="2" xfId="0" applyNumberFormat="1" applyBorder="1" applyAlignment="1"/>
    <xf numFmtId="0" fontId="4" fillId="0" borderId="2" xfId="0" applyFont="1" applyBorder="1"/>
    <xf numFmtId="0" fontId="0" fillId="0" borderId="54" xfId="0" applyNumberFormat="1" applyBorder="1" applyAlignment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6" xfId="0" applyBorder="1"/>
    <xf numFmtId="0" fontId="7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right"/>
    </xf>
    <xf numFmtId="2" fontId="0" fillId="0" borderId="0" xfId="0" applyNumberFormat="1" applyBorder="1" applyAlignment="1"/>
    <xf numFmtId="0" fontId="0" fillId="0" borderId="5" xfId="0" applyBorder="1" applyAlignment="1"/>
    <xf numFmtId="0" fontId="0" fillId="7" borderId="0" xfId="0" applyFill="1"/>
    <xf numFmtId="0" fontId="7" fillId="0" borderId="5" xfId="0" applyNumberFormat="1" applyFont="1" applyBorder="1" applyAlignment="1">
      <alignment horizontal="center"/>
    </xf>
    <xf numFmtId="0" fontId="0" fillId="7" borderId="0" xfId="0" applyFill="1" applyBorder="1"/>
    <xf numFmtId="0" fontId="0" fillId="0" borderId="0" xfId="0" applyAlignment="1">
      <alignment horizontal="center"/>
    </xf>
    <xf numFmtId="0" fontId="0" fillId="0" borderId="16" xfId="0" applyBorder="1"/>
    <xf numFmtId="0" fontId="0" fillId="0" borderId="0" xfId="0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93" fontId="0" fillId="0" borderId="2" xfId="0" applyNumberForma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2" fontId="0" fillId="0" borderId="0" xfId="0" applyNumberFormat="1" applyFill="1" applyBorder="1" applyAlignment="1"/>
    <xf numFmtId="187" fontId="0" fillId="0" borderId="0" xfId="0" applyNumberFormat="1" applyFill="1" applyBorder="1" applyAlignment="1">
      <alignment vertical="center"/>
    </xf>
    <xf numFmtId="0" fontId="0" fillId="0" borderId="0" xfId="0"/>
    <xf numFmtId="0" fontId="2" fillId="8" borderId="1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/>
    </xf>
    <xf numFmtId="49" fontId="0" fillId="8" borderId="50" xfId="0" applyNumberFormat="1" applyFill="1" applyBorder="1" applyAlignment="1">
      <alignment horizontal="center" vertical="center"/>
    </xf>
    <xf numFmtId="0" fontId="2" fillId="8" borderId="50" xfId="0" applyFont="1" applyFill="1" applyBorder="1" applyAlignment="1">
      <alignment horizontal="center"/>
    </xf>
    <xf numFmtId="0" fontId="2" fillId="8" borderId="50" xfId="0" applyFont="1" applyFill="1" applyBorder="1"/>
    <xf numFmtId="0" fontId="2" fillId="8" borderId="14" xfId="0" applyFont="1" applyFill="1" applyBorder="1"/>
    <xf numFmtId="0" fontId="2" fillId="8" borderId="14" xfId="0" applyFont="1" applyFill="1" applyBorder="1" applyAlignment="1">
      <alignment horizontal="right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/>
    </xf>
    <xf numFmtId="49" fontId="0" fillId="8" borderId="20" xfId="0" applyNumberFormat="1" applyFill="1" applyBorder="1" applyAlignment="1">
      <alignment horizontal="right" vertical="center"/>
    </xf>
    <xf numFmtId="0" fontId="0" fillId="8" borderId="0" xfId="0" applyFill="1" applyAlignment="1">
      <alignment vertical="center"/>
    </xf>
    <xf numFmtId="0" fontId="2" fillId="8" borderId="20" xfId="0" applyFont="1" applyFill="1" applyBorder="1"/>
    <xf numFmtId="0" fontId="2" fillId="8" borderId="51" xfId="0" applyFont="1" applyFill="1" applyBorder="1" applyAlignment="1"/>
    <xf numFmtId="0" fontId="0" fillId="8" borderId="20" xfId="0" applyFill="1" applyBorder="1"/>
    <xf numFmtId="0" fontId="2" fillId="8" borderId="20" xfId="0" applyFont="1" applyFill="1" applyBorder="1" applyAlignment="1">
      <alignment horizontal="right" vertical="center"/>
    </xf>
    <xf numFmtId="0" fontId="0" fillId="8" borderId="0" xfId="0" applyFill="1" applyBorder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right"/>
    </xf>
    <xf numFmtId="0" fontId="17" fillId="8" borderId="0" xfId="0" applyFont="1" applyFill="1" applyAlignment="1">
      <alignment horizontal="center"/>
    </xf>
    <xf numFmtId="190" fontId="0" fillId="8" borderId="0" xfId="0" applyNumberFormat="1" applyFill="1" applyAlignment="1">
      <alignment horizontal="left"/>
    </xf>
    <xf numFmtId="0" fontId="0" fillId="8" borderId="0" xfId="0" applyFill="1"/>
    <xf numFmtId="0" fontId="36" fillId="8" borderId="0" xfId="0" applyFont="1" applyFill="1" applyAlignment="1">
      <alignment horizontal="center"/>
    </xf>
    <xf numFmtId="0" fontId="37" fillId="8" borderId="0" xfId="0" applyFont="1" applyFill="1"/>
    <xf numFmtId="2" fontId="0" fillId="8" borderId="0" xfId="0" applyNumberFormat="1" applyFill="1" applyAlignment="1">
      <alignment horizontal="left"/>
    </xf>
    <xf numFmtId="0" fontId="0" fillId="8" borderId="0" xfId="0" applyFont="1" applyFill="1" applyAlignment="1">
      <alignment vertical="center"/>
    </xf>
    <xf numFmtId="0" fontId="36" fillId="8" borderId="0" xfId="0" applyFont="1" applyFill="1" applyAlignment="1">
      <alignment vertical="center"/>
    </xf>
    <xf numFmtId="190" fontId="0" fillId="8" borderId="20" xfId="0" applyNumberFormat="1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/>
    <xf numFmtId="2" fontId="0" fillId="0" borderId="0" xfId="0" applyNumberFormat="1" applyBorder="1" applyAlignment="1">
      <alignment horizontal="center"/>
    </xf>
    <xf numFmtId="0" fontId="0" fillId="0" borderId="60" xfId="0" applyBorder="1"/>
    <xf numFmtId="0" fontId="0" fillId="0" borderId="64" xfId="0" applyBorder="1"/>
    <xf numFmtId="0" fontId="0" fillId="6" borderId="2" xfId="0" applyFill="1" applyBorder="1" applyAlignment="1"/>
    <xf numFmtId="0" fontId="0" fillId="6" borderId="15" xfId="0" applyFill="1" applyBorder="1" applyAlignment="1"/>
    <xf numFmtId="0" fontId="0" fillId="6" borderId="0" xfId="0" applyFill="1" applyBorder="1" applyAlignment="1"/>
    <xf numFmtId="0" fontId="0" fillId="6" borderId="4" xfId="0" applyFill="1" applyBorder="1" applyAlignment="1"/>
    <xf numFmtId="0" fontId="0" fillId="6" borderId="5" xfId="0" applyFill="1" applyBorder="1" applyAlignment="1"/>
    <xf numFmtId="0" fontId="0" fillId="0" borderId="0" xfId="0" applyAlignment="1">
      <alignment horizontal="right"/>
    </xf>
    <xf numFmtId="0" fontId="0" fillId="0" borderId="37" xfId="0" applyBorder="1"/>
    <xf numFmtId="0" fontId="0" fillId="0" borderId="0" xfId="0"/>
    <xf numFmtId="0" fontId="0" fillId="0" borderId="0" xfId="0" applyAlignment="1">
      <alignment horizontal="left"/>
    </xf>
    <xf numFmtId="186" fontId="0" fillId="0" borderId="0" xfId="0" applyNumberFormat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0" fillId="0" borderId="0" xfId="0" applyAlignment="1">
      <alignment textRotation="90"/>
    </xf>
    <xf numFmtId="0" fontId="42" fillId="0" borderId="0" xfId="0" applyFont="1" applyBorder="1" applyAlignment="1"/>
    <xf numFmtId="0" fontId="0" fillId="0" borderId="0" xfId="0"/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0" xfId="0" applyFill="1" applyBorder="1"/>
    <xf numFmtId="0" fontId="0" fillId="0" borderId="5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7" xfId="0" applyBorder="1"/>
    <xf numFmtId="0" fontId="0" fillId="0" borderId="47" xfId="0" applyFill="1" applyBorder="1"/>
    <xf numFmtId="0" fontId="0" fillId="0" borderId="20" xfId="0" applyFill="1" applyBorder="1"/>
    <xf numFmtId="0" fontId="0" fillId="0" borderId="20" xfId="0" applyBorder="1"/>
    <xf numFmtId="0" fontId="9" fillId="0" borderId="15" xfId="0" applyFont="1" applyFill="1" applyBorder="1"/>
    <xf numFmtId="0" fontId="0" fillId="0" borderId="4" xfId="0" applyFill="1" applyBorder="1"/>
    <xf numFmtId="0" fontId="17" fillId="0" borderId="5" xfId="0" applyFont="1" applyFill="1" applyBorder="1"/>
    <xf numFmtId="0" fontId="0" fillId="0" borderId="6" xfId="0" applyFill="1" applyBorder="1"/>
    <xf numFmtId="0" fontId="9" fillId="0" borderId="1" xfId="0" applyFont="1" applyFill="1" applyBorder="1"/>
    <xf numFmtId="0" fontId="0" fillId="0" borderId="2" xfId="0" applyFill="1" applyBorder="1"/>
    <xf numFmtId="0" fontId="0" fillId="0" borderId="2" xfId="0" applyFill="1" applyBorder="1" applyAlignment="1"/>
    <xf numFmtId="0" fontId="0" fillId="0" borderId="3" xfId="0" applyFill="1" applyBorder="1"/>
    <xf numFmtId="0" fontId="0" fillId="0" borderId="1" xfId="0" applyFill="1" applyBorder="1" applyAlignment="1"/>
    <xf numFmtId="0" fontId="0" fillId="4" borderId="2" xfId="0" applyFill="1" applyBorder="1" applyAlignment="1" applyProtection="1">
      <protection locked="0"/>
    </xf>
    <xf numFmtId="0" fontId="0" fillId="4" borderId="2" xfId="0" applyFill="1" applyBorder="1" applyProtection="1">
      <protection locked="0"/>
    </xf>
    <xf numFmtId="0" fontId="0" fillId="4" borderId="0" xfId="0" applyFill="1" applyBorder="1" applyProtection="1">
      <protection locked="0"/>
    </xf>
    <xf numFmtId="0" fontId="0" fillId="0" borderId="8" xfId="0" applyBorder="1"/>
    <xf numFmtId="0" fontId="17" fillId="0" borderId="14" xfId="0" applyFont="1" applyBorder="1" applyAlignment="1"/>
    <xf numFmtId="0" fontId="0" fillId="0" borderId="0" xfId="0" applyFill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17" fillId="0" borderId="7" xfId="0" applyFont="1" applyBorder="1" applyAlignment="1"/>
    <xf numFmtId="0" fontId="0" fillId="0" borderId="52" xfId="0" applyBorder="1" applyAlignment="1">
      <alignment horizontal="center" vertical="center"/>
    </xf>
    <xf numFmtId="0" fontId="17" fillId="0" borderId="52" xfId="0" applyFont="1" applyBorder="1" applyAlignment="1"/>
    <xf numFmtId="0" fontId="0" fillId="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7" xfId="0" applyFont="1" applyBorder="1" applyAlignment="1"/>
    <xf numFmtId="0" fontId="17" fillId="0" borderId="2" xfId="0" applyFont="1" applyBorder="1" applyAlignment="1"/>
    <xf numFmtId="166" fontId="0" fillId="0" borderId="3" xfId="0" applyNumberFormat="1" applyBorder="1" applyAlignment="1">
      <alignment horizontal="center"/>
    </xf>
    <xf numFmtId="166" fontId="0" fillId="0" borderId="62" xfId="0" applyNumberFormat="1" applyBorder="1" applyAlignment="1">
      <alignment horizontal="center"/>
    </xf>
    <xf numFmtId="166" fontId="0" fillId="0" borderId="4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20" xfId="0" applyFont="1" applyFill="1" applyBorder="1" applyAlignment="1" applyProtection="1">
      <alignment horizontal="right"/>
      <protection locked="0"/>
    </xf>
    <xf numFmtId="0" fontId="0" fillId="0" borderId="0" xfId="0" applyBorder="1" applyAlignment="1">
      <alignment horizontal="center"/>
    </xf>
    <xf numFmtId="0" fontId="0" fillId="0" borderId="0" xfId="0" applyAlignment="1">
      <alignment textRotation="90"/>
    </xf>
    <xf numFmtId="0" fontId="0" fillId="8" borderId="0" xfId="0" applyFill="1"/>
    <xf numFmtId="0" fontId="0" fillId="8" borderId="0" xfId="0" applyFill="1" applyAlignme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20" xfId="0" applyBorder="1"/>
    <xf numFmtId="0" fontId="0" fillId="0" borderId="8" xfId="0" applyBorder="1"/>
    <xf numFmtId="0" fontId="0" fillId="0" borderId="54" xfId="0" applyBorder="1"/>
    <xf numFmtId="2" fontId="0" fillId="0" borderId="0" xfId="0" applyNumberFormat="1" applyAlignment="1">
      <alignment horizontal="center"/>
    </xf>
    <xf numFmtId="0" fontId="0" fillId="0" borderId="36" xfId="0" applyBorder="1"/>
    <xf numFmtId="0" fontId="0" fillId="0" borderId="49" xfId="0" applyBorder="1"/>
    <xf numFmtId="0" fontId="0" fillId="0" borderId="42" xfId="0" applyBorder="1"/>
    <xf numFmtId="0" fontId="0" fillId="0" borderId="30" xfId="0" applyBorder="1"/>
    <xf numFmtId="0" fontId="0" fillId="0" borderId="51" xfId="0" applyBorder="1" applyAlignment="1">
      <alignment vertical="center"/>
    </xf>
    <xf numFmtId="0" fontId="17" fillId="0" borderId="52" xfId="0" applyFont="1" applyBorder="1" applyAlignment="1">
      <alignment horizontal="center" vertical="center"/>
    </xf>
    <xf numFmtId="0" fontId="0" fillId="0" borderId="52" xfId="0" applyNumberFormat="1" applyBorder="1" applyAlignment="1">
      <alignment horizontal="center" vertical="center"/>
    </xf>
    <xf numFmtId="166" fontId="0" fillId="0" borderId="52" xfId="0" applyNumberFormat="1" applyBorder="1" applyAlignment="1">
      <alignment horizontal="center" vertical="center"/>
    </xf>
    <xf numFmtId="167" fontId="0" fillId="0" borderId="52" xfId="0" applyNumberForma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17" fillId="0" borderId="50" xfId="0" applyFont="1" applyBorder="1" applyAlignment="1">
      <alignment horizontal="center" vertical="center"/>
    </xf>
    <xf numFmtId="0" fontId="0" fillId="0" borderId="50" xfId="0" applyNumberFormat="1" applyBorder="1" applyAlignment="1">
      <alignment horizontal="center" vertical="center"/>
    </xf>
    <xf numFmtId="166" fontId="0" fillId="0" borderId="50" xfId="0" applyNumberFormat="1" applyBorder="1" applyAlignment="1">
      <alignment horizontal="center" vertical="center"/>
    </xf>
    <xf numFmtId="167" fontId="0" fillId="0" borderId="50" xfId="0" applyNumberForma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194" fontId="0" fillId="0" borderId="52" xfId="0" applyNumberFormat="1" applyBorder="1" applyAlignment="1">
      <alignment horizontal="center" vertical="center"/>
    </xf>
    <xf numFmtId="182" fontId="0" fillId="0" borderId="52" xfId="0" applyNumberFormat="1" applyBorder="1" applyAlignment="1">
      <alignment horizontal="center" vertical="center"/>
    </xf>
    <xf numFmtId="198" fontId="0" fillId="0" borderId="52" xfId="0" applyNumberFormat="1" applyBorder="1" applyAlignment="1">
      <alignment horizontal="center" vertical="center"/>
    </xf>
    <xf numFmtId="183" fontId="9" fillId="0" borderId="52" xfId="0" applyNumberFormat="1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194" fontId="0" fillId="0" borderId="50" xfId="0" applyNumberFormat="1" applyBorder="1" applyAlignment="1">
      <alignment horizontal="center" vertical="center"/>
    </xf>
    <xf numFmtId="182" fontId="0" fillId="0" borderId="50" xfId="0" applyNumberFormat="1" applyBorder="1" applyAlignment="1">
      <alignment horizontal="center" vertical="center"/>
    </xf>
    <xf numFmtId="198" fontId="0" fillId="0" borderId="50" xfId="0" applyNumberFormat="1" applyBorder="1" applyAlignment="1">
      <alignment horizontal="center" vertical="center"/>
    </xf>
    <xf numFmtId="183" fontId="9" fillId="0" borderId="50" xfId="0" applyNumberFormat="1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54" xfId="0" applyBorder="1" applyAlignment="1"/>
    <xf numFmtId="0" fontId="0" fillId="0" borderId="15" xfId="0" applyBorder="1" applyAlignment="1"/>
    <xf numFmtId="0" fontId="0" fillId="0" borderId="9" xfId="0" applyBorder="1"/>
    <xf numFmtId="0" fontId="9" fillId="0" borderId="7" xfId="0" applyFont="1" applyFill="1" applyBorder="1" applyAlignment="1">
      <alignment horizontal="center" vertical="center"/>
    </xf>
    <xf numFmtId="0" fontId="42" fillId="0" borderId="7" xfId="0" applyFont="1" applyBorder="1" applyAlignment="1"/>
    <xf numFmtId="0" fontId="42" fillId="0" borderId="9" xfId="0" applyFont="1" applyBorder="1" applyAlignment="1"/>
    <xf numFmtId="0" fontId="52" fillId="0" borderId="51" xfId="0" applyFont="1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47" fillId="0" borderId="15" xfId="0" applyFont="1" applyBorder="1" applyAlignment="1">
      <alignment horizontal="right"/>
    </xf>
    <xf numFmtId="0" fontId="47" fillId="0" borderId="0" xfId="0" applyFont="1" applyBorder="1" applyAlignment="1">
      <alignment horizontal="right"/>
    </xf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20" xfId="0" applyBorder="1"/>
    <xf numFmtId="0" fontId="0" fillId="0" borderId="15" xfId="0" applyBorder="1"/>
    <xf numFmtId="0" fontId="0" fillId="0" borderId="0" xfId="0" applyNumberFormat="1" applyFill="1" applyBorder="1" applyAlignment="1">
      <alignment horizontal="left"/>
    </xf>
    <xf numFmtId="187" fontId="0" fillId="0" borderId="0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6" xfId="0" applyBorder="1"/>
    <xf numFmtId="0" fontId="0" fillId="0" borderId="51" xfId="0" applyBorder="1"/>
    <xf numFmtId="187" fontId="0" fillId="0" borderId="16" xfId="0" applyNumberFormat="1" applyBorder="1" applyAlignment="1">
      <alignment horizontal="center" vertical="center"/>
    </xf>
    <xf numFmtId="0" fontId="0" fillId="0" borderId="51" xfId="0" applyFill="1" applyBorder="1"/>
    <xf numFmtId="0" fontId="0" fillId="0" borderId="65" xfId="0" applyBorder="1"/>
    <xf numFmtId="0" fontId="43" fillId="0" borderId="58" xfId="0" applyFont="1" applyBorder="1"/>
    <xf numFmtId="0" fontId="0" fillId="0" borderId="6" xfId="0" applyBorder="1"/>
    <xf numFmtId="0" fontId="29" fillId="0" borderId="2" xfId="0" applyFont="1" applyFill="1" applyBorder="1"/>
    <xf numFmtId="0" fontId="0" fillId="0" borderId="14" xfId="0" applyFill="1" applyBorder="1" applyAlignment="1">
      <alignment horizontal="left"/>
    </xf>
    <xf numFmtId="0" fontId="47" fillId="0" borderId="47" xfId="0" applyFont="1" applyBorder="1" applyAlignment="1">
      <alignment horizontal="right"/>
    </xf>
    <xf numFmtId="0" fontId="47" fillId="0" borderId="20" xfId="0" applyFont="1" applyBorder="1" applyAlignment="1">
      <alignment horizontal="right"/>
    </xf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15" xfId="0" applyBorder="1"/>
    <xf numFmtId="0" fontId="0" fillId="0" borderId="2" xfId="0" applyBorder="1"/>
    <xf numFmtId="0" fontId="0" fillId="0" borderId="16" xfId="0" applyBorder="1"/>
    <xf numFmtId="0" fontId="0" fillId="0" borderId="0" xfId="0" applyAlignment="1">
      <alignment horizontal="left" vertical="top" wrapText="1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/>
    <xf numFmtId="0" fontId="0" fillId="0" borderId="6" xfId="0" applyBorder="1" applyAlignment="1"/>
    <xf numFmtId="0" fontId="43" fillId="0" borderId="8" xfId="0" applyFont="1" applyBorder="1"/>
    <xf numFmtId="0" fontId="0" fillId="0" borderId="9" xfId="0" applyBorder="1" applyAlignment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168" fontId="0" fillId="0" borderId="0" xfId="0" applyNumberFormat="1" applyBorder="1" applyAlignment="1">
      <alignment horizontal="left" vertical="center"/>
    </xf>
    <xf numFmtId="199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center"/>
    </xf>
    <xf numFmtId="49" fontId="0" fillId="0" borderId="52" xfId="0" applyNumberFormat="1" applyBorder="1" applyAlignment="1">
      <alignment horizontal="center" vertical="center"/>
    </xf>
    <xf numFmtId="0" fontId="7" fillId="0" borderId="56" xfId="0" applyFont="1" applyBorder="1" applyAlignment="1">
      <alignment vertical="center"/>
    </xf>
    <xf numFmtId="194" fontId="0" fillId="0" borderId="36" xfId="0" applyNumberFormat="1" applyBorder="1" applyAlignment="1">
      <alignment horizontal="center" vertical="center"/>
    </xf>
    <xf numFmtId="194" fontId="0" fillId="0" borderId="49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0" fillId="10" borderId="2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0" xfId="0" applyFill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54" xfId="0" applyFill="1" applyBorder="1"/>
    <xf numFmtId="0" fontId="9" fillId="10" borderId="7" xfId="0" applyFont="1" applyFill="1" applyBorder="1" applyAlignment="1">
      <alignment horizontal="center" vertical="center"/>
    </xf>
    <xf numFmtId="0" fontId="0" fillId="10" borderId="43" xfId="0" applyFill="1" applyBorder="1"/>
    <xf numFmtId="0" fontId="0" fillId="10" borderId="7" xfId="0" applyFill="1" applyBorder="1"/>
    <xf numFmtId="0" fontId="17" fillId="10" borderId="7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9" fillId="0" borderId="3" xfId="0" applyFont="1" applyFill="1" applyBorder="1"/>
    <xf numFmtId="0" fontId="29" fillId="0" borderId="5" xfId="0" applyFont="1" applyFill="1" applyBorder="1"/>
    <xf numFmtId="0" fontId="29" fillId="0" borderId="6" xfId="0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93" fontId="0" fillId="0" borderId="0" xfId="0" applyNumberFormat="1" applyFill="1" applyBorder="1" applyAlignment="1">
      <alignment horizontal="left"/>
    </xf>
    <xf numFmtId="0" fontId="24" fillId="0" borderId="0" xfId="0" applyFont="1" applyFill="1"/>
    <xf numFmtId="0" fontId="30" fillId="0" borderId="0" xfId="0" applyFont="1" applyFill="1"/>
    <xf numFmtId="0" fontId="24" fillId="0" borderId="0" xfId="0" applyFont="1" applyFill="1" applyBorder="1"/>
    <xf numFmtId="0" fontId="0" fillId="0" borderId="24" xfId="0" applyFill="1" applyBorder="1" applyAlignment="1"/>
    <xf numFmtId="0" fontId="0" fillId="0" borderId="3" xfId="0" applyFill="1" applyBorder="1" applyAlignment="1"/>
    <xf numFmtId="0" fontId="0" fillId="0" borderId="25" xfId="0" applyFill="1" applyBorder="1"/>
    <xf numFmtId="0" fontId="0" fillId="0" borderId="13" xfId="0" applyFill="1" applyBorder="1"/>
    <xf numFmtId="0" fontId="0" fillId="0" borderId="26" xfId="0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27" xfId="0" applyFill="1" applyBorder="1"/>
    <xf numFmtId="0" fontId="0" fillId="0" borderId="32" xfId="0" applyFill="1" applyBorder="1"/>
    <xf numFmtId="0" fontId="0" fillId="0" borderId="54" xfId="0" applyFill="1" applyBorder="1" applyAlignment="1"/>
    <xf numFmtId="0" fontId="0" fillId="0" borderId="2" xfId="0" applyFill="1" applyBorder="1"/>
    <xf numFmtId="187" fontId="0" fillId="0" borderId="2" xfId="0" applyNumberFormat="1" applyFill="1" applyBorder="1" applyAlignment="1">
      <alignment horizontal="center" vertical="center"/>
    </xf>
    <xf numFmtId="187" fontId="0" fillId="0" borderId="3" xfId="0" applyNumberFormat="1" applyFill="1" applyBorder="1" applyAlignment="1">
      <alignment horizontal="center" vertical="center"/>
    </xf>
    <xf numFmtId="18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16" xfId="0" applyFill="1" applyBorder="1" applyAlignment="1">
      <alignment horizontal="center"/>
    </xf>
    <xf numFmtId="187" fontId="0" fillId="0" borderId="16" xfId="0" applyNumberFormat="1" applyFill="1" applyBorder="1" applyAlignment="1">
      <alignment horizontal="center" vertical="center"/>
    </xf>
    <xf numFmtId="0" fontId="0" fillId="0" borderId="15" xfId="0" applyFill="1" applyBorder="1" applyAlignment="1"/>
    <xf numFmtId="0" fontId="0" fillId="0" borderId="6" xfId="0" applyFill="1" applyBorder="1" applyAlignment="1">
      <alignment horizontal="center"/>
    </xf>
    <xf numFmtId="0" fontId="43" fillId="0" borderId="58" xfId="0" applyFont="1" applyFill="1" applyBorder="1"/>
    <xf numFmtId="0" fontId="0" fillId="0" borderId="65" xfId="0" applyFill="1" applyBorder="1"/>
    <xf numFmtId="0" fontId="47" fillId="0" borderId="47" xfId="0" applyFont="1" applyFill="1" applyBorder="1" applyAlignment="1">
      <alignment horizontal="right"/>
    </xf>
    <xf numFmtId="0" fontId="47" fillId="0" borderId="20" xfId="0" applyFont="1" applyFill="1" applyBorder="1" applyAlignment="1">
      <alignment horizontal="right"/>
    </xf>
    <xf numFmtId="0" fontId="47" fillId="0" borderId="15" xfId="0" applyFont="1" applyFill="1" applyBorder="1" applyAlignment="1">
      <alignment horizontal="right"/>
    </xf>
    <xf numFmtId="0" fontId="47" fillId="0" borderId="0" xfId="0" applyFont="1" applyFill="1" applyBorder="1" applyAlignment="1">
      <alignment horizontal="right"/>
    </xf>
    <xf numFmtId="0" fontId="0" fillId="0" borderId="54" xfId="0" applyFill="1" applyBorder="1"/>
    <xf numFmtId="0" fontId="0" fillId="0" borderId="28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3" fillId="0" borderId="0" xfId="0" applyFont="1" applyFill="1"/>
    <xf numFmtId="0" fontId="0" fillId="0" borderId="16" xfId="0" applyFill="1" applyBorder="1" applyAlignment="1"/>
    <xf numFmtId="0" fontId="0" fillId="0" borderId="6" xfId="0" applyFill="1" applyBorder="1" applyAlignment="1"/>
    <xf numFmtId="0" fontId="0" fillId="0" borderId="9" xfId="0" applyFill="1" applyBorder="1" applyAlignment="1"/>
    <xf numFmtId="0" fontId="0" fillId="0" borderId="1" xfId="0" applyFill="1" applyBorder="1"/>
    <xf numFmtId="0" fontId="0" fillId="0" borderId="0" xfId="0" applyFill="1" applyAlignment="1">
      <alignment horizontal="left" vertical="top" wrapText="1"/>
    </xf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2" fontId="0" fillId="0" borderId="2" xfId="0" applyNumberFormat="1" applyFill="1" applyBorder="1" applyAlignment="1">
      <alignment horizontal="center"/>
    </xf>
    <xf numFmtId="0" fontId="43" fillId="0" borderId="8" xfId="0" applyFont="1" applyFill="1" applyBorder="1"/>
    <xf numFmtId="0" fontId="0" fillId="0" borderId="7" xfId="0" applyFill="1" applyBorder="1"/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189" fontId="0" fillId="0" borderId="15" xfId="0" applyNumberFormat="1" applyFill="1" applyBorder="1" applyAlignment="1"/>
    <xf numFmtId="2" fontId="0" fillId="0" borderId="0" xfId="0" applyNumberFormat="1" applyFill="1" applyBorder="1" applyAlignment="1">
      <alignment horizontal="center"/>
    </xf>
    <xf numFmtId="186" fontId="0" fillId="0" borderId="0" xfId="0" applyNumberFormat="1" applyFill="1" applyBorder="1" applyAlignment="1">
      <alignment horizontal="center"/>
    </xf>
    <xf numFmtId="189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vertical="top" wrapText="1"/>
    </xf>
    <xf numFmtId="2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left" vertical="top" wrapText="1"/>
    </xf>
    <xf numFmtId="0" fontId="0" fillId="0" borderId="5" xfId="0" applyFill="1" applyBorder="1" applyAlignment="1">
      <alignment horizontal="right"/>
    </xf>
    <xf numFmtId="0" fontId="7" fillId="0" borderId="5" xfId="0" applyNumberFormat="1" applyFont="1" applyFill="1" applyBorder="1" applyAlignment="1">
      <alignment horizontal="center"/>
    </xf>
    <xf numFmtId="0" fontId="0" fillId="0" borderId="5" xfId="0" applyFill="1" applyBorder="1" applyAlignment="1"/>
    <xf numFmtId="0" fontId="7" fillId="0" borderId="5" xfId="0" applyNumberFormat="1" applyFont="1" applyFill="1" applyBorder="1" applyAlignment="1">
      <alignment horizontal="left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5" xfId="0" applyFill="1" applyBorder="1" applyAlignment="1" applyProtection="1">
      <alignment horizontal="center"/>
      <protection locked="0"/>
    </xf>
    <xf numFmtId="0" fontId="0" fillId="0" borderId="51" xfId="0" applyFill="1" applyBorder="1" applyAlignment="1">
      <alignment horizontal="left"/>
    </xf>
    <xf numFmtId="0" fontId="7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4" borderId="0" xfId="0" applyFill="1" applyBorder="1" applyAlignment="1" applyProtection="1">
      <alignment horizontal="right"/>
      <protection locked="0"/>
    </xf>
    <xf numFmtId="0" fontId="0" fillId="0" borderId="20" xfId="0" applyFill="1" applyBorder="1" applyAlignment="1">
      <alignment horizontal="right"/>
    </xf>
    <xf numFmtId="49" fontId="0" fillId="0" borderId="14" xfId="0" applyNumberFormat="1" applyFill="1" applyBorder="1" applyAlignment="1">
      <alignment horizontal="center" vertical="center"/>
    </xf>
    <xf numFmtId="49" fontId="0" fillId="0" borderId="20" xfId="0" applyNumberFormat="1" applyFill="1" applyBorder="1" applyAlignment="1">
      <alignment horizontal="center" vertical="center"/>
    </xf>
    <xf numFmtId="0" fontId="0" fillId="0" borderId="50" xfId="0" applyFill="1" applyBorder="1" applyAlignment="1">
      <alignment horizontal="center"/>
    </xf>
    <xf numFmtId="0" fontId="0" fillId="0" borderId="20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0" fillId="4" borderId="0" xfId="0" applyFill="1" applyBorder="1" applyAlignment="1" applyProtection="1">
      <protection locked="0"/>
    </xf>
    <xf numFmtId="0" fontId="0" fillId="4" borderId="20" xfId="0" applyFill="1" applyBorder="1" applyAlignment="1" applyProtection="1">
      <protection locked="0"/>
    </xf>
    <xf numFmtId="0" fontId="2" fillId="8" borderId="14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5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9" fontId="0" fillId="8" borderId="14" xfId="0" applyNumberFormat="1" applyFill="1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0" fontId="22" fillId="0" borderId="41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2" fillId="8" borderId="41" xfId="0" applyFont="1" applyFill="1" applyBorder="1" applyAlignment="1">
      <alignment horizontal="left" vertical="center"/>
    </xf>
    <xf numFmtId="0" fontId="2" fillId="8" borderId="39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/>
    </xf>
    <xf numFmtId="0" fontId="2" fillId="8" borderId="50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/>
    </xf>
    <xf numFmtId="49" fontId="19" fillId="0" borderId="0" xfId="0" applyNumberFormat="1" applyFont="1" applyFill="1" applyBorder="1" applyAlignment="1">
      <alignment horizontal="center" vertical="center"/>
    </xf>
    <xf numFmtId="49" fontId="19" fillId="0" borderId="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8" borderId="4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50" xfId="0" applyFill="1" applyBorder="1" applyAlignment="1">
      <alignment horizontal="right"/>
    </xf>
    <xf numFmtId="0" fontId="0" fillId="8" borderId="0" xfId="0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174" fontId="0" fillId="0" borderId="14" xfId="0" applyNumberFormat="1" applyFill="1" applyBorder="1" applyAlignment="1">
      <alignment horizontal="center" vertical="center"/>
    </xf>
    <xf numFmtId="174" fontId="0" fillId="0" borderId="20" xfId="0" applyNumberFormat="1" applyFill="1" applyBorder="1" applyAlignment="1">
      <alignment horizontal="center" vertical="center"/>
    </xf>
    <xf numFmtId="173" fontId="0" fillId="0" borderId="14" xfId="0" applyNumberFormat="1" applyFill="1" applyBorder="1" applyAlignment="1">
      <alignment horizontal="center" vertical="center"/>
    </xf>
    <xf numFmtId="173" fontId="0" fillId="0" borderId="5" xfId="0" applyNumberFormat="1" applyFill="1" applyBorder="1" applyAlignment="1">
      <alignment horizontal="center" vertical="center"/>
    </xf>
    <xf numFmtId="172" fontId="0" fillId="0" borderId="7" xfId="0" applyNumberFormat="1" applyBorder="1" applyAlignment="1">
      <alignment horizontal="center"/>
    </xf>
    <xf numFmtId="173" fontId="0" fillId="0" borderId="14" xfId="0" applyNumberFormat="1" applyFill="1" applyBorder="1" applyAlignment="1">
      <alignment horizontal="left" vertical="center"/>
    </xf>
    <xf numFmtId="173" fontId="0" fillId="0" borderId="5" xfId="0" applyNumberFormat="1" applyFill="1" applyBorder="1" applyAlignment="1">
      <alignment horizontal="left" vertical="center"/>
    </xf>
    <xf numFmtId="174" fontId="2" fillId="0" borderId="14" xfId="0" applyNumberFormat="1" applyFont="1" applyFill="1" applyBorder="1" applyAlignment="1">
      <alignment horizontal="left" vertical="center"/>
    </xf>
    <xf numFmtId="174" fontId="2" fillId="0" borderId="20" xfId="0" applyNumberFormat="1" applyFont="1" applyFill="1" applyBorder="1" applyAlignment="1">
      <alignment horizontal="left" vertical="center"/>
    </xf>
    <xf numFmtId="172" fontId="0" fillId="0" borderId="7" xfId="0" applyNumberFormat="1" applyBorder="1" applyAlignment="1">
      <alignment horizontal="left" vertical="center"/>
    </xf>
    <xf numFmtId="174" fontId="2" fillId="8" borderId="14" xfId="0" applyNumberFormat="1" applyFont="1" applyFill="1" applyBorder="1" applyAlignment="1">
      <alignment horizontal="left" vertical="center"/>
    </xf>
    <xf numFmtId="174" fontId="2" fillId="8" borderId="20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8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Fill="1" applyBorder="1" applyAlignment="1">
      <alignment horizontal="right" vertical="center"/>
    </xf>
    <xf numFmtId="0" fontId="0" fillId="0" borderId="50" xfId="0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72" fontId="0" fillId="0" borderId="5" xfId="0" applyNumberFormat="1" applyFill="1" applyBorder="1" applyAlignment="1">
      <alignment horizontal="left"/>
    </xf>
    <xf numFmtId="166" fontId="0" fillId="0" borderId="5" xfId="0" applyNumberFormat="1" applyFill="1" applyBorder="1" applyAlignment="1">
      <alignment horizontal="right"/>
    </xf>
    <xf numFmtId="0" fontId="17" fillId="0" borderId="0" xfId="0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16" xfId="0" applyBorder="1"/>
    <xf numFmtId="0" fontId="9" fillId="0" borderId="0" xfId="0" applyFont="1" applyAlignment="1">
      <alignment horizontal="left"/>
    </xf>
    <xf numFmtId="166" fontId="0" fillId="0" borderId="15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49" fontId="0" fillId="4" borderId="13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49" fontId="0" fillId="4" borderId="35" xfId="0" applyNumberFormat="1" applyFill="1" applyBorder="1" applyAlignment="1">
      <alignment horizontal="center"/>
    </xf>
    <xf numFmtId="49" fontId="0" fillId="4" borderId="52" xfId="0" applyNumberFormat="1" applyFill="1" applyBorder="1" applyAlignment="1">
      <alignment horizontal="center"/>
    </xf>
    <xf numFmtId="49" fontId="0" fillId="4" borderId="36" xfId="0" applyNumberFormat="1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49" fontId="0" fillId="9" borderId="20" xfId="0" applyNumberFormat="1" applyFill="1" applyBorder="1" applyAlignment="1">
      <alignment horizontal="center"/>
    </xf>
    <xf numFmtId="0" fontId="0" fillId="4" borderId="14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184" fontId="0" fillId="0" borderId="0" xfId="0" applyNumberFormat="1" applyFont="1" applyAlignment="1">
      <alignment horizontal="center" vertical="center"/>
    </xf>
    <xf numFmtId="0" fontId="0" fillId="0" borderId="37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178" fontId="0" fillId="0" borderId="0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4" borderId="52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166" fontId="4" fillId="0" borderId="2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right"/>
    </xf>
    <xf numFmtId="181" fontId="4" fillId="0" borderId="2" xfId="0" applyNumberFormat="1" applyFont="1" applyBorder="1" applyAlignment="1">
      <alignment horizontal="center" vertical="center"/>
    </xf>
    <xf numFmtId="181" fontId="4" fillId="0" borderId="0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right" vertical="top"/>
    </xf>
    <xf numFmtId="0" fontId="0" fillId="0" borderId="0" xfId="0" applyFill="1" applyBorder="1" applyAlignment="1">
      <alignment horizontal="right" vertical="top"/>
    </xf>
    <xf numFmtId="167" fontId="4" fillId="0" borderId="2" xfId="0" applyNumberFormat="1" applyFont="1" applyBorder="1" applyAlignment="1">
      <alignment horizontal="center" vertical="center"/>
    </xf>
    <xf numFmtId="167" fontId="4" fillId="0" borderId="0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right" vertical="center"/>
    </xf>
    <xf numFmtId="0" fontId="23" fillId="0" borderId="0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66" fontId="0" fillId="0" borderId="52" xfId="0" applyNumberFormat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52" xfId="0" applyNumberFormat="1" applyFill="1" applyBorder="1" applyAlignment="1">
      <alignment horizontal="center"/>
    </xf>
    <xf numFmtId="0" fontId="23" fillId="0" borderId="19" xfId="0" applyFont="1" applyBorder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96" fontId="0" fillId="4" borderId="2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61" xfId="0" applyBorder="1" applyAlignment="1">
      <alignment horizontal="right" vertical="top"/>
    </xf>
    <xf numFmtId="0" fontId="0" fillId="0" borderId="52" xfId="0" applyBorder="1" applyAlignment="1">
      <alignment horizontal="right" vertical="top"/>
    </xf>
    <xf numFmtId="0" fontId="0" fillId="0" borderId="37" xfId="0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97" fontId="0" fillId="0" borderId="52" xfId="0" applyNumberFormat="1" applyFill="1" applyBorder="1" applyAlignment="1">
      <alignment horizontal="center"/>
    </xf>
    <xf numFmtId="0" fontId="24" fillId="0" borderId="0" xfId="0" applyFont="1" applyBorder="1" applyAlignment="1">
      <alignment horizontal="right" vertical="center"/>
    </xf>
    <xf numFmtId="0" fontId="0" fillId="0" borderId="14" xfId="0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7" fillId="0" borderId="0" xfId="0" applyFont="1" applyBorder="1" applyAlignment="1">
      <alignment horizontal="right" vertical="center"/>
    </xf>
    <xf numFmtId="0" fontId="0" fillId="0" borderId="46" xfId="0" applyBorder="1" applyAlignment="1">
      <alignment horizontal="right" vertical="top"/>
    </xf>
    <xf numFmtId="0" fontId="0" fillId="0" borderId="14" xfId="0" applyBorder="1" applyAlignment="1">
      <alignment horizontal="right" vertical="top"/>
    </xf>
    <xf numFmtId="0" fontId="0" fillId="4" borderId="2" xfId="0" applyNumberFormat="1" applyFill="1" applyBorder="1" applyAlignment="1">
      <alignment horizontal="left"/>
    </xf>
    <xf numFmtId="0" fontId="0" fillId="4" borderId="0" xfId="0" applyNumberFormat="1" applyFill="1" applyBorder="1" applyAlignment="1">
      <alignment horizontal="left"/>
    </xf>
    <xf numFmtId="0" fontId="4" fillId="0" borderId="37" xfId="0" applyFont="1" applyBorder="1" applyAlignment="1">
      <alignment horizontal="center"/>
    </xf>
    <xf numFmtId="180" fontId="0" fillId="0" borderId="7" xfId="0" applyNumberFormat="1" applyBorder="1" applyAlignment="1">
      <alignment horizontal="center"/>
    </xf>
    <xf numFmtId="180" fontId="0" fillId="0" borderId="9" xfId="0" applyNumberFormat="1" applyBorder="1" applyAlignment="1">
      <alignment horizontal="center"/>
    </xf>
    <xf numFmtId="0" fontId="7" fillId="0" borderId="7" xfId="0" applyFont="1" applyBorder="1" applyAlignment="1">
      <alignment horizontal="center"/>
    </xf>
    <xf numFmtId="197" fontId="0" fillId="0" borderId="14" xfId="0" applyNumberFormat="1" applyFill="1" applyBorder="1" applyAlignment="1">
      <alignment horizontal="center"/>
    </xf>
    <xf numFmtId="197" fontId="0" fillId="0" borderId="2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45" xfId="0" applyFont="1" applyBorder="1" applyAlignment="1" applyProtection="1">
      <alignment horizontal="center" vertical="center" textRotation="90"/>
      <protection hidden="1"/>
    </xf>
    <xf numFmtId="0" fontId="8" fillId="0" borderId="17" xfId="0" applyFont="1" applyBorder="1" applyAlignment="1" applyProtection="1">
      <alignment horizontal="center" vertical="center" textRotation="90"/>
      <protection hidden="1"/>
    </xf>
    <xf numFmtId="0" fontId="8" fillId="0" borderId="12" xfId="0" applyFont="1" applyBorder="1" applyAlignment="1" applyProtection="1">
      <alignment horizontal="center" vertical="center" textRotation="90"/>
      <protection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0" fontId="8" fillId="0" borderId="44" xfId="0" applyFont="1" applyBorder="1" applyAlignment="1" applyProtection="1">
      <alignment horizontal="center" vertical="center" textRotation="90"/>
      <protection hidden="1"/>
    </xf>
    <xf numFmtId="0" fontId="3" fillId="0" borderId="14" xfId="0" applyFont="1" applyBorder="1" applyAlignment="1">
      <alignment horizontal="center" textRotation="90" wrapText="1"/>
    </xf>
    <xf numFmtId="0" fontId="3" fillId="0" borderId="0" xfId="0" applyFont="1" applyBorder="1" applyAlignment="1">
      <alignment horizontal="center" textRotation="90" wrapText="1"/>
    </xf>
    <xf numFmtId="0" fontId="3" fillId="0" borderId="20" xfId="0" applyFont="1" applyBorder="1" applyAlignment="1">
      <alignment horizontal="center" textRotation="90" wrapText="1"/>
    </xf>
    <xf numFmtId="165" fontId="14" fillId="0" borderId="0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6" fontId="4" fillId="0" borderId="14" xfId="0" applyNumberFormat="1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20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0" fillId="0" borderId="13" xfId="0" applyBorder="1" applyAlignment="1">
      <alignment horizontal="center"/>
    </xf>
    <xf numFmtId="166" fontId="4" fillId="0" borderId="40" xfId="0" applyNumberFormat="1" applyFont="1" applyBorder="1" applyAlignment="1">
      <alignment horizontal="center" vertical="center"/>
    </xf>
    <xf numFmtId="166" fontId="4" fillId="0" borderId="37" xfId="0" applyNumberFormat="1" applyFont="1" applyBorder="1" applyAlignment="1">
      <alignment horizontal="center" vertical="center"/>
    </xf>
    <xf numFmtId="166" fontId="4" fillId="0" borderId="38" xfId="0" applyNumberFormat="1" applyFont="1" applyBorder="1" applyAlignment="1">
      <alignment horizontal="center" vertical="center"/>
    </xf>
    <xf numFmtId="172" fontId="4" fillId="0" borderId="16" xfId="0" applyNumberFormat="1" applyFont="1" applyBorder="1" applyAlignment="1">
      <alignment horizontal="center" vertical="center"/>
    </xf>
    <xf numFmtId="172" fontId="4" fillId="0" borderId="39" xfId="0" applyNumberFormat="1" applyFont="1" applyBorder="1" applyAlignment="1">
      <alignment horizontal="center" vertical="center"/>
    </xf>
    <xf numFmtId="0" fontId="9" fillId="5" borderId="8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5" fillId="0" borderId="19" xfId="0" applyNumberFormat="1" applyFont="1" applyBorder="1" applyAlignment="1">
      <alignment horizontal="left" vertical="center"/>
    </xf>
    <xf numFmtId="0" fontId="5" fillId="0" borderId="21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20" xfId="0" applyNumberFormat="1" applyFont="1" applyBorder="1" applyAlignment="1">
      <alignment horizontal="left" vertical="center"/>
    </xf>
    <xf numFmtId="0" fontId="5" fillId="0" borderId="5" xfId="0" applyNumberFormat="1" applyFont="1" applyBorder="1" applyAlignment="1">
      <alignment horizontal="left" vertical="center"/>
    </xf>
    <xf numFmtId="0" fontId="4" fillId="0" borderId="40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5" fillId="0" borderId="43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191" fontId="4" fillId="0" borderId="2" xfId="0" applyNumberFormat="1" applyFont="1" applyBorder="1" applyAlignment="1">
      <alignment horizontal="center"/>
    </xf>
    <xf numFmtId="191" fontId="4" fillId="0" borderId="5" xfId="0" applyNumberFormat="1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191" fontId="4" fillId="0" borderId="14" xfId="0" applyNumberFormat="1" applyFont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 vertical="top"/>
    </xf>
    <xf numFmtId="165" fontId="14" fillId="0" borderId="14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165" fontId="1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92" fontId="4" fillId="0" borderId="2" xfId="0" applyNumberFormat="1" applyFont="1" applyBorder="1" applyAlignment="1">
      <alignment horizontal="center"/>
    </xf>
    <xf numFmtId="192" fontId="4" fillId="0" borderId="5" xfId="0" applyNumberFormat="1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166" fontId="4" fillId="0" borderId="42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4" fillId="0" borderId="59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6" fillId="5" borderId="9" xfId="0" applyFont="1" applyFill="1" applyBorder="1" applyAlignment="1">
      <alignment horizontal="center"/>
    </xf>
    <xf numFmtId="172" fontId="4" fillId="0" borderId="3" xfId="0" applyNumberFormat="1" applyFont="1" applyBorder="1" applyAlignment="1">
      <alignment horizontal="center" vertical="center"/>
    </xf>
    <xf numFmtId="166" fontId="23" fillId="0" borderId="59" xfId="0" applyNumberFormat="1" applyFont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166" fontId="23" fillId="0" borderId="42" xfId="0" applyNumberFormat="1" applyFont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/>
    </xf>
    <xf numFmtId="166" fontId="23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/>
    </xf>
    <xf numFmtId="192" fontId="4" fillId="0" borderId="14" xfId="0" applyNumberFormat="1" applyFont="1" applyBorder="1" applyAlignment="1">
      <alignment horizontal="center"/>
    </xf>
    <xf numFmtId="166" fontId="4" fillId="0" borderId="46" xfId="0" applyNumberFormat="1" applyFont="1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166" fontId="4" fillId="0" borderId="47" xfId="0" applyNumberFormat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horizontal="center" vertical="center"/>
    </xf>
    <xf numFmtId="172" fontId="4" fillId="0" borderId="6" xfId="0" applyNumberFormat="1" applyFont="1" applyBorder="1" applyAlignment="1">
      <alignment horizontal="center" vertical="center"/>
    </xf>
    <xf numFmtId="166" fontId="0" fillId="0" borderId="41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4" fillId="0" borderId="14" xfId="0" applyNumberFormat="1" applyFont="1" applyBorder="1" applyAlignment="1">
      <alignment horizontal="center" vertical="center"/>
    </xf>
    <xf numFmtId="166" fontId="4" fillId="0" borderId="20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/>
    </xf>
    <xf numFmtId="0" fontId="52" fillId="0" borderId="65" xfId="0" applyFont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right" vertical="center"/>
    </xf>
    <xf numFmtId="0" fontId="9" fillId="10" borderId="5" xfId="0" applyFont="1" applyFill="1" applyBorder="1" applyAlignment="1">
      <alignment horizontal="right" vertical="center"/>
    </xf>
    <xf numFmtId="0" fontId="0" fillId="0" borderId="7" xfId="0" applyBorder="1" applyAlignment="1">
      <alignment horizontal="right"/>
    </xf>
    <xf numFmtId="195" fontId="33" fillId="0" borderId="7" xfId="1" applyNumberFormat="1" applyFont="1" applyBorder="1" applyAlignment="1">
      <alignment horizontal="right"/>
    </xf>
    <xf numFmtId="0" fontId="0" fillId="0" borderId="7" xfId="0" applyBorder="1" applyAlignment="1">
      <alignment horizontal="center" vertical="center"/>
    </xf>
    <xf numFmtId="170" fontId="0" fillId="0" borderId="7" xfId="0" applyNumberFormat="1" applyBorder="1" applyAlignment="1">
      <alignment horizontal="right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9" fontId="0" fillId="4" borderId="61" xfId="0" applyNumberFormat="1" applyFill="1" applyBorder="1" applyAlignment="1">
      <alignment horizontal="center" vertical="center"/>
    </xf>
    <xf numFmtId="49" fontId="0" fillId="4" borderId="52" xfId="0" applyNumberFormat="1" applyFill="1" applyBorder="1" applyAlignment="1">
      <alignment horizontal="center" vertical="center"/>
    </xf>
    <xf numFmtId="49" fontId="0" fillId="4" borderId="57" xfId="0" applyNumberFormat="1" applyFill="1" applyBorder="1" applyAlignment="1">
      <alignment horizontal="center" vertical="center"/>
    </xf>
    <xf numFmtId="49" fontId="0" fillId="4" borderId="50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199" fontId="0" fillId="10" borderId="2" xfId="0" applyNumberFormat="1" applyFill="1" applyBorder="1" applyAlignment="1">
      <alignment horizontal="center" vertical="center"/>
    </xf>
    <xf numFmtId="199" fontId="0" fillId="10" borderId="0" xfId="0" applyNumberFormat="1" applyFill="1" applyBorder="1" applyAlignment="1">
      <alignment horizontal="center" vertical="center"/>
    </xf>
    <xf numFmtId="49" fontId="0" fillId="4" borderId="54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4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200" fontId="0" fillId="10" borderId="3" xfId="0" applyNumberFormat="1" applyFill="1" applyBorder="1" applyAlignment="1">
      <alignment horizontal="left" vertical="center"/>
    </xf>
    <xf numFmtId="200" fontId="0" fillId="10" borderId="6" xfId="0" applyNumberFormat="1" applyFill="1" applyBorder="1" applyAlignment="1">
      <alignment horizontal="left" vertical="center"/>
    </xf>
    <xf numFmtId="0" fontId="0" fillId="10" borderId="5" xfId="0" applyFill="1" applyBorder="1" applyAlignment="1">
      <alignment horizontal="center"/>
    </xf>
    <xf numFmtId="2" fontId="0" fillId="10" borderId="2" xfId="0" applyNumberFormat="1" applyFill="1" applyBorder="1" applyAlignment="1">
      <alignment horizontal="center" vertical="center"/>
    </xf>
    <xf numFmtId="2" fontId="0" fillId="10" borderId="5" xfId="0" applyNumberFormat="1" applyFill="1" applyBorder="1" applyAlignment="1">
      <alignment horizontal="center" vertical="center"/>
    </xf>
    <xf numFmtId="199" fontId="0" fillId="10" borderId="2" xfId="0" applyNumberFormat="1" applyFill="1" applyBorder="1" applyAlignment="1">
      <alignment horizontal="left" vertical="center"/>
    </xf>
    <xf numFmtId="199" fontId="0" fillId="10" borderId="5" xfId="0" applyNumberFormat="1" applyFill="1" applyBorder="1" applyAlignment="1">
      <alignment horizontal="left" vertical="center"/>
    </xf>
    <xf numFmtId="0" fontId="0" fillId="10" borderId="3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19" fillId="10" borderId="2" xfId="0" applyFont="1" applyFill="1" applyBorder="1" applyAlignment="1">
      <alignment horizontal="left" vertical="center"/>
    </xf>
    <xf numFmtId="0" fontId="19" fillId="10" borderId="54" xfId="0" applyFont="1" applyFill="1" applyBorder="1" applyAlignment="1">
      <alignment horizontal="left" vertical="center"/>
    </xf>
    <xf numFmtId="0" fontId="19" fillId="10" borderId="4" xfId="0" applyFont="1" applyFill="1" applyBorder="1" applyAlignment="1">
      <alignment horizontal="left" vertical="center"/>
    </xf>
    <xf numFmtId="0" fontId="19" fillId="10" borderId="5" xfId="0" applyFont="1" applyFill="1" applyBorder="1" applyAlignment="1">
      <alignment horizontal="left" vertical="center"/>
    </xf>
    <xf numFmtId="0" fontId="19" fillId="10" borderId="43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right" vertical="center"/>
    </xf>
    <xf numFmtId="168" fontId="0" fillId="10" borderId="3" xfId="0" applyNumberFormat="1" applyFill="1" applyBorder="1" applyAlignment="1">
      <alignment horizontal="left" vertical="center"/>
    </xf>
    <xf numFmtId="168" fontId="0" fillId="10" borderId="16" xfId="0" applyNumberFormat="1" applyFill="1" applyBorder="1" applyAlignment="1">
      <alignment horizontal="left" vertical="center"/>
    </xf>
    <xf numFmtId="49" fontId="0" fillId="10" borderId="2" xfId="0" applyNumberFormat="1" applyFill="1" applyBorder="1" applyAlignment="1">
      <alignment horizontal="center" vertical="center"/>
    </xf>
    <xf numFmtId="49" fontId="0" fillId="10" borderId="0" xfId="0" applyNumberFormat="1" applyFill="1" applyBorder="1" applyAlignment="1">
      <alignment horizontal="center" vertical="center"/>
    </xf>
    <xf numFmtId="186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6" fillId="0" borderId="19" xfId="0" applyNumberFormat="1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0" fillId="0" borderId="6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168" fontId="0" fillId="4" borderId="13" xfId="0" applyNumberFormat="1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4" borderId="13" xfId="0" applyNumberForma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9" fontId="0" fillId="0" borderId="28" xfId="0" applyNumberFormat="1" applyBorder="1" applyAlignment="1">
      <alignment horizontal="center"/>
    </xf>
    <xf numFmtId="189" fontId="0" fillId="0" borderId="29" xfId="0" applyNumberFormat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2" fontId="0" fillId="4" borderId="35" xfId="0" applyNumberFormat="1" applyFill="1" applyBorder="1" applyAlignment="1">
      <alignment horizontal="center"/>
    </xf>
    <xf numFmtId="2" fontId="0" fillId="4" borderId="36" xfId="0" applyNumberFormat="1" applyFill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1" fontId="0" fillId="0" borderId="59" xfId="0" applyNumberFormat="1" applyBorder="1" applyAlignment="1">
      <alignment horizontal="center" vertical="center"/>
    </xf>
    <xf numFmtId="0" fontId="0" fillId="0" borderId="54" xfId="0" applyBorder="1"/>
    <xf numFmtId="0" fontId="0" fillId="0" borderId="37" xfId="0" applyBorder="1"/>
    <xf numFmtId="0" fontId="0" fillId="0" borderId="19" xfId="0" applyBorder="1"/>
    <xf numFmtId="0" fontId="0" fillId="0" borderId="38" xfId="0" applyBorder="1"/>
    <xf numFmtId="0" fontId="0" fillId="0" borderId="21" xfId="0" applyBorder="1"/>
    <xf numFmtId="168" fontId="0" fillId="0" borderId="13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20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35" xfId="0" applyNumberFormat="1" applyFill="1" applyBorder="1" applyAlignment="1">
      <alignment horizontal="center"/>
    </xf>
    <xf numFmtId="0" fontId="0" fillId="4" borderId="36" xfId="0" applyNumberFormat="1" applyFill="1" applyBorder="1" applyAlignment="1">
      <alignment horizontal="center"/>
    </xf>
    <xf numFmtId="0" fontId="0" fillId="4" borderId="55" xfId="0" applyNumberFormat="1" applyFill="1" applyBorder="1" applyAlignment="1">
      <alignment horizontal="center"/>
    </xf>
    <xf numFmtId="0" fontId="0" fillId="4" borderId="49" xfId="0" applyNumberFormat="1" applyFill="1" applyBorder="1" applyAlignment="1">
      <alignment horizontal="center"/>
    </xf>
    <xf numFmtId="187" fontId="0" fillId="0" borderId="2" xfId="0" applyNumberFormat="1" applyBorder="1" applyAlignment="1">
      <alignment horizontal="center" vertical="center"/>
    </xf>
    <xf numFmtId="187" fontId="0" fillId="0" borderId="3" xfId="0" applyNumberFormat="1" applyBorder="1" applyAlignment="1">
      <alignment horizontal="center" vertical="center"/>
    </xf>
    <xf numFmtId="187" fontId="0" fillId="0" borderId="0" xfId="0" applyNumberFormat="1" applyBorder="1" applyAlignment="1">
      <alignment horizontal="center" vertical="center"/>
    </xf>
    <xf numFmtId="187" fontId="0" fillId="0" borderId="16" xfId="0" applyNumberFormat="1" applyBorder="1" applyAlignment="1">
      <alignment horizontal="center" vertical="center"/>
    </xf>
    <xf numFmtId="187" fontId="0" fillId="0" borderId="5" xfId="0" applyNumberFormat="1" applyBorder="1" applyAlignment="1">
      <alignment horizontal="center" vertical="center"/>
    </xf>
    <xf numFmtId="187" fontId="0" fillId="0" borderId="6" xfId="0" applyNumberForma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23" fillId="0" borderId="1" xfId="0" applyFont="1" applyBorder="1" applyAlignment="1">
      <alignment horizontal="right"/>
    </xf>
    <xf numFmtId="0" fontId="23" fillId="0" borderId="2" xfId="0" applyFont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49" fontId="6" fillId="0" borderId="0" xfId="0" applyNumberFormat="1" applyFont="1" applyFill="1" applyBorder="1" applyAlignment="1">
      <alignment horizontal="left" vertical="center"/>
    </xf>
    <xf numFmtId="49" fontId="6" fillId="0" borderId="20" xfId="0" applyNumberFormat="1" applyFont="1" applyFill="1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5" xfId="0" applyBorder="1" applyAlignment="1">
      <alignment horizontal="center" vertical="center"/>
    </xf>
    <xf numFmtId="188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" fontId="0" fillId="0" borderId="57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8" fontId="0" fillId="4" borderId="35" xfId="0" applyNumberFormat="1" applyFill="1" applyBorder="1" applyAlignment="1">
      <alignment horizontal="center"/>
    </xf>
    <xf numFmtId="168" fontId="0" fillId="4" borderId="52" xfId="0" applyNumberFormat="1" applyFill="1" applyBorder="1" applyAlignment="1">
      <alignment horizontal="center"/>
    </xf>
    <xf numFmtId="168" fontId="0" fillId="4" borderId="36" xfId="0" applyNumberFormat="1" applyFill="1" applyBorder="1" applyAlignment="1">
      <alignment horizontal="center"/>
    </xf>
    <xf numFmtId="168" fontId="0" fillId="4" borderId="55" xfId="0" applyNumberFormat="1" applyFill="1" applyBorder="1" applyAlignment="1">
      <alignment horizontal="center"/>
    </xf>
    <xf numFmtId="168" fontId="0" fillId="4" borderId="50" xfId="0" applyNumberFormat="1" applyFill="1" applyBorder="1" applyAlignment="1">
      <alignment horizontal="center"/>
    </xf>
    <xf numFmtId="168" fontId="0" fillId="4" borderId="49" xfId="0" applyNumberFormat="1" applyFill="1" applyBorder="1" applyAlignment="1">
      <alignment horizontal="center"/>
    </xf>
    <xf numFmtId="2" fontId="0" fillId="4" borderId="55" xfId="0" applyNumberFormat="1" applyFill="1" applyBorder="1" applyAlignment="1">
      <alignment horizontal="center"/>
    </xf>
    <xf numFmtId="2" fontId="0" fillId="4" borderId="49" xfId="0" applyNumberForma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9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188" fontId="0" fillId="4" borderId="5" xfId="0" applyNumberFormat="1" applyFill="1" applyBorder="1" applyAlignment="1">
      <alignment horizontal="left"/>
    </xf>
    <xf numFmtId="193" fontId="0" fillId="4" borderId="7" xfId="0" applyNumberFormat="1" applyFill="1" applyBorder="1" applyAlignment="1">
      <alignment horizontal="left"/>
    </xf>
    <xf numFmtId="193" fontId="0" fillId="4" borderId="9" xfId="0" applyNumberFormat="1" applyFill="1" applyBorder="1" applyAlignment="1">
      <alignment horizontal="left"/>
    </xf>
    <xf numFmtId="186" fontId="0" fillId="0" borderId="28" xfId="0" applyNumberFormat="1" applyBorder="1" applyAlignment="1">
      <alignment horizontal="center"/>
    </xf>
    <xf numFmtId="0" fontId="0" fillId="0" borderId="7" xfId="0" applyFont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47" fillId="0" borderId="46" xfId="0" applyFont="1" applyBorder="1" applyAlignment="1">
      <alignment horizontal="right"/>
    </xf>
    <xf numFmtId="0" fontId="47" fillId="0" borderId="14" xfId="0" applyFont="1" applyBorder="1" applyAlignment="1">
      <alignment horizontal="right"/>
    </xf>
    <xf numFmtId="0" fontId="47" fillId="0" borderId="15" xfId="0" applyFont="1" applyBorder="1" applyAlignment="1">
      <alignment horizontal="right"/>
    </xf>
    <xf numFmtId="0" fontId="47" fillId="0" borderId="0" xfId="0" applyFont="1" applyBorder="1" applyAlignment="1">
      <alignment horizontal="right"/>
    </xf>
    <xf numFmtId="49" fontId="50" fillId="0" borderId="0" xfId="0" applyNumberFormat="1" applyFont="1" applyFill="1" applyBorder="1" applyAlignment="1">
      <alignment horizontal="left" vertical="center"/>
    </xf>
    <xf numFmtId="0" fontId="50" fillId="0" borderId="20" xfId="0" applyNumberFormat="1" applyFont="1" applyFill="1" applyBorder="1" applyAlignment="1">
      <alignment horizontal="left" vertical="center"/>
    </xf>
    <xf numFmtId="0" fontId="23" fillId="0" borderId="15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47" fillId="0" borderId="5" xfId="0" applyFont="1" applyBorder="1" applyAlignment="1">
      <alignment horizontal="left"/>
    </xf>
    <xf numFmtId="0" fontId="47" fillId="0" borderId="43" xfId="0" applyFont="1" applyBorder="1" applyAlignment="1">
      <alignment horizontal="left"/>
    </xf>
    <xf numFmtId="186" fontId="0" fillId="0" borderId="13" xfId="0" applyNumberForma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66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0" fillId="0" borderId="56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49" fontId="0" fillId="0" borderId="25" xfId="0" applyNumberFormat="1" applyFill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168" fontId="0" fillId="0" borderId="13" xfId="0" applyNumberFormat="1" applyFill="1" applyBorder="1" applyAlignment="1">
      <alignment horizontal="center"/>
    </xf>
    <xf numFmtId="168" fontId="0" fillId="0" borderId="35" xfId="0" applyNumberFormat="1" applyFill="1" applyBorder="1" applyAlignment="1">
      <alignment horizontal="center"/>
    </xf>
    <xf numFmtId="168" fontId="0" fillId="0" borderId="52" xfId="0" applyNumberFormat="1" applyFill="1" applyBorder="1" applyAlignment="1">
      <alignment horizontal="center"/>
    </xf>
    <xf numFmtId="168" fontId="0" fillId="0" borderId="36" xfId="0" applyNumberFormat="1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2" fontId="0" fillId="0" borderId="26" xfId="0" applyNumberFormat="1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13" xfId="0" applyNumberFormat="1" applyFill="1" applyBorder="1" applyAlignment="1">
      <alignment horizontal="center"/>
    </xf>
    <xf numFmtId="2" fontId="0" fillId="0" borderId="37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61" xfId="0" applyFill="1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0" fillId="0" borderId="35" xfId="0" applyNumberFormat="1" applyFill="1" applyBorder="1" applyAlignment="1">
      <alignment horizontal="center"/>
    </xf>
    <xf numFmtId="0" fontId="0" fillId="0" borderId="36" xfId="0" applyNumberForma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23" fillId="0" borderId="4" xfId="0" applyFont="1" applyFill="1" applyBorder="1" applyAlignment="1">
      <alignment horizontal="left"/>
    </xf>
    <xf numFmtId="0" fontId="47" fillId="0" borderId="5" xfId="0" applyFont="1" applyFill="1" applyBorder="1" applyAlignment="1">
      <alignment horizontal="left"/>
    </xf>
    <xf numFmtId="0" fontId="47" fillId="0" borderId="43" xfId="0" applyFont="1" applyFill="1" applyBorder="1" applyAlignment="1">
      <alignment horizontal="left"/>
    </xf>
    <xf numFmtId="2" fontId="0" fillId="0" borderId="43" xfId="0" applyNumberFormat="1" applyFill="1" applyBorder="1" applyAlignment="1">
      <alignment horizontal="center"/>
    </xf>
    <xf numFmtId="2" fontId="0" fillId="0" borderId="67" xfId="0" applyNumberFormat="1" applyFill="1" applyBorder="1" applyAlignment="1">
      <alignment horizontal="center"/>
    </xf>
    <xf numFmtId="2" fontId="0" fillId="0" borderId="42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47" fillId="0" borderId="46" xfId="0" applyFont="1" applyFill="1" applyBorder="1" applyAlignment="1">
      <alignment horizontal="right"/>
    </xf>
    <xf numFmtId="0" fontId="47" fillId="0" borderId="14" xfId="0" applyFont="1" applyFill="1" applyBorder="1" applyAlignment="1">
      <alignment horizontal="right"/>
    </xf>
    <xf numFmtId="0" fontId="47" fillId="0" borderId="15" xfId="0" applyFont="1" applyFill="1" applyBorder="1" applyAlignment="1">
      <alignment horizontal="right"/>
    </xf>
    <xf numFmtId="0" fontId="47" fillId="0" borderId="0" xfId="0" applyFont="1" applyFill="1" applyBorder="1" applyAlignment="1">
      <alignment horizontal="right"/>
    </xf>
    <xf numFmtId="186" fontId="0" fillId="0" borderId="0" xfId="0" applyNumberFormat="1" applyFill="1" applyBorder="1" applyAlignment="1">
      <alignment horizontal="center"/>
    </xf>
    <xf numFmtId="0" fontId="0" fillId="0" borderId="5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1" fontId="0" fillId="0" borderId="59" xfId="0" applyNumberFormat="1" applyFill="1" applyBorder="1" applyAlignment="1">
      <alignment horizontal="center" vertical="center"/>
    </xf>
    <xf numFmtId="0" fontId="0" fillId="0" borderId="2" xfId="0" applyFill="1" applyBorder="1"/>
    <xf numFmtId="0" fontId="0" fillId="0" borderId="54" xfId="0" applyFill="1" applyBorder="1"/>
    <xf numFmtId="0" fontId="0" fillId="0" borderId="37" xfId="0" applyFill="1" applyBorder="1"/>
    <xf numFmtId="0" fontId="0" fillId="0" borderId="0" xfId="0" applyFill="1" applyBorder="1"/>
    <xf numFmtId="0" fontId="0" fillId="0" borderId="19" xfId="0" applyFill="1" applyBorder="1"/>
    <xf numFmtId="0" fontId="0" fillId="0" borderId="38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60" xfId="0" applyFill="1" applyBorder="1" applyAlignment="1">
      <alignment horizontal="center"/>
    </xf>
    <xf numFmtId="168" fontId="0" fillId="0" borderId="55" xfId="0" applyNumberFormat="1" applyFill="1" applyBorder="1" applyAlignment="1">
      <alignment horizontal="center"/>
    </xf>
    <xf numFmtId="168" fontId="0" fillId="0" borderId="50" xfId="0" applyNumberFormat="1" applyFill="1" applyBorder="1" applyAlignment="1">
      <alignment horizontal="center"/>
    </xf>
    <xf numFmtId="168" fontId="0" fillId="0" borderId="49" xfId="0" applyNumberFormat="1" applyFill="1" applyBorder="1" applyAlignment="1">
      <alignment horizontal="center"/>
    </xf>
    <xf numFmtId="49" fontId="5" fillId="0" borderId="19" xfId="0" applyNumberFormat="1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1" fontId="0" fillId="0" borderId="57" xfId="0" applyNumberFormat="1" applyFill="1" applyBorder="1" applyAlignment="1">
      <alignment horizontal="center"/>
    </xf>
    <xf numFmtId="1" fontId="0" fillId="0" borderId="5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186" fontId="0" fillId="0" borderId="28" xfId="0" applyNumberFormat="1" applyFill="1" applyBorder="1" applyAlignment="1">
      <alignment horizontal="center"/>
    </xf>
    <xf numFmtId="189" fontId="0" fillId="0" borderId="28" xfId="0" applyNumberFormat="1" applyFill="1" applyBorder="1" applyAlignment="1">
      <alignment horizontal="center"/>
    </xf>
    <xf numFmtId="189" fontId="0" fillId="0" borderId="29" xfId="0" applyNumberFormat="1" applyFill="1" applyBorder="1" applyAlignment="1">
      <alignment horizontal="center"/>
    </xf>
    <xf numFmtId="0" fontId="9" fillId="0" borderId="1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right"/>
    </xf>
    <xf numFmtId="0" fontId="9" fillId="0" borderId="15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0" fillId="0" borderId="59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Font="1" applyFill="1" applyBorder="1" applyAlignment="1">
      <alignment horizontal="right"/>
    </xf>
    <xf numFmtId="193" fontId="0" fillId="4" borderId="2" xfId="0" applyNumberFormat="1" applyFill="1" applyBorder="1" applyAlignment="1">
      <alignment horizontal="left"/>
    </xf>
    <xf numFmtId="193" fontId="0" fillId="4" borderId="3" xfId="0" applyNumberFormat="1" applyFill="1" applyBorder="1" applyAlignment="1">
      <alignment horizontal="left"/>
    </xf>
    <xf numFmtId="0" fontId="0" fillId="0" borderId="1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187" fontId="0" fillId="0" borderId="0" xfId="0" applyNumberFormat="1" applyFill="1" applyBorder="1" applyAlignment="1">
      <alignment horizontal="center" vertical="center"/>
    </xf>
    <xf numFmtId="187" fontId="0" fillId="0" borderId="16" xfId="0" applyNumberFormat="1" applyFill="1" applyBorder="1" applyAlignment="1">
      <alignment horizontal="center" vertical="center"/>
    </xf>
    <xf numFmtId="187" fontId="0" fillId="0" borderId="5" xfId="0" applyNumberFormat="1" applyFill="1" applyBorder="1" applyAlignment="1">
      <alignment horizontal="center" vertical="center"/>
    </xf>
    <xf numFmtId="187" fontId="0" fillId="0" borderId="6" xfId="0" applyNumberFormat="1" applyFill="1" applyBorder="1" applyAlignment="1">
      <alignment horizontal="center" vertical="center"/>
    </xf>
    <xf numFmtId="188" fontId="0" fillId="0" borderId="5" xfId="0" applyNumberFormat="1" applyFill="1" applyBorder="1" applyAlignment="1">
      <alignment horizontal="center"/>
    </xf>
    <xf numFmtId="168" fontId="0" fillId="0" borderId="0" xfId="0" applyNumberFormat="1" applyFill="1" applyBorder="1" applyAlignment="1">
      <alignment horizontal="center"/>
    </xf>
    <xf numFmtId="49" fontId="6" fillId="0" borderId="19" xfId="0" applyNumberFormat="1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/>
    </xf>
    <xf numFmtId="0" fontId="0" fillId="0" borderId="14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18" xfId="0" applyNumberFormat="1" applyFill="1" applyBorder="1" applyAlignment="1">
      <alignment horizontal="center"/>
    </xf>
    <xf numFmtId="0" fontId="0" fillId="0" borderId="23" xfId="0" applyNumberForma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49" fontId="30" fillId="0" borderId="0" xfId="0" applyNumberFormat="1" applyFont="1" applyFill="1" applyAlignment="1">
      <alignment horizontal="left"/>
    </xf>
    <xf numFmtId="0" fontId="30" fillId="0" borderId="0" xfId="0" applyFont="1" applyFill="1" applyAlignment="1">
      <alignment horizontal="center"/>
    </xf>
    <xf numFmtId="186" fontId="0" fillId="0" borderId="40" xfId="0" applyNumberFormat="1" applyFill="1" applyBorder="1" applyAlignment="1">
      <alignment horizontal="center"/>
    </xf>
    <xf numFmtId="186" fontId="0" fillId="0" borderId="14" xfId="0" applyNumberFormat="1" applyFill="1" applyBorder="1" applyAlignment="1">
      <alignment horizontal="center"/>
    </xf>
    <xf numFmtId="186" fontId="0" fillId="0" borderId="18" xfId="0" applyNumberFormat="1" applyFill="1" applyBorder="1" applyAlignment="1">
      <alignment horizontal="center"/>
    </xf>
    <xf numFmtId="186" fontId="0" fillId="0" borderId="37" xfId="0" applyNumberFormat="1" applyFill="1" applyBorder="1" applyAlignment="1">
      <alignment horizontal="center"/>
    </xf>
    <xf numFmtId="186" fontId="0" fillId="0" borderId="19" xfId="0" applyNumberFormat="1" applyFill="1" applyBorder="1" applyAlignment="1">
      <alignment horizontal="center"/>
    </xf>
    <xf numFmtId="186" fontId="0" fillId="0" borderId="38" xfId="0" applyNumberFormat="1" applyFill="1" applyBorder="1" applyAlignment="1">
      <alignment horizontal="center"/>
    </xf>
    <xf numFmtId="186" fontId="0" fillId="0" borderId="20" xfId="0" applyNumberFormat="1" applyFill="1" applyBorder="1" applyAlignment="1">
      <alignment horizontal="center"/>
    </xf>
    <xf numFmtId="186" fontId="0" fillId="0" borderId="21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23" fillId="0" borderId="61" xfId="0" applyFont="1" applyFill="1" applyBorder="1" applyAlignment="1">
      <alignment horizontal="left"/>
    </xf>
    <xf numFmtId="0" fontId="23" fillId="0" borderId="52" xfId="0" applyFont="1" applyFill="1" applyBorder="1" applyAlignment="1">
      <alignment horizontal="left"/>
    </xf>
    <xf numFmtId="0" fontId="23" fillId="0" borderId="36" xfId="0" applyFont="1" applyFill="1" applyBorder="1" applyAlignment="1">
      <alignment horizontal="left"/>
    </xf>
    <xf numFmtId="0" fontId="0" fillId="0" borderId="60" xfId="0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0" fontId="0" fillId="0" borderId="40" xfId="0" applyFill="1" applyBorder="1" applyAlignment="1">
      <alignment horizontal="left"/>
    </xf>
    <xf numFmtId="0" fontId="0" fillId="0" borderId="64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23" fillId="0" borderId="1" xfId="0" applyFont="1" applyFill="1" applyBorder="1" applyAlignment="1">
      <alignment horizontal="right"/>
    </xf>
    <xf numFmtId="0" fontId="23" fillId="0" borderId="2" xfId="0" applyFont="1" applyFill="1" applyBorder="1" applyAlignment="1">
      <alignment horizontal="right"/>
    </xf>
    <xf numFmtId="0" fontId="23" fillId="0" borderId="15" xfId="0" applyFont="1" applyFill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4" xfId="0" applyBorder="1" applyAlignment="1">
      <alignment horizont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66" xfId="0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9" fontId="0" fillId="0" borderId="28" xfId="1" applyFont="1" applyBorder="1" applyAlignment="1">
      <alignment horizontal="center"/>
    </xf>
    <xf numFmtId="0" fontId="0" fillId="0" borderId="26" xfId="0" applyBorder="1" applyAlignment="1">
      <alignment horizontal="center"/>
    </xf>
    <xf numFmtId="189" fontId="0" fillId="0" borderId="13" xfId="0" applyNumberFormat="1" applyBorder="1" applyAlignment="1">
      <alignment horizontal="center"/>
    </xf>
    <xf numFmtId="186" fontId="0" fillId="0" borderId="1" xfId="0" applyNumberFormat="1" applyBorder="1" applyAlignment="1">
      <alignment horizontal="center" vertical="center"/>
    </xf>
    <xf numFmtId="186" fontId="0" fillId="0" borderId="3" xfId="0" applyNumberFormat="1" applyBorder="1" applyAlignment="1">
      <alignment horizontal="center" vertical="center"/>
    </xf>
    <xf numFmtId="186" fontId="0" fillId="0" borderId="15" xfId="0" applyNumberFormat="1" applyBorder="1" applyAlignment="1">
      <alignment horizontal="center" vertical="center"/>
    </xf>
    <xf numFmtId="186" fontId="0" fillId="0" borderId="16" xfId="0" applyNumberFormat="1" applyBorder="1" applyAlignment="1">
      <alignment horizontal="center" vertical="center"/>
    </xf>
    <xf numFmtId="186" fontId="0" fillId="0" borderId="4" xfId="0" applyNumberFormat="1" applyBorder="1" applyAlignment="1">
      <alignment horizontal="center" vertical="center"/>
    </xf>
    <xf numFmtId="186" fontId="0" fillId="0" borderId="6" xfId="0" applyNumberFormat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2" fontId="0" fillId="0" borderId="15" xfId="0" applyNumberFormat="1" applyBorder="1" applyAlignment="1">
      <alignment horizontal="left" vertical="top" wrapText="1"/>
    </xf>
    <xf numFmtId="2" fontId="0" fillId="0" borderId="0" xfId="0" applyNumberFormat="1" applyBorder="1" applyAlignment="1">
      <alignment horizontal="left" vertical="top" wrapText="1"/>
    </xf>
    <xf numFmtId="2" fontId="0" fillId="0" borderId="27" xfId="0" applyNumberFormat="1" applyBorder="1" applyAlignment="1">
      <alignment horizontal="center"/>
    </xf>
    <xf numFmtId="0" fontId="0" fillId="0" borderId="44" xfId="0" applyBorder="1" applyAlignment="1">
      <alignment horizontal="center" vertical="center"/>
    </xf>
    <xf numFmtId="49" fontId="0" fillId="0" borderId="25" xfId="0" applyNumberFormat="1" applyBorder="1" applyAlignment="1">
      <alignment horizontal="left"/>
    </xf>
    <xf numFmtId="49" fontId="0" fillId="0" borderId="1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49" fontId="30" fillId="4" borderId="0" xfId="0" applyNumberFormat="1" applyFont="1" applyFill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Border="1" applyAlignment="1">
      <alignment horizontal="right"/>
    </xf>
    <xf numFmtId="0" fontId="6" fillId="0" borderId="0" xfId="0" applyNumberFormat="1" applyFont="1" applyBorder="1" applyAlignment="1">
      <alignment horizontal="left" vertical="center"/>
    </xf>
    <xf numFmtId="186" fontId="0" fillId="0" borderId="2" xfId="0" applyNumberFormat="1" applyBorder="1" applyAlignment="1">
      <alignment horizontal="center" vertical="center"/>
    </xf>
    <xf numFmtId="186" fontId="0" fillId="0" borderId="54" xfId="0" applyNumberFormat="1" applyBorder="1" applyAlignment="1">
      <alignment horizontal="center" vertical="center"/>
    </xf>
    <xf numFmtId="186" fontId="0" fillId="0" borderId="0" xfId="0" applyNumberFormat="1" applyBorder="1" applyAlignment="1">
      <alignment horizontal="center" vertical="center"/>
    </xf>
    <xf numFmtId="186" fontId="0" fillId="0" borderId="19" xfId="0" applyNumberFormat="1" applyBorder="1" applyAlignment="1">
      <alignment horizontal="center" vertical="center"/>
    </xf>
    <xf numFmtId="186" fontId="0" fillId="0" borderId="5" xfId="0" applyNumberFormat="1" applyBorder="1" applyAlignment="1">
      <alignment horizontal="center" vertical="center"/>
    </xf>
    <xf numFmtId="186" fontId="0" fillId="0" borderId="43" xfId="0" applyNumberForma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/>
    </xf>
    <xf numFmtId="186" fontId="0" fillId="0" borderId="59" xfId="0" applyNumberFormat="1" applyBorder="1" applyAlignment="1">
      <alignment horizontal="center" vertical="center"/>
    </xf>
    <xf numFmtId="186" fontId="0" fillId="0" borderId="37" xfId="0" applyNumberFormat="1" applyBorder="1" applyAlignment="1">
      <alignment horizontal="center" vertical="center"/>
    </xf>
    <xf numFmtId="186" fontId="0" fillId="0" borderId="42" xfId="0" applyNumberFormat="1" applyBorder="1" applyAlignment="1">
      <alignment horizontal="center" vertical="center"/>
    </xf>
    <xf numFmtId="49" fontId="0" fillId="0" borderId="60" xfId="0" applyNumberFormat="1" applyBorder="1" applyAlignment="1">
      <alignment horizontal="left"/>
    </xf>
    <xf numFmtId="49" fontId="0" fillId="0" borderId="44" xfId="0" applyNumberFormat="1" applyBorder="1" applyAlignment="1">
      <alignment horizontal="left"/>
    </xf>
    <xf numFmtId="9" fontId="0" fillId="0" borderId="29" xfId="1" applyFont="1" applyBorder="1" applyAlignment="1">
      <alignment horizontal="center"/>
    </xf>
    <xf numFmtId="193" fontId="0" fillId="4" borderId="7" xfId="0" applyNumberFormat="1" applyFill="1" applyBorder="1" applyAlignment="1">
      <alignment horizontal="center"/>
    </xf>
    <xf numFmtId="193" fontId="0" fillId="4" borderId="9" xfId="0" applyNumberFormat="1" applyFill="1" applyBorder="1" applyAlignment="1">
      <alignment horizontal="center"/>
    </xf>
    <xf numFmtId="2" fontId="23" fillId="0" borderId="5" xfId="0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7" fillId="0" borderId="5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49" fontId="0" fillId="0" borderId="25" xfId="0" applyNumberFormat="1" applyFill="1" applyBorder="1" applyAlignment="1">
      <alignment horizontal="left"/>
    </xf>
    <xf numFmtId="49" fontId="0" fillId="0" borderId="13" xfId="0" applyNumberFormat="1" applyFill="1" applyBorder="1" applyAlignment="1">
      <alignment horizontal="left"/>
    </xf>
    <xf numFmtId="0" fontId="0" fillId="0" borderId="26" xfId="0" applyFill="1" applyBorder="1" applyAlignment="1">
      <alignment horizontal="center"/>
    </xf>
    <xf numFmtId="49" fontId="0" fillId="0" borderId="60" xfId="0" applyNumberFormat="1" applyFill="1" applyBorder="1" applyAlignment="1">
      <alignment horizontal="left"/>
    </xf>
    <xf numFmtId="49" fontId="0" fillId="0" borderId="44" xfId="0" applyNumberFormat="1" applyFill="1" applyBorder="1" applyAlignment="1">
      <alignment horizontal="left"/>
    </xf>
    <xf numFmtId="186" fontId="0" fillId="0" borderId="0" xfId="0" applyNumberForma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189" fontId="0" fillId="0" borderId="55" xfId="0" applyNumberFormat="1" applyFill="1" applyBorder="1" applyAlignment="1">
      <alignment horizontal="center"/>
    </xf>
    <xf numFmtId="189" fontId="0" fillId="0" borderId="63" xfId="0" applyNumberFormat="1" applyFill="1" applyBorder="1" applyAlignment="1">
      <alignment horizontal="center"/>
    </xf>
    <xf numFmtId="186" fontId="0" fillId="0" borderId="59" xfId="0" applyNumberFormat="1" applyFill="1" applyBorder="1" applyAlignment="1">
      <alignment horizontal="center" vertical="center"/>
    </xf>
    <xf numFmtId="186" fontId="0" fillId="0" borderId="54" xfId="0" applyNumberFormat="1" applyFill="1" applyBorder="1" applyAlignment="1">
      <alignment horizontal="center" vertical="center"/>
    </xf>
    <xf numFmtId="186" fontId="0" fillId="0" borderId="37" xfId="0" applyNumberFormat="1" applyFill="1" applyBorder="1" applyAlignment="1">
      <alignment horizontal="center" vertical="center"/>
    </xf>
    <xf numFmtId="186" fontId="0" fillId="0" borderId="19" xfId="0" applyNumberFormat="1" applyFill="1" applyBorder="1" applyAlignment="1">
      <alignment horizontal="center" vertical="center"/>
    </xf>
    <xf numFmtId="186" fontId="0" fillId="0" borderId="42" xfId="0" applyNumberFormat="1" applyFill="1" applyBorder="1" applyAlignment="1">
      <alignment horizontal="center" vertical="center"/>
    </xf>
    <xf numFmtId="186" fontId="0" fillId="0" borderId="43" xfId="0" applyNumberFormat="1" applyFill="1" applyBorder="1" applyAlignment="1">
      <alignment horizontal="center" vertical="center"/>
    </xf>
    <xf numFmtId="186" fontId="0" fillId="0" borderId="1" xfId="0" applyNumberFormat="1" applyFill="1" applyBorder="1" applyAlignment="1">
      <alignment horizontal="center" vertical="center"/>
    </xf>
    <xf numFmtId="186" fontId="0" fillId="0" borderId="3" xfId="0" applyNumberFormat="1" applyFill="1" applyBorder="1" applyAlignment="1">
      <alignment horizontal="center" vertical="center"/>
    </xf>
    <xf numFmtId="186" fontId="0" fillId="0" borderId="15" xfId="0" applyNumberFormat="1" applyFill="1" applyBorder="1" applyAlignment="1">
      <alignment horizontal="center" vertical="center"/>
    </xf>
    <xf numFmtId="186" fontId="0" fillId="0" borderId="16" xfId="0" applyNumberFormat="1" applyFill="1" applyBorder="1" applyAlignment="1">
      <alignment horizontal="center" vertical="center"/>
    </xf>
    <xf numFmtId="186" fontId="0" fillId="0" borderId="4" xfId="0" applyNumberFormat="1" applyFill="1" applyBorder="1" applyAlignment="1">
      <alignment horizontal="center" vertical="center"/>
    </xf>
    <xf numFmtId="186" fontId="0" fillId="0" borderId="6" xfId="0" applyNumberForma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left" vertical="center"/>
    </xf>
    <xf numFmtId="2" fontId="0" fillId="0" borderId="27" xfId="0" applyNumberFormat="1" applyFill="1" applyBorder="1" applyAlignment="1">
      <alignment horizontal="center"/>
    </xf>
    <xf numFmtId="2" fontId="0" fillId="0" borderId="28" xfId="0" applyNumberFormat="1" applyFill="1" applyBorder="1" applyAlignment="1">
      <alignment horizontal="center"/>
    </xf>
    <xf numFmtId="0" fontId="0" fillId="0" borderId="5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7" fillId="0" borderId="5" xfId="0" applyNumberFormat="1" applyFont="1" applyFill="1" applyBorder="1" applyAlignment="1">
      <alignment horizontal="center"/>
    </xf>
    <xf numFmtId="193" fontId="0" fillId="4" borderId="2" xfId="0" applyNumberFormat="1" applyFill="1" applyBorder="1" applyAlignment="1">
      <alignment horizontal="center"/>
    </xf>
    <xf numFmtId="193" fontId="0" fillId="4" borderId="3" xfId="0" applyNumberFormat="1" applyFill="1" applyBorder="1" applyAlignment="1">
      <alignment horizontal="center"/>
    </xf>
    <xf numFmtId="49" fontId="30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right"/>
    </xf>
    <xf numFmtId="0" fontId="0" fillId="0" borderId="15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189" fontId="0" fillId="0" borderId="35" xfId="0" applyNumberFormat="1" applyFill="1" applyBorder="1" applyAlignment="1">
      <alignment horizontal="center"/>
    </xf>
    <xf numFmtId="189" fontId="0" fillId="0" borderId="52" xfId="0" applyNumberFormat="1" applyFill="1" applyBorder="1" applyAlignment="1">
      <alignment horizontal="center"/>
    </xf>
    <xf numFmtId="189" fontId="0" fillId="0" borderId="36" xfId="0" applyNumberFormat="1" applyFill="1" applyBorder="1" applyAlignment="1">
      <alignment horizontal="center"/>
    </xf>
    <xf numFmtId="2" fontId="0" fillId="0" borderId="55" xfId="0" applyNumberFormat="1" applyFill="1" applyBorder="1" applyAlignment="1">
      <alignment horizontal="center"/>
    </xf>
    <xf numFmtId="2" fontId="0" fillId="0" borderId="50" xfId="0" applyNumberFormat="1" applyFill="1" applyBorder="1" applyAlignment="1">
      <alignment horizontal="center"/>
    </xf>
    <xf numFmtId="2" fontId="0" fillId="0" borderId="49" xfId="0" applyNumberFormat="1" applyFill="1" applyBorder="1" applyAlignment="1">
      <alignment horizontal="center"/>
    </xf>
    <xf numFmtId="186" fontId="0" fillId="0" borderId="5" xfId="0" applyNumberFormat="1" applyFill="1" applyBorder="1" applyAlignment="1">
      <alignment horizontal="center"/>
    </xf>
    <xf numFmtId="189" fontId="0" fillId="0" borderId="13" xfId="0" applyNumberForma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54" xfId="0" applyFill="1" applyBorder="1" applyAlignment="1">
      <alignment horizontal="center"/>
    </xf>
    <xf numFmtId="2" fontId="23" fillId="0" borderId="5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left" vertical="top" wrapText="1"/>
    </xf>
    <xf numFmtId="0" fontId="17" fillId="0" borderId="0" xfId="0" applyFont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6" fontId="0" fillId="0" borderId="0" xfId="0" applyNumberFormat="1" applyAlignment="1">
      <alignment horizontal="center"/>
    </xf>
    <xf numFmtId="0" fontId="38" fillId="0" borderId="20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right"/>
    </xf>
    <xf numFmtId="0" fontId="0" fillId="0" borderId="38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 wrapText="1"/>
    </xf>
    <xf numFmtId="0" fontId="3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/>
    </xf>
    <xf numFmtId="0" fontId="24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190" fontId="0" fillId="0" borderId="0" xfId="0" applyNumberFormat="1" applyAlignment="1">
      <alignment horizontal="left" vertical="center"/>
    </xf>
    <xf numFmtId="0" fontId="7" fillId="0" borderId="20" xfId="0" applyFont="1" applyBorder="1" applyAlignment="1">
      <alignment horizontal="center"/>
    </xf>
    <xf numFmtId="0" fontId="0" fillId="0" borderId="19" xfId="0" applyBorder="1" applyAlignment="1">
      <alignment horizontal="left"/>
    </xf>
    <xf numFmtId="187" fontId="0" fillId="0" borderId="0" xfId="0" applyNumberFormat="1" applyAlignment="1">
      <alignment horizontal="center"/>
    </xf>
    <xf numFmtId="0" fontId="0" fillId="0" borderId="37" xfId="0" applyBorder="1" applyAlignment="1">
      <alignment horizontal="right"/>
    </xf>
    <xf numFmtId="2" fontId="0" fillId="4" borderId="0" xfId="0" applyNumberFormat="1" applyFill="1" applyAlignment="1">
      <alignment horizontal="center"/>
    </xf>
    <xf numFmtId="173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/>
    </xf>
    <xf numFmtId="190" fontId="0" fillId="4" borderId="0" xfId="0" applyNumberFormat="1" applyFill="1" applyAlignment="1">
      <alignment horizontal="left"/>
    </xf>
    <xf numFmtId="0" fontId="23" fillId="8" borderId="0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90" fontId="23" fillId="8" borderId="20" xfId="0" applyNumberFormat="1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2" fontId="0" fillId="8" borderId="20" xfId="0" applyNumberFormat="1" applyFont="1" applyFill="1" applyBorder="1" applyAlignment="1">
      <alignment horizontal="center"/>
    </xf>
    <xf numFmtId="0" fontId="0" fillId="8" borderId="20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9" fillId="8" borderId="0" xfId="0" applyFon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2" fontId="23" fillId="8" borderId="0" xfId="0" applyNumberFormat="1" applyFont="1" applyFill="1" applyAlignment="1">
      <alignment horizontal="center" vertical="center"/>
    </xf>
  </cellXfs>
  <cellStyles count="2">
    <cellStyle name="Normal" xfId="0" builtinId="0"/>
    <cellStyle name="Procent" xfId="1" builtinId="5"/>
  </cellStyles>
  <dxfs count="0"/>
  <tableStyles count="0" defaultTableStyle="TableStyleMedium2" defaultPivotStyle="PivotStyleMedium9"/>
  <colors>
    <mruColors>
      <color rgb="FFC7C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</xdr:row>
      <xdr:rowOff>180975</xdr:rowOff>
    </xdr:from>
    <xdr:to>
      <xdr:col>4</xdr:col>
      <xdr:colOff>0</xdr:colOff>
      <xdr:row>2</xdr:row>
      <xdr:rowOff>180975</xdr:rowOff>
    </xdr:to>
    <xdr:cxnSp macro="">
      <xdr:nvCxnSpPr>
        <xdr:cNvPr id="3" name="Lige forbindels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47650" y="561975"/>
          <a:ext cx="9810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19051</xdr:colOff>
      <xdr:row>1</xdr:row>
      <xdr:rowOff>38099</xdr:rowOff>
    </xdr:from>
    <xdr:to>
      <xdr:col>5</xdr:col>
      <xdr:colOff>495300</xdr:colOff>
      <xdr:row>4</xdr:row>
      <xdr:rowOff>85799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14451" y="228599"/>
          <a:ext cx="695324" cy="6192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5</xdr:col>
      <xdr:colOff>276225</xdr:colOff>
      <xdr:row>1</xdr:row>
      <xdr:rowOff>38100</xdr:rowOff>
    </xdr:from>
    <xdr:to>
      <xdr:col>8</xdr:col>
      <xdr:colOff>76200</xdr:colOff>
      <xdr:row>4</xdr:row>
      <xdr:rowOff>85800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790700" y="228600"/>
          <a:ext cx="704850" cy="6192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8</xdr:col>
      <xdr:colOff>85725</xdr:colOff>
      <xdr:row>2</xdr:row>
      <xdr:rowOff>171450</xdr:rowOff>
    </xdr:from>
    <xdr:to>
      <xdr:col>21</xdr:col>
      <xdr:colOff>0</xdr:colOff>
      <xdr:row>2</xdr:row>
      <xdr:rowOff>180975</xdr:rowOff>
    </xdr:to>
    <xdr:cxnSp macro="">
      <xdr:nvCxnSpPr>
        <xdr:cNvPr id="5" name="Lige forbindels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2447925" y="552450"/>
          <a:ext cx="2400300" cy="95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10</xdr:row>
      <xdr:rowOff>76200</xdr:rowOff>
    </xdr:from>
    <xdr:to>
      <xdr:col>3</xdr:col>
      <xdr:colOff>123825</xdr:colOff>
      <xdr:row>11</xdr:row>
      <xdr:rowOff>0</xdr:rowOff>
    </xdr:to>
    <xdr:pic>
      <xdr:nvPicPr>
        <xdr:cNvPr id="20" name="Picture 11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42925" y="876300"/>
          <a:ext cx="95250" cy="152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3"/>
  <dimension ref="A1:E3"/>
  <sheetViews>
    <sheetView showGridLines="0" zoomScale="190" zoomScaleNormal="190" workbookViewId="0">
      <selection activeCell="C16" sqref="C16"/>
    </sheetView>
  </sheetViews>
  <sheetFormatPr defaultRowHeight="15" x14ac:dyDescent="0.25"/>
  <sheetData>
    <row r="1" spans="1:5" ht="159.75" x14ac:dyDescent="2.2999999999999998">
      <c r="A1" s="223" t="s">
        <v>238</v>
      </c>
    </row>
    <row r="3" spans="1:5" x14ac:dyDescent="0.25">
      <c r="E3" s="4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/>
  <dimension ref="A1:AV81"/>
  <sheetViews>
    <sheetView showGridLines="0" tabSelected="1" topLeftCell="A22" workbookViewId="0">
      <selection activeCell="AO33" sqref="AO33"/>
    </sheetView>
  </sheetViews>
  <sheetFormatPr defaultRowHeight="15" x14ac:dyDescent="0.25"/>
  <cols>
    <col min="1" max="1" width="8.28515625" customWidth="1"/>
    <col min="2" max="2" width="2.5703125" style="45" customWidth="1"/>
    <col min="3" max="3" width="1" style="45" customWidth="1"/>
    <col min="4" max="4" width="6.7109375" style="45" customWidth="1"/>
    <col min="5" max="5" width="3.28515625" style="45" customWidth="1"/>
    <col min="6" max="6" width="8.28515625" style="45" customWidth="1"/>
    <col min="7" max="7" width="3.28515625" style="45" customWidth="1"/>
    <col min="8" max="8" width="2" style="45" customWidth="1"/>
    <col min="9" max="9" width="4.42578125" style="45" customWidth="1"/>
    <col min="10" max="10" width="1.7109375" style="45" bestFit="1" customWidth="1"/>
    <col min="11" max="11" width="4.85546875" style="45" customWidth="1"/>
    <col min="12" max="12" width="3.5703125" style="45" customWidth="1"/>
    <col min="13" max="13" width="4.28515625" style="45" customWidth="1"/>
    <col min="14" max="14" width="1.7109375" style="45" customWidth="1"/>
    <col min="15" max="15" width="5.85546875" style="45" customWidth="1"/>
    <col min="16" max="16" width="2.28515625" style="45" bestFit="1" customWidth="1"/>
    <col min="17" max="18" width="2.28515625" style="45" customWidth="1"/>
    <col min="19" max="19" width="1" style="45" customWidth="1"/>
    <col min="20" max="20" width="2" style="45" bestFit="1" customWidth="1"/>
    <col min="21" max="21" width="1" style="45" customWidth="1"/>
    <col min="22" max="22" width="5.28515625" style="45" customWidth="1"/>
    <col min="23" max="23" width="1" style="45" customWidth="1"/>
    <col min="24" max="24" width="12.85546875" customWidth="1"/>
    <col min="25" max="25" width="1" style="45" customWidth="1"/>
    <col min="26" max="26" width="3.140625" hidden="1" customWidth="1"/>
    <col min="27" max="27" width="3.140625" style="45" hidden="1" customWidth="1"/>
    <col min="28" max="28" width="5" hidden="1" customWidth="1"/>
    <col min="29" max="29" width="14" hidden="1" customWidth="1"/>
    <col min="30" max="30" width="9.85546875" hidden="1" customWidth="1"/>
    <col min="31" max="31" width="9.85546875" style="43" hidden="1" customWidth="1"/>
    <col min="32" max="32" width="9.140625" hidden="1" customWidth="1"/>
    <col min="33" max="33" width="12.7109375" hidden="1" customWidth="1"/>
    <col min="34" max="34" width="11.7109375" hidden="1" customWidth="1"/>
    <col min="35" max="35" width="11.5703125" hidden="1" customWidth="1"/>
    <col min="36" max="36" width="12.5703125" hidden="1" customWidth="1"/>
    <col min="37" max="38" width="9.140625" hidden="1" customWidth="1"/>
    <col min="39" max="39" width="11.42578125" hidden="1" customWidth="1"/>
    <col min="40" max="40" width="3.28515625" customWidth="1"/>
    <col min="42" max="42" width="12.5703125" customWidth="1"/>
    <col min="45" max="45" width="10.7109375" customWidth="1"/>
    <col min="47" max="47" width="13" customWidth="1"/>
    <col min="62" max="62" width="34.28515625" customWidth="1"/>
  </cols>
  <sheetData>
    <row r="1" spans="1:43" x14ac:dyDescent="0.25">
      <c r="F1" s="151"/>
      <c r="AE1"/>
      <c r="AH1" s="45"/>
      <c r="AI1" s="45"/>
      <c r="AJ1" s="45"/>
    </row>
    <row r="2" spans="1:43" x14ac:dyDescent="0.25">
      <c r="K2" s="151"/>
      <c r="U2" s="151"/>
      <c r="V2" s="389"/>
      <c r="AE2"/>
      <c r="AH2" s="45"/>
      <c r="AI2" s="45"/>
      <c r="AJ2" s="45"/>
    </row>
    <row r="3" spans="1:43" x14ac:dyDescent="0.25">
      <c r="K3" s="694"/>
      <c r="L3" s="389"/>
      <c r="V3" s="236"/>
      <c r="W3" s="389"/>
      <c r="AE3"/>
      <c r="AH3" s="45"/>
      <c r="AI3" s="45"/>
      <c r="AJ3" s="45"/>
    </row>
    <row r="4" spans="1:43" x14ac:dyDescent="0.25">
      <c r="K4" s="694"/>
      <c r="L4" s="389"/>
      <c r="V4" s="236"/>
      <c r="W4" s="389"/>
      <c r="AE4"/>
      <c r="AH4" s="45"/>
      <c r="AI4" s="45"/>
      <c r="AJ4" s="45"/>
    </row>
    <row r="5" spans="1:43" x14ac:dyDescent="0.25">
      <c r="V5" s="389"/>
      <c r="AE5"/>
      <c r="AH5" s="45"/>
      <c r="AI5" s="45"/>
      <c r="AJ5" s="45"/>
    </row>
    <row r="6" spans="1:43" ht="15.75" thickBot="1" x14ac:dyDescent="0.3">
      <c r="AE6"/>
      <c r="AH6" s="45"/>
      <c r="AI6" s="45"/>
      <c r="AJ6" s="45"/>
    </row>
    <row r="7" spans="1:43" ht="18" customHeight="1" thickBot="1" x14ac:dyDescent="0.4">
      <c r="A7" s="676" t="s">
        <v>383</v>
      </c>
      <c r="B7" s="677"/>
      <c r="C7" s="677"/>
      <c r="D7" s="677"/>
      <c r="E7" s="677"/>
      <c r="F7" s="677"/>
      <c r="G7" s="677"/>
      <c r="H7" s="677"/>
      <c r="I7" s="677"/>
      <c r="J7" s="677"/>
      <c r="K7" s="677"/>
      <c r="L7" s="677"/>
      <c r="M7" s="677"/>
      <c r="N7" s="677"/>
      <c r="O7" s="677"/>
      <c r="P7" s="677"/>
      <c r="Q7" s="677"/>
      <c r="R7" s="677"/>
      <c r="S7" s="677"/>
      <c r="T7" s="677"/>
      <c r="U7" s="677"/>
      <c r="V7" s="677"/>
      <c r="W7" s="677"/>
      <c r="X7" s="677"/>
      <c r="Y7" s="677"/>
      <c r="Z7" s="678"/>
      <c r="AA7" s="57"/>
      <c r="AC7" s="45"/>
      <c r="AD7" s="45"/>
      <c r="AE7" s="45"/>
      <c r="AF7" s="45"/>
      <c r="AI7" s="43"/>
      <c r="AO7" s="45"/>
      <c r="AP7" s="45"/>
      <c r="AQ7" s="45"/>
    </row>
    <row r="8" spans="1:43" ht="18.75" customHeight="1" x14ac:dyDescent="0.35">
      <c r="A8" s="79" t="s">
        <v>160</v>
      </c>
      <c r="B8" s="40"/>
      <c r="C8" s="40"/>
      <c r="D8" s="635">
        <v>150</v>
      </c>
      <c r="E8" s="635"/>
      <c r="F8" s="40" t="s">
        <v>179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11"/>
      <c r="Y8" s="11"/>
      <c r="Z8" s="80"/>
      <c r="AA8" s="40"/>
      <c r="AC8" s="45"/>
      <c r="AD8" s="45"/>
      <c r="AE8" s="45"/>
      <c r="AF8" s="45"/>
      <c r="AI8" s="43"/>
      <c r="AO8" s="45"/>
      <c r="AP8" s="45"/>
      <c r="AQ8" s="45"/>
    </row>
    <row r="9" spans="1:43" ht="18.75" customHeight="1" x14ac:dyDescent="0.25">
      <c r="A9" s="307" t="s">
        <v>48</v>
      </c>
      <c r="B9" s="40"/>
      <c r="C9" s="40"/>
      <c r="D9" s="635">
        <v>0.3</v>
      </c>
      <c r="E9" s="635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11"/>
      <c r="Y9" s="11"/>
      <c r="Z9" s="80"/>
      <c r="AA9" s="40"/>
      <c r="AF9" s="45"/>
      <c r="AI9" s="43"/>
      <c r="AO9" s="45"/>
      <c r="AP9" s="45"/>
      <c r="AQ9" s="45"/>
    </row>
    <row r="10" spans="1:43" ht="18.75" customHeight="1" x14ac:dyDescent="0.35">
      <c r="A10" s="95" t="s">
        <v>159</v>
      </c>
      <c r="B10" s="96"/>
      <c r="C10" s="96"/>
      <c r="D10" s="636">
        <v>400</v>
      </c>
      <c r="E10" s="636"/>
      <c r="F10" s="96" t="s">
        <v>152</v>
      </c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7"/>
      <c r="Y10" s="97"/>
      <c r="Z10" s="98"/>
      <c r="AA10" s="40"/>
      <c r="AF10" s="45"/>
      <c r="AI10" s="43"/>
      <c r="AO10" s="45"/>
      <c r="AP10" s="45"/>
      <c r="AQ10" s="45"/>
    </row>
    <row r="11" spans="1:43" s="45" customFormat="1" ht="18.75" thickBot="1" x14ac:dyDescent="0.4">
      <c r="A11" s="670" t="s">
        <v>176</v>
      </c>
      <c r="B11" s="637" t="s">
        <v>104</v>
      </c>
      <c r="C11" s="111"/>
      <c r="D11" s="639" t="s">
        <v>158</v>
      </c>
      <c r="E11" s="639"/>
      <c r="F11" s="637"/>
      <c r="G11" s="637" t="s">
        <v>164</v>
      </c>
      <c r="H11" s="109"/>
      <c r="K11" s="679">
        <f>D10</f>
        <v>400</v>
      </c>
      <c r="L11" s="679"/>
      <c r="M11" s="106" t="s">
        <v>163</v>
      </c>
      <c r="N11" s="106"/>
      <c r="O11" s="82"/>
      <c r="P11" s="99"/>
      <c r="Q11" s="99"/>
      <c r="R11" s="99"/>
      <c r="S11" s="99"/>
      <c r="T11" s="637" t="s">
        <v>104</v>
      </c>
      <c r="U11" s="682">
        <f>IF(D8="","",IF(D8&gt;0,ROUND(D10^2/(D8*10^6),4)))</f>
        <v>1.1000000000000001E-3</v>
      </c>
      <c r="V11" s="682"/>
      <c r="W11" s="682"/>
      <c r="X11" s="682"/>
      <c r="Y11" s="113"/>
      <c r="Z11" s="656"/>
      <c r="AA11" s="146"/>
      <c r="AG11"/>
      <c r="AH11"/>
      <c r="AI11" s="43"/>
      <c r="AJ11"/>
      <c r="AK11"/>
      <c r="AL11"/>
      <c r="AM11"/>
      <c r="AN11"/>
    </row>
    <row r="12" spans="1:43" s="45" customFormat="1" ht="18" x14ac:dyDescent="0.25">
      <c r="A12" s="671"/>
      <c r="B12" s="638"/>
      <c r="C12" s="112"/>
      <c r="D12" s="640" t="s">
        <v>160</v>
      </c>
      <c r="E12" s="640"/>
      <c r="F12" s="638"/>
      <c r="G12" s="638"/>
      <c r="H12" s="112"/>
      <c r="I12" s="97"/>
      <c r="J12" s="97"/>
      <c r="K12" s="108">
        <f>IF(D8="","",D8)</f>
        <v>150</v>
      </c>
      <c r="L12" s="222" t="s">
        <v>134</v>
      </c>
      <c r="M12" s="108">
        <v>10</v>
      </c>
      <c r="N12" s="181">
        <v>6</v>
      </c>
      <c r="O12" s="97"/>
      <c r="P12" s="107"/>
      <c r="Q12" s="107"/>
      <c r="R12" s="107"/>
      <c r="S12" s="96"/>
      <c r="T12" s="638"/>
      <c r="U12" s="683"/>
      <c r="V12" s="683"/>
      <c r="W12" s="683"/>
      <c r="X12" s="683"/>
      <c r="Y12" s="114"/>
      <c r="Z12" s="657"/>
      <c r="AA12" s="147"/>
      <c r="AG12"/>
      <c r="AH12"/>
      <c r="AI12" s="43"/>
      <c r="AJ12"/>
      <c r="AK12"/>
      <c r="AL12"/>
      <c r="AM12"/>
      <c r="AN12"/>
    </row>
    <row r="13" spans="1:43" ht="23.25" customHeight="1" thickBot="1" x14ac:dyDescent="0.3">
      <c r="A13" s="668" t="s">
        <v>180</v>
      </c>
      <c r="B13" s="643" t="s">
        <v>104</v>
      </c>
      <c r="C13" s="109"/>
      <c r="D13" s="652" t="str">
        <f>IF(A9=AE14,"tan-1",IF(A9=AE15,"cos-1"))</f>
        <v>tan-1</v>
      </c>
      <c r="E13" s="641" t="s">
        <v>161</v>
      </c>
      <c r="F13" s="85">
        <f>IF(A9=AE14,1,IF(A9=AE15,"cosϕ"))</f>
        <v>1</v>
      </c>
      <c r="G13" s="641" t="s">
        <v>162</v>
      </c>
      <c r="H13" s="117"/>
      <c r="I13" s="643" t="s">
        <v>164</v>
      </c>
      <c r="J13" s="194"/>
      <c r="K13" s="652" t="str">
        <f>IF($A$9=$AE$14,"tan-1",IF($A$9=$AE$15,"cos-1"))</f>
        <v>tan-1</v>
      </c>
      <c r="L13" s="652"/>
      <c r="M13" s="641" t="s">
        <v>161</v>
      </c>
      <c r="N13" s="171"/>
      <c r="O13" s="86">
        <f>IF($A$9=$AE$14,1,IF($A$9=$AE$15,D9))</f>
        <v>1</v>
      </c>
      <c r="P13" s="641" t="s">
        <v>162</v>
      </c>
      <c r="Q13" s="192"/>
      <c r="R13" s="192"/>
      <c r="S13" s="40"/>
      <c r="T13" s="643" t="s">
        <v>104</v>
      </c>
      <c r="U13" s="684">
        <f>IF(D9="","",IF(D9&gt;0,(IF(A9=AE14,(DEGREES(ATAN((1/D9)))),IF(A9=AE15,(DEGREES(ACOS(D9))))))))</f>
        <v>73.30075576600639</v>
      </c>
      <c r="V13" s="684"/>
      <c r="W13" s="684"/>
      <c r="X13" s="684"/>
      <c r="Y13" s="115"/>
      <c r="Z13" s="631"/>
      <c r="AA13" s="148"/>
      <c r="AF13" s="45"/>
      <c r="AI13" s="43"/>
      <c r="AO13" s="45"/>
      <c r="AP13" s="45"/>
      <c r="AQ13" s="45"/>
    </row>
    <row r="14" spans="1:43" ht="21.75" customHeight="1" thickBot="1" x14ac:dyDescent="0.3">
      <c r="A14" s="669"/>
      <c r="B14" s="644"/>
      <c r="C14" s="110"/>
      <c r="D14" s="653"/>
      <c r="E14" s="642"/>
      <c r="F14" s="85" t="str">
        <f>IF(A9=AE14,"R/X",IF(A9=AE15,1))</f>
        <v>R/X</v>
      </c>
      <c r="G14" s="642"/>
      <c r="H14" s="118"/>
      <c r="I14" s="644"/>
      <c r="J14" s="195"/>
      <c r="K14" s="653"/>
      <c r="L14" s="653"/>
      <c r="M14" s="642"/>
      <c r="N14" s="172"/>
      <c r="O14" s="86">
        <f>IF(D9="","",IF(A9=AE14,D9,IF(A9=AE15,1)))</f>
        <v>0.3</v>
      </c>
      <c r="P14" s="642"/>
      <c r="Q14" s="193"/>
      <c r="R14" s="193"/>
      <c r="S14" s="78"/>
      <c r="T14" s="644"/>
      <c r="U14" s="685"/>
      <c r="V14" s="685"/>
      <c r="W14" s="685"/>
      <c r="X14" s="685"/>
      <c r="Y14" s="116"/>
      <c r="Z14" s="632"/>
      <c r="AA14" s="88"/>
      <c r="AE14" s="45" t="s">
        <v>48</v>
      </c>
      <c r="AF14" s="45"/>
      <c r="AI14" s="43"/>
      <c r="AO14" s="45"/>
      <c r="AP14" s="45"/>
      <c r="AQ14" s="45"/>
    </row>
    <row r="15" spans="1:43" s="45" customFormat="1" ht="18.75" thickBot="1" x14ac:dyDescent="0.3">
      <c r="A15" s="89" t="s">
        <v>177</v>
      </c>
      <c r="B15" s="90"/>
      <c r="C15" s="90"/>
      <c r="D15" s="91"/>
      <c r="E15" s="91"/>
      <c r="F15" s="91"/>
      <c r="G15" s="633"/>
      <c r="H15" s="633"/>
      <c r="I15" s="633"/>
      <c r="J15" s="633"/>
      <c r="K15" s="633"/>
      <c r="L15" s="92"/>
      <c r="M15" s="92"/>
      <c r="N15" s="92"/>
      <c r="O15" s="634">
        <f>IF(D8="","",IF(D8&gt;0,U11,))</f>
        <v>1.1000000000000001E-3</v>
      </c>
      <c r="P15" s="634"/>
      <c r="Q15" s="634"/>
      <c r="R15" s="634"/>
      <c r="S15" s="634"/>
      <c r="T15" s="93" t="s">
        <v>140</v>
      </c>
      <c r="U15" s="686">
        <f>U13</f>
        <v>73.30075576600639</v>
      </c>
      <c r="V15" s="686"/>
      <c r="W15" s="686"/>
      <c r="X15" s="686"/>
      <c r="Y15" s="91"/>
      <c r="Z15" s="94"/>
      <c r="AA15" s="149"/>
      <c r="AE15" s="45" t="s">
        <v>190</v>
      </c>
      <c r="AG15"/>
      <c r="AH15"/>
      <c r="AI15" s="43"/>
      <c r="AJ15"/>
      <c r="AK15"/>
      <c r="AL15"/>
      <c r="AM15"/>
      <c r="AN15"/>
    </row>
    <row r="16" spans="1:43" s="45" customFormat="1" ht="24" thickBot="1" x14ac:dyDescent="0.3">
      <c r="A16" s="81"/>
      <c r="B16" s="83"/>
      <c r="C16" s="109"/>
      <c r="D16" s="81"/>
      <c r="E16" s="84"/>
      <c r="F16" s="57"/>
      <c r="G16" s="84"/>
      <c r="H16" s="117"/>
      <c r="I16" s="83"/>
      <c r="J16" s="194"/>
      <c r="K16" s="81"/>
      <c r="L16" s="81"/>
      <c r="M16" s="84"/>
      <c r="N16" s="171"/>
      <c r="O16" s="58"/>
      <c r="P16" s="84"/>
      <c r="Q16" s="192"/>
      <c r="R16" s="192"/>
      <c r="S16" s="40"/>
      <c r="T16" s="83"/>
      <c r="U16" s="109"/>
      <c r="V16" s="194"/>
      <c r="W16" s="109"/>
      <c r="X16" s="87"/>
      <c r="Y16" s="115"/>
      <c r="Z16" s="88"/>
      <c r="AA16" s="88"/>
      <c r="AF16"/>
      <c r="AG16"/>
      <c r="AH16"/>
      <c r="AI16" s="43"/>
      <c r="AJ16"/>
      <c r="AK16"/>
      <c r="AL16"/>
      <c r="AM16"/>
      <c r="AN16"/>
    </row>
    <row r="17" spans="1:48" s="45" customFormat="1" ht="18.75" thickBot="1" x14ac:dyDescent="0.4">
      <c r="A17" s="676" t="s">
        <v>367</v>
      </c>
      <c r="B17" s="677"/>
      <c r="C17" s="677"/>
      <c r="D17" s="677"/>
      <c r="E17" s="677"/>
      <c r="F17" s="677"/>
      <c r="G17" s="677"/>
      <c r="H17" s="677"/>
      <c r="I17" s="677"/>
      <c r="J17" s="677"/>
      <c r="K17" s="677"/>
      <c r="L17" s="677"/>
      <c r="M17" s="677"/>
      <c r="N17" s="677"/>
      <c r="O17" s="677"/>
      <c r="P17" s="677"/>
      <c r="Q17" s="677"/>
      <c r="R17" s="677"/>
      <c r="S17" s="677"/>
      <c r="T17" s="677"/>
      <c r="U17" s="677"/>
      <c r="V17" s="677"/>
      <c r="W17" s="677"/>
      <c r="X17" s="677"/>
      <c r="Y17" s="677"/>
      <c r="Z17" s="678"/>
      <c r="AA17" s="57"/>
      <c r="AF17"/>
      <c r="AG17"/>
      <c r="AH17"/>
      <c r="AI17" s="43"/>
      <c r="AJ17"/>
      <c r="AK17"/>
      <c r="AL17"/>
      <c r="AM17"/>
      <c r="AN17"/>
    </row>
    <row r="18" spans="1:48" s="45" customFormat="1" ht="18.75" customHeight="1" x14ac:dyDescent="0.35">
      <c r="A18" s="79" t="s">
        <v>166</v>
      </c>
      <c r="B18" s="40"/>
      <c r="C18" s="40"/>
      <c r="D18" s="645">
        <v>630</v>
      </c>
      <c r="E18" s="645"/>
      <c r="F18" s="40" t="s">
        <v>236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11"/>
      <c r="Y18" s="11"/>
      <c r="Z18" s="80"/>
      <c r="AA18" s="40"/>
      <c r="AD18" s="45">
        <f>(IF($A$20="PCU",1)+IF($A$20="er",2))</f>
        <v>2</v>
      </c>
      <c r="AE18" s="45">
        <f>(IF($A$20="PCU",1)+IF($A$20="er",2))</f>
        <v>2</v>
      </c>
      <c r="AG18" s="45" t="s">
        <v>206</v>
      </c>
      <c r="AH18" s="45" t="s">
        <v>207</v>
      </c>
      <c r="AI18" s="43"/>
      <c r="AJ18"/>
      <c r="AK18"/>
      <c r="AL18"/>
      <c r="AM18"/>
      <c r="AN18"/>
    </row>
    <row r="19" spans="1:48" s="45" customFormat="1" ht="18.75" customHeight="1" x14ac:dyDescent="0.35">
      <c r="A19" s="79" t="s">
        <v>168</v>
      </c>
      <c r="B19" s="40"/>
      <c r="C19" s="40"/>
      <c r="D19" s="635">
        <v>5</v>
      </c>
      <c r="E19" s="635"/>
      <c r="F19" s="40" t="s">
        <v>165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11"/>
      <c r="Y19" s="11"/>
      <c r="Z19" s="80"/>
      <c r="AA19" s="40"/>
      <c r="AD19" s="45">
        <v>1</v>
      </c>
      <c r="AE19" s="153" t="s">
        <v>263</v>
      </c>
      <c r="AF19" s="151" t="s">
        <v>188</v>
      </c>
      <c r="AG19" s="45" t="s">
        <v>187</v>
      </c>
      <c r="AH19" s="45" t="s">
        <v>208</v>
      </c>
      <c r="AI19" s="43"/>
      <c r="AJ19"/>
      <c r="AK19"/>
      <c r="AL19"/>
      <c r="AM19"/>
      <c r="AN19"/>
    </row>
    <row r="20" spans="1:48" s="45" customFormat="1" ht="18.75" customHeight="1" x14ac:dyDescent="0.25">
      <c r="A20" s="170" t="s">
        <v>187</v>
      </c>
      <c r="B20" s="40"/>
      <c r="C20" s="40"/>
      <c r="D20" s="645">
        <v>4</v>
      </c>
      <c r="E20" s="645"/>
      <c r="F20" s="40" t="str">
        <f>IF(A20="PCU","W",IF(A20="er","%",))</f>
        <v>%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11"/>
      <c r="Y20" s="11"/>
      <c r="Z20" s="80"/>
      <c r="AA20" s="40"/>
      <c r="AD20" s="45">
        <v>2</v>
      </c>
      <c r="AE20" s="152" t="s">
        <v>187</v>
      </c>
      <c r="AF20" s="151" t="s">
        <v>189</v>
      </c>
      <c r="AG20"/>
      <c r="AH20"/>
      <c r="AI20" s="43"/>
      <c r="AJ20"/>
      <c r="AK20"/>
      <c r="AL20"/>
      <c r="AM20"/>
      <c r="AN20"/>
    </row>
    <row r="21" spans="1:48" s="45" customFormat="1" ht="18.75" customHeight="1" x14ac:dyDescent="0.35">
      <c r="A21" s="95" t="s">
        <v>170</v>
      </c>
      <c r="B21" s="96"/>
      <c r="C21" s="96"/>
      <c r="D21" s="646">
        <v>420</v>
      </c>
      <c r="E21" s="646"/>
      <c r="F21" s="96" t="s">
        <v>152</v>
      </c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7"/>
      <c r="Y21" s="97"/>
      <c r="Z21" s="98"/>
      <c r="AA21" s="40"/>
      <c r="AF21"/>
      <c r="AG21"/>
      <c r="AH21"/>
      <c r="AI21" s="43"/>
      <c r="AJ21"/>
      <c r="AK21"/>
      <c r="AL21"/>
      <c r="AM21"/>
      <c r="AN21"/>
    </row>
    <row r="22" spans="1:48" s="45" customFormat="1" ht="18.75" thickBot="1" x14ac:dyDescent="0.4">
      <c r="A22" s="672" t="s">
        <v>175</v>
      </c>
      <c r="B22" s="663" t="s">
        <v>104</v>
      </c>
      <c r="C22" s="119"/>
      <c r="D22" s="662" t="s">
        <v>169</v>
      </c>
      <c r="E22" s="662"/>
      <c r="F22" s="662"/>
      <c r="G22" s="662"/>
      <c r="H22" s="138"/>
      <c r="I22" s="637" t="s">
        <v>164</v>
      </c>
      <c r="J22" s="190"/>
      <c r="K22" s="662">
        <f>IF(D19="","",D19)</f>
        <v>5</v>
      </c>
      <c r="L22" s="662"/>
      <c r="M22" s="100" t="s">
        <v>134</v>
      </c>
      <c r="N22" s="100"/>
      <c r="O22" s="101">
        <f>IF(D21="","",D21)</f>
        <v>420</v>
      </c>
      <c r="P22" s="102" t="s">
        <v>163</v>
      </c>
      <c r="Q22" s="102"/>
      <c r="R22" s="102"/>
      <c r="S22" s="103"/>
      <c r="T22" s="663" t="s">
        <v>104</v>
      </c>
      <c r="U22" s="689">
        <f>IF(D18="","",ROUND((D19*D21^2)/(100*D18*10^3),4))</f>
        <v>1.4E-2</v>
      </c>
      <c r="V22" s="689"/>
      <c r="W22" s="689"/>
      <c r="X22" s="689"/>
      <c r="Y22" s="121"/>
      <c r="Z22" s="656"/>
      <c r="AA22" s="146"/>
      <c r="AF22"/>
      <c r="AG22"/>
      <c r="AH22"/>
      <c r="AI22" s="43"/>
      <c r="AJ22"/>
      <c r="AK22"/>
      <c r="AL22"/>
      <c r="AM22"/>
      <c r="AN22"/>
    </row>
    <row r="23" spans="1:48" s="45" customFormat="1" ht="18" x14ac:dyDescent="0.35">
      <c r="A23" s="673"/>
      <c r="B23" s="664"/>
      <c r="C23" s="120"/>
      <c r="D23" s="660" t="s">
        <v>167</v>
      </c>
      <c r="E23" s="660"/>
      <c r="F23" s="660"/>
      <c r="G23" s="660"/>
      <c r="H23" s="127"/>
      <c r="I23" s="638"/>
      <c r="J23" s="191"/>
      <c r="K23" s="660">
        <v>100</v>
      </c>
      <c r="L23" s="660"/>
      <c r="M23" s="104" t="s">
        <v>134</v>
      </c>
      <c r="N23" s="45" t="s">
        <v>161</v>
      </c>
      <c r="O23" s="221">
        <f>IF(D18="","",D18)</f>
        <v>630</v>
      </c>
      <c r="P23" s="446" t="s">
        <v>441</v>
      </c>
      <c r="Q23" s="446"/>
      <c r="R23" s="446"/>
      <c r="S23" s="105"/>
      <c r="T23" s="664"/>
      <c r="U23" s="690"/>
      <c r="V23" s="690"/>
      <c r="W23" s="690"/>
      <c r="X23" s="690"/>
      <c r="Y23" s="122"/>
      <c r="Z23" s="657"/>
      <c r="AA23" s="147"/>
      <c r="AF23"/>
      <c r="AG23"/>
      <c r="AH23"/>
      <c r="AI23" s="43"/>
      <c r="AJ23"/>
      <c r="AK23"/>
      <c r="AL23"/>
      <c r="AM23"/>
      <c r="AN23"/>
      <c r="AV23" s="152"/>
    </row>
    <row r="24" spans="1:48" s="45" customFormat="1" ht="18" customHeight="1" thickBot="1" x14ac:dyDescent="0.4">
      <c r="A24" s="674" t="s">
        <v>171</v>
      </c>
      <c r="B24" s="647" t="s">
        <v>104</v>
      </c>
      <c r="C24" s="341"/>
      <c r="D24" s="661" t="s">
        <v>172</v>
      </c>
      <c r="E24" s="661"/>
      <c r="F24" s="661"/>
      <c r="G24" s="661"/>
      <c r="H24" s="342"/>
      <c r="I24" s="654" t="s">
        <v>164</v>
      </c>
      <c r="J24" s="343"/>
      <c r="K24" s="661">
        <f>IF(D20="","",D20)</f>
        <v>4</v>
      </c>
      <c r="L24" s="661"/>
      <c r="M24" s="344" t="s">
        <v>134</v>
      </c>
      <c r="N24" s="344"/>
      <c r="O24" s="345">
        <f>IF(D21="","",D21)</f>
        <v>420</v>
      </c>
      <c r="P24" s="345" t="s">
        <v>163</v>
      </c>
      <c r="Q24" s="346"/>
      <c r="R24" s="346"/>
      <c r="S24" s="346"/>
      <c r="T24" s="647" t="s">
        <v>104</v>
      </c>
      <c r="U24" s="692">
        <f>IF(D18="","",ROUND((D20*D21^2)/(D18*10^3)^2,4))</f>
        <v>0</v>
      </c>
      <c r="V24" s="692"/>
      <c r="W24" s="692"/>
      <c r="X24" s="692"/>
      <c r="Y24" s="347"/>
      <c r="Z24" s="658"/>
      <c r="AA24" s="146"/>
      <c r="AF24"/>
      <c r="AG24"/>
      <c r="AH24"/>
      <c r="AI24" s="43"/>
      <c r="AJ24"/>
      <c r="AK24"/>
      <c r="AL24"/>
      <c r="AM24"/>
      <c r="AN24"/>
      <c r="AV24" s="152"/>
    </row>
    <row r="25" spans="1:48" s="45" customFormat="1" ht="18" x14ac:dyDescent="0.35">
      <c r="A25" s="675"/>
      <c r="B25" s="648"/>
      <c r="C25" s="348"/>
      <c r="D25" s="665" t="s">
        <v>173</v>
      </c>
      <c r="E25" s="665"/>
      <c r="F25" s="665"/>
      <c r="G25" s="665"/>
      <c r="H25" s="349"/>
      <c r="I25" s="655"/>
      <c r="J25" s="350" t="s">
        <v>161</v>
      </c>
      <c r="K25" s="649">
        <f>IF(D18="","",IF(D18&gt;0,D18))</f>
        <v>630</v>
      </c>
      <c r="L25" s="649"/>
      <c r="M25" s="351" t="s">
        <v>237</v>
      </c>
      <c r="N25" s="352"/>
      <c r="O25" s="353"/>
      <c r="P25" s="354"/>
      <c r="Q25" s="354"/>
      <c r="R25" s="354"/>
      <c r="S25" s="352"/>
      <c r="T25" s="648"/>
      <c r="U25" s="693"/>
      <c r="V25" s="693"/>
      <c r="W25" s="693"/>
      <c r="X25" s="693"/>
      <c r="Y25" s="355"/>
      <c r="Z25" s="659"/>
      <c r="AA25" s="147"/>
      <c r="AF25"/>
      <c r="AG25"/>
      <c r="AH25"/>
      <c r="AI25" s="43"/>
      <c r="AJ25"/>
      <c r="AK25"/>
      <c r="AL25"/>
      <c r="AM25"/>
      <c r="AN25"/>
    </row>
    <row r="26" spans="1:48" s="45" customFormat="1" ht="24" customHeight="1" thickBot="1" x14ac:dyDescent="0.3">
      <c r="A26" s="668" t="s">
        <v>181</v>
      </c>
      <c r="B26" s="650" t="s">
        <v>104</v>
      </c>
      <c r="C26" s="123"/>
      <c r="D26" s="652" t="s">
        <v>174</v>
      </c>
      <c r="E26" s="666" t="s">
        <v>161</v>
      </c>
      <c r="F26" s="168" t="str">
        <f>IF(A20="PCU","RT",IF(A20="er","er",))</f>
        <v>er</v>
      </c>
      <c r="G26" s="666" t="s">
        <v>162</v>
      </c>
      <c r="H26" s="125"/>
      <c r="I26" s="652" t="s">
        <v>174</v>
      </c>
      <c r="J26" s="196"/>
      <c r="K26" s="641" t="s">
        <v>161</v>
      </c>
      <c r="L26" s="699">
        <f>IF(D19="","",IF(F26=A24,U24,IF(F26=A20,D20,)))</f>
        <v>4</v>
      </c>
      <c r="M26" s="699"/>
      <c r="N26" s="699"/>
      <c r="O26" s="699"/>
      <c r="P26" s="641" t="s">
        <v>162</v>
      </c>
      <c r="Q26" s="192"/>
      <c r="R26" s="192"/>
      <c r="S26" s="40"/>
      <c r="T26" s="650" t="s">
        <v>104</v>
      </c>
      <c r="U26" s="687">
        <f>IF(D20="","",ROUND(DEGREES(ACOS(L26/L27)),2))</f>
        <v>36.869999999999997</v>
      </c>
      <c r="V26" s="687"/>
      <c r="W26" s="687"/>
      <c r="X26" s="687"/>
      <c r="Y26" s="115"/>
      <c r="Z26" s="631"/>
      <c r="AA26" s="148"/>
      <c r="AF26"/>
      <c r="AG26"/>
      <c r="AH26"/>
      <c r="AI26" s="43"/>
      <c r="AJ26"/>
      <c r="AK26"/>
      <c r="AL26"/>
      <c r="AM26"/>
      <c r="AN26"/>
    </row>
    <row r="27" spans="1:48" ht="24" customHeight="1" thickBot="1" x14ac:dyDescent="0.3">
      <c r="A27" s="669"/>
      <c r="B27" s="651"/>
      <c r="C27" s="124"/>
      <c r="D27" s="653"/>
      <c r="E27" s="667"/>
      <c r="F27" s="169" t="str">
        <f>IF(A20="PCU","ZT",IF(A20="er","ek",))</f>
        <v>ek</v>
      </c>
      <c r="G27" s="667"/>
      <c r="H27" s="126"/>
      <c r="I27" s="653"/>
      <c r="J27" s="197"/>
      <c r="K27" s="642"/>
      <c r="L27" s="653">
        <f>IF(D19="","",IF(F27=A22,U22,IF(F27=A19,D19,)))</f>
        <v>5</v>
      </c>
      <c r="M27" s="653"/>
      <c r="N27" s="653"/>
      <c r="O27" s="653"/>
      <c r="P27" s="642"/>
      <c r="Q27" s="193"/>
      <c r="R27" s="193"/>
      <c r="S27" s="12"/>
      <c r="T27" s="651"/>
      <c r="U27" s="688"/>
      <c r="V27" s="688"/>
      <c r="W27" s="688"/>
      <c r="X27" s="688"/>
      <c r="Y27" s="116"/>
      <c r="Z27" s="632"/>
      <c r="AA27" s="88"/>
      <c r="AI27" s="43"/>
    </row>
    <row r="28" spans="1:48" ht="18.75" thickBot="1" x14ac:dyDescent="0.3">
      <c r="A28" s="89" t="s">
        <v>178</v>
      </c>
      <c r="B28" s="90"/>
      <c r="C28" s="90"/>
      <c r="D28" s="91"/>
      <c r="E28" s="91"/>
      <c r="F28" s="91"/>
      <c r="G28" s="633"/>
      <c r="H28" s="633"/>
      <c r="I28" s="633"/>
      <c r="J28" s="633"/>
      <c r="K28" s="633"/>
      <c r="L28" s="92"/>
      <c r="M28" s="92" t="s">
        <v>104</v>
      </c>
      <c r="N28" s="92"/>
      <c r="O28" s="698">
        <f>U22</f>
        <v>1.4E-2</v>
      </c>
      <c r="P28" s="698"/>
      <c r="Q28" s="698"/>
      <c r="R28" s="698"/>
      <c r="S28" s="698"/>
      <c r="T28" s="180" t="s">
        <v>140</v>
      </c>
      <c r="U28" s="691">
        <f>U26</f>
        <v>36.869999999999997</v>
      </c>
      <c r="V28" s="691"/>
      <c r="W28" s="691"/>
      <c r="X28" s="691"/>
      <c r="Y28" s="91"/>
      <c r="Z28" s="94"/>
      <c r="AA28" s="149"/>
      <c r="AE28"/>
      <c r="AI28" s="43"/>
    </row>
    <row r="29" spans="1:48" x14ac:dyDescent="0.25">
      <c r="AE29"/>
      <c r="AI29" s="43"/>
    </row>
    <row r="30" spans="1:48" x14ac:dyDescent="0.25">
      <c r="A30" s="45" t="s">
        <v>182</v>
      </c>
      <c r="AE30"/>
    </row>
    <row r="31" spans="1:48" x14ac:dyDescent="0.25">
      <c r="AE31"/>
    </row>
    <row r="32" spans="1:48" ht="21" thickBot="1" x14ac:dyDescent="0.4">
      <c r="A32" s="166" t="s">
        <v>210</v>
      </c>
      <c r="B32" s="45" t="s">
        <v>104</v>
      </c>
      <c r="D32" s="12"/>
      <c r="E32" s="12" t="s">
        <v>159</v>
      </c>
      <c r="F32" s="12"/>
      <c r="G32" s="12"/>
      <c r="H32" s="11"/>
      <c r="I32" s="145"/>
      <c r="J32" s="145"/>
      <c r="AE32"/>
    </row>
    <row r="33" spans="1:39" ht="18" x14ac:dyDescent="0.35">
      <c r="B33" s="141"/>
      <c r="D33" s="139" t="s">
        <v>183</v>
      </c>
      <c r="E33" s="137" t="s">
        <v>134</v>
      </c>
      <c r="F33" s="694" t="s">
        <v>368</v>
      </c>
      <c r="G33" s="694"/>
      <c r="H33" s="140"/>
      <c r="I33" s="145"/>
      <c r="J33" s="145"/>
      <c r="M33" s="695"/>
      <c r="N33" s="695"/>
      <c r="O33" s="695"/>
      <c r="AE33"/>
    </row>
    <row r="34" spans="1:39" s="45" customFormat="1" x14ac:dyDescent="0.25">
      <c r="B34" s="11"/>
      <c r="D34" s="139"/>
      <c r="E34" s="137"/>
      <c r="F34" s="130"/>
      <c r="G34" s="130"/>
      <c r="H34" s="130"/>
      <c r="I34" s="145"/>
      <c r="J34" s="145"/>
      <c r="M34" s="128"/>
      <c r="N34" s="175"/>
      <c r="O34" s="128"/>
      <c r="P34" s="143"/>
      <c r="Q34" s="143"/>
      <c r="R34" s="143"/>
    </row>
    <row r="35" spans="1:39" ht="18.75" customHeight="1" thickBot="1" x14ac:dyDescent="0.3">
      <c r="A35" s="700" t="s">
        <v>210</v>
      </c>
      <c r="B35" s="681" t="s">
        <v>104</v>
      </c>
      <c r="D35" s="627">
        <f>D10</f>
        <v>400</v>
      </c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R35" s="627"/>
      <c r="S35" s="627"/>
      <c r="T35" s="627"/>
      <c r="U35" s="74"/>
      <c r="V35" s="681" t="s">
        <v>104</v>
      </c>
      <c r="W35" s="705">
        <f>IF(O15="","",IF(O15&gt;0,ROUND((D35/(SQRT(3)*A81))*10^-3,2)))</f>
        <v>15.5</v>
      </c>
      <c r="X35" s="705"/>
      <c r="Y35" s="705"/>
      <c r="Z35" s="705"/>
      <c r="AB35" s="681"/>
    </row>
    <row r="36" spans="1:39" x14ac:dyDescent="0.25">
      <c r="A36" s="700"/>
      <c r="B36" s="681"/>
      <c r="C36" s="142"/>
      <c r="D36" s="45" t="s">
        <v>183</v>
      </c>
      <c r="E36" s="45" t="s">
        <v>134</v>
      </c>
      <c r="F36" s="696">
        <f>O15</f>
        <v>1.1000000000000001E-3</v>
      </c>
      <c r="G36" s="696"/>
      <c r="H36" s="143" t="s">
        <v>140</v>
      </c>
      <c r="I36" s="697">
        <f>U15</f>
        <v>73.30075576600639</v>
      </c>
      <c r="J36" s="697"/>
      <c r="K36" s="697"/>
      <c r="L36" s="45" t="s">
        <v>185</v>
      </c>
      <c r="M36" s="697">
        <f>O28</f>
        <v>1.4E-2</v>
      </c>
      <c r="N36" s="697"/>
      <c r="O36" s="697"/>
      <c r="P36" s="143" t="s">
        <v>140</v>
      </c>
      <c r="Q36" s="704">
        <f>U28</f>
        <v>36.869999999999997</v>
      </c>
      <c r="R36" s="704"/>
      <c r="S36" s="704"/>
      <c r="T36" s="704"/>
      <c r="U36" s="140"/>
      <c r="V36" s="681"/>
      <c r="W36" s="705"/>
      <c r="X36" s="705"/>
      <c r="Y36" s="705"/>
      <c r="Z36" s="705"/>
      <c r="AB36" s="681"/>
    </row>
    <row r="37" spans="1:39" x14ac:dyDescent="0.25">
      <c r="AE37"/>
    </row>
    <row r="38" spans="1:39" s="166" customFormat="1" ht="15" customHeight="1" x14ac:dyDescent="0.35">
      <c r="A38" s="166" t="s">
        <v>458</v>
      </c>
      <c r="B38" s="166" t="s">
        <v>104</v>
      </c>
      <c r="C38" s="710" t="s">
        <v>210</v>
      </c>
      <c r="D38" s="710"/>
      <c r="E38" s="710"/>
    </row>
    <row r="40" spans="1:39" ht="18.75" customHeight="1" thickBot="1" x14ac:dyDescent="0.3">
      <c r="A40" s="714" t="s">
        <v>211</v>
      </c>
      <c r="B40" s="681" t="s">
        <v>104</v>
      </c>
      <c r="D40" s="129" t="s">
        <v>183</v>
      </c>
      <c r="E40" s="681" t="s">
        <v>134</v>
      </c>
      <c r="F40" s="706" t="s">
        <v>210</v>
      </c>
      <c r="G40" s="681" t="s">
        <v>184</v>
      </c>
      <c r="H40" s="681"/>
      <c r="I40" s="129" t="s">
        <v>183</v>
      </c>
      <c r="J40" s="198"/>
      <c r="K40" s="681" t="s">
        <v>134</v>
      </c>
      <c r="L40" s="681">
        <f>W35</f>
        <v>15.5</v>
      </c>
      <c r="M40" s="681"/>
      <c r="N40" s="173"/>
      <c r="P40" s="695"/>
      <c r="Q40" s="695"/>
      <c r="R40" s="695"/>
      <c r="S40" s="695"/>
      <c r="T40" s="695"/>
      <c r="U40" s="695"/>
      <c r="V40" s="681" t="s">
        <v>104</v>
      </c>
      <c r="W40" s="705">
        <f>IF(W35="","",IF(W35&gt;0,(SQRT(3)/2)*W35))</f>
        <v>13.423393758658799</v>
      </c>
      <c r="X40" s="705"/>
      <c r="Y40" s="705"/>
      <c r="Z40" s="705"/>
      <c r="AB40" s="681"/>
      <c r="AF40" s="45"/>
      <c r="AG40" s="45"/>
      <c r="AH40" s="45"/>
      <c r="AI40" s="45"/>
      <c r="AJ40" s="45"/>
      <c r="AK40" s="45"/>
      <c r="AL40" s="45"/>
      <c r="AM40" s="45"/>
    </row>
    <row r="41" spans="1:39" x14ac:dyDescent="0.25">
      <c r="A41" s="714"/>
      <c r="B41" s="681"/>
      <c r="D41" s="128">
        <v>2</v>
      </c>
      <c r="E41" s="681"/>
      <c r="F41" s="706"/>
      <c r="G41" s="681"/>
      <c r="H41" s="681"/>
      <c r="I41" s="128">
        <v>2</v>
      </c>
      <c r="J41" s="199"/>
      <c r="K41" s="681"/>
      <c r="L41" s="681"/>
      <c r="M41" s="681"/>
      <c r="N41" s="173"/>
      <c r="P41" s="695"/>
      <c r="Q41" s="695"/>
      <c r="R41" s="695"/>
      <c r="S41" s="695"/>
      <c r="T41" s="695"/>
      <c r="U41" s="695"/>
      <c r="V41" s="681"/>
      <c r="W41" s="705"/>
      <c r="X41" s="705"/>
      <c r="Y41" s="705"/>
      <c r="Z41" s="705"/>
      <c r="AB41" s="681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1:39" x14ac:dyDescent="0.25"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  <row r="45" spans="1:39" ht="15" customHeight="1" x14ac:dyDescent="0.25">
      <c r="A45" s="680" t="s">
        <v>195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</row>
    <row r="46" spans="1:39" x14ac:dyDescent="0.25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</row>
    <row r="47" spans="1:39" x14ac:dyDescent="0.25">
      <c r="A47" s="680"/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</row>
    <row r="48" spans="1:39" ht="15.75" thickBot="1" x14ac:dyDescent="0.3">
      <c r="A48" s="680"/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</row>
    <row r="49" spans="1:12" ht="18.75" thickBot="1" x14ac:dyDescent="0.4">
      <c r="A49" s="715" t="s">
        <v>369</v>
      </c>
      <c r="B49" s="716"/>
      <c r="C49" s="716"/>
      <c r="D49" s="716"/>
      <c r="E49" s="716"/>
      <c r="F49" s="716"/>
      <c r="G49" s="716"/>
      <c r="H49" s="716"/>
      <c r="I49" s="716"/>
      <c r="J49" s="716"/>
      <c r="K49" s="716"/>
      <c r="L49" s="717"/>
    </row>
    <row r="50" spans="1:12" ht="20.25" x14ac:dyDescent="0.35">
      <c r="A50" s="403" t="s">
        <v>135</v>
      </c>
      <c r="B50" s="404"/>
      <c r="C50" s="405"/>
      <c r="D50" s="408">
        <v>16</v>
      </c>
      <c r="E50" s="404" t="s">
        <v>186</v>
      </c>
      <c r="F50" s="404"/>
      <c r="G50" s="404"/>
      <c r="H50" s="404"/>
      <c r="I50" s="404"/>
      <c r="J50" s="404"/>
      <c r="K50" s="404"/>
      <c r="L50" s="406"/>
    </row>
    <row r="51" spans="1:12" x14ac:dyDescent="0.25">
      <c r="A51" s="393" t="s">
        <v>212</v>
      </c>
      <c r="B51" s="391"/>
      <c r="C51" s="391"/>
      <c r="D51" s="391">
        <v>400</v>
      </c>
      <c r="E51" s="391" t="s">
        <v>152</v>
      </c>
      <c r="F51" s="391"/>
      <c r="G51" s="391"/>
      <c r="H51" s="391"/>
      <c r="I51" s="391"/>
      <c r="J51" s="391"/>
      <c r="K51" s="391"/>
      <c r="L51" s="394"/>
    </row>
    <row r="52" spans="1:12" s="45" customFormat="1" x14ac:dyDescent="0.25">
      <c r="A52" s="393" t="s">
        <v>190</v>
      </c>
      <c r="B52" s="391"/>
      <c r="C52" s="391"/>
      <c r="D52" s="410">
        <v>0.3</v>
      </c>
      <c r="E52" s="391"/>
      <c r="F52" s="391"/>
      <c r="G52" s="391"/>
      <c r="H52" s="391"/>
      <c r="I52" s="391"/>
      <c r="J52" s="391"/>
      <c r="K52" s="391"/>
      <c r="L52" s="394"/>
    </row>
    <row r="53" spans="1:12" s="387" customFormat="1" x14ac:dyDescent="0.25">
      <c r="A53" s="393"/>
      <c r="B53" s="391"/>
      <c r="C53" s="391"/>
      <c r="D53" s="413"/>
      <c r="E53" s="391"/>
      <c r="F53" s="391"/>
      <c r="G53" s="391"/>
      <c r="H53" s="391"/>
      <c r="I53" s="391"/>
      <c r="J53" s="391"/>
      <c r="K53" s="391"/>
      <c r="L53" s="394"/>
    </row>
    <row r="54" spans="1:12" s="387" customFormat="1" ht="18.75" thickBot="1" x14ac:dyDescent="0.4">
      <c r="A54" s="393" t="s">
        <v>214</v>
      </c>
      <c r="B54" s="391" t="s">
        <v>104</v>
      </c>
      <c r="C54" s="391"/>
      <c r="D54" s="627" t="s">
        <v>159</v>
      </c>
      <c r="E54" s="627"/>
      <c r="F54" s="627"/>
      <c r="G54" s="703" t="s">
        <v>140</v>
      </c>
      <c r="H54" s="652" t="s">
        <v>361</v>
      </c>
      <c r="I54" s="652"/>
      <c r="J54" s="391"/>
      <c r="K54" s="391"/>
      <c r="L54" s="394"/>
    </row>
    <row r="55" spans="1:12" s="387" customFormat="1" ht="18.75" x14ac:dyDescent="0.35">
      <c r="A55" s="393"/>
      <c r="B55" s="391"/>
      <c r="C55" s="391"/>
      <c r="D55" s="620" t="s">
        <v>362</v>
      </c>
      <c r="E55" s="620"/>
      <c r="F55" s="620"/>
      <c r="G55" s="652"/>
      <c r="H55" s="652"/>
      <c r="I55" s="652"/>
      <c r="J55" s="391"/>
      <c r="K55" s="391"/>
      <c r="L55" s="394"/>
    </row>
    <row r="56" spans="1:12" s="388" customFormat="1" x14ac:dyDescent="0.25">
      <c r="A56" s="393"/>
      <c r="B56" s="391"/>
      <c r="C56" s="391"/>
      <c r="D56" s="414"/>
      <c r="E56" s="414"/>
      <c r="F56" s="414"/>
      <c r="G56" s="391"/>
      <c r="H56" s="391"/>
      <c r="I56" s="391"/>
      <c r="J56" s="391"/>
      <c r="K56" s="391"/>
      <c r="L56" s="394"/>
    </row>
    <row r="57" spans="1:12" s="387" customFormat="1" ht="15.75" thickBot="1" x14ac:dyDescent="0.3">
      <c r="A57" s="393"/>
      <c r="B57" s="391"/>
      <c r="C57" s="391"/>
      <c r="D57" s="629">
        <v>400</v>
      </c>
      <c r="E57" s="629"/>
      <c r="F57" s="629"/>
      <c r="G57" s="629"/>
      <c r="H57" s="629"/>
      <c r="I57" s="623" t="s">
        <v>373</v>
      </c>
      <c r="J57" s="623"/>
      <c r="K57" s="621">
        <f>IF(D52="","",D52)</f>
        <v>0.3</v>
      </c>
      <c r="L57" s="625" t="s">
        <v>104</v>
      </c>
    </row>
    <row r="58" spans="1:12" s="387" customFormat="1" ht="17.25" x14ac:dyDescent="0.25">
      <c r="A58" s="396"/>
      <c r="B58" s="397"/>
      <c r="C58" s="397"/>
      <c r="D58" s="427" t="s">
        <v>359</v>
      </c>
      <c r="E58" s="628">
        <f>D50</f>
        <v>16</v>
      </c>
      <c r="F58" s="628"/>
      <c r="G58" s="628" t="s">
        <v>360</v>
      </c>
      <c r="H58" s="628"/>
      <c r="I58" s="624"/>
      <c r="J58" s="624"/>
      <c r="K58" s="622"/>
      <c r="L58" s="626"/>
    </row>
    <row r="59" spans="1:12" ht="18.75" thickBot="1" x14ac:dyDescent="0.4">
      <c r="A59" s="400" t="s">
        <v>370</v>
      </c>
      <c r="B59" s="390"/>
      <c r="C59" s="702">
        <f>(IF(D50="","",(D51/(D50*10^3*SQRT(3)))))</f>
        <v>1.4433756729740645E-2</v>
      </c>
      <c r="D59" s="702"/>
      <c r="E59" s="401" t="str">
        <f>IF(D50="","",IF(D50&gt;0,AJ66,))</f>
        <v>Ð</v>
      </c>
      <c r="F59" s="701">
        <f>IF(D52="","",ROUND(DEGREES(ACOS(D52)),4))</f>
        <v>72.542400000000001</v>
      </c>
      <c r="G59" s="701"/>
      <c r="H59" s="392"/>
      <c r="I59" s="392"/>
      <c r="J59" s="392"/>
      <c r="K59" s="392"/>
      <c r="L59" s="402"/>
    </row>
    <row r="60" spans="1:12" x14ac:dyDescent="0.25">
      <c r="A60" s="40"/>
      <c r="C60" s="40"/>
      <c r="E60" s="30"/>
      <c r="F60" s="30"/>
      <c r="G60" s="30"/>
      <c r="H60" s="30"/>
      <c r="I60" s="30"/>
      <c r="J60" s="30"/>
      <c r="K60" s="30"/>
      <c r="L60" s="30"/>
    </row>
    <row r="61" spans="1:12" ht="15.75" thickBot="1" x14ac:dyDescent="0.3">
      <c r="B61" s="82"/>
      <c r="C61" s="82"/>
      <c r="D61" s="40"/>
      <c r="E61" s="30"/>
      <c r="F61" s="30"/>
      <c r="G61" s="30"/>
      <c r="H61" s="30"/>
      <c r="I61" s="30"/>
      <c r="J61" s="30"/>
      <c r="K61" s="30"/>
      <c r="L61" s="30"/>
    </row>
    <row r="62" spans="1:12" ht="18.75" thickBot="1" x14ac:dyDescent="0.4">
      <c r="A62" s="715" t="s">
        <v>371</v>
      </c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7"/>
    </row>
    <row r="63" spans="1:12" s="45" customFormat="1" x14ac:dyDescent="0.25">
      <c r="A63" s="407" t="s">
        <v>191</v>
      </c>
      <c r="B63" s="404"/>
      <c r="C63" s="404"/>
      <c r="D63" s="409">
        <v>250</v>
      </c>
      <c r="E63" s="404" t="s">
        <v>192</v>
      </c>
      <c r="F63" s="404"/>
      <c r="G63" s="404"/>
      <c r="H63" s="404"/>
      <c r="I63" s="404"/>
      <c r="J63" s="404"/>
      <c r="K63" s="404"/>
      <c r="L63" s="406"/>
    </row>
    <row r="64" spans="1:12" ht="20.25" x14ac:dyDescent="0.35">
      <c r="A64" s="399" t="s">
        <v>136</v>
      </c>
      <c r="B64" s="389"/>
      <c r="C64" s="391"/>
      <c r="D64" s="410">
        <f>(D63*5)/1000</f>
        <v>1.25</v>
      </c>
      <c r="E64" s="391" t="s">
        <v>186</v>
      </c>
      <c r="F64" s="391"/>
      <c r="G64" s="391"/>
      <c r="H64" s="391"/>
      <c r="I64" s="391"/>
      <c r="J64" s="391"/>
      <c r="K64" s="391"/>
      <c r="L64" s="394"/>
    </row>
    <row r="65" spans="1:36" x14ac:dyDescent="0.25">
      <c r="A65" s="393" t="s">
        <v>212</v>
      </c>
      <c r="B65" s="389"/>
      <c r="C65" s="391"/>
      <c r="D65" s="391">
        <v>400</v>
      </c>
      <c r="E65" s="391" t="s">
        <v>152</v>
      </c>
      <c r="F65" s="391"/>
      <c r="G65" s="391"/>
      <c r="H65" s="391"/>
      <c r="I65" s="391"/>
      <c r="J65" s="391"/>
      <c r="K65" s="391"/>
      <c r="L65" s="394"/>
    </row>
    <row r="66" spans="1:36" x14ac:dyDescent="0.25">
      <c r="A66" s="393" t="s">
        <v>213</v>
      </c>
      <c r="B66" s="389"/>
      <c r="C66" s="391"/>
      <c r="D66" s="410">
        <v>0.9</v>
      </c>
      <c r="E66" s="391"/>
      <c r="F66" s="389"/>
      <c r="G66" s="391"/>
      <c r="H66" s="391"/>
      <c r="I66" s="389"/>
      <c r="J66" s="389"/>
      <c r="K66" s="391"/>
      <c r="L66" s="394"/>
      <c r="AJ66" s="206" t="s">
        <v>140</v>
      </c>
    </row>
    <row r="67" spans="1:36" s="387" customFormat="1" x14ac:dyDescent="0.25">
      <c r="A67" s="393"/>
      <c r="B67" s="389"/>
      <c r="C67" s="391"/>
      <c r="D67" s="413"/>
      <c r="E67" s="391"/>
      <c r="F67" s="389"/>
      <c r="G67" s="391"/>
      <c r="H67" s="391"/>
      <c r="I67" s="389"/>
      <c r="J67" s="389"/>
      <c r="K67" s="391"/>
      <c r="L67" s="394"/>
      <c r="AJ67" s="206"/>
    </row>
    <row r="68" spans="1:36" s="387" customFormat="1" ht="18.75" thickBot="1" x14ac:dyDescent="0.4">
      <c r="A68" s="393" t="s">
        <v>193</v>
      </c>
      <c r="B68" s="391" t="s">
        <v>104</v>
      </c>
      <c r="C68" s="391"/>
      <c r="D68" s="627" t="s">
        <v>159</v>
      </c>
      <c r="E68" s="627"/>
      <c r="F68" s="627"/>
      <c r="G68" s="703" t="s">
        <v>140</v>
      </c>
      <c r="H68" s="652" t="s">
        <v>361</v>
      </c>
      <c r="I68" s="652"/>
      <c r="J68" s="389"/>
      <c r="K68" s="391"/>
      <c r="L68" s="394"/>
      <c r="AJ68" s="206"/>
    </row>
    <row r="69" spans="1:36" s="387" customFormat="1" ht="18.75" x14ac:dyDescent="0.35">
      <c r="A69" s="393"/>
      <c r="B69" s="391"/>
      <c r="C69" s="391"/>
      <c r="D69" s="620" t="s">
        <v>363</v>
      </c>
      <c r="E69" s="620"/>
      <c r="F69" s="620"/>
      <c r="G69" s="652"/>
      <c r="H69" s="652"/>
      <c r="I69" s="652"/>
      <c r="J69" s="389"/>
      <c r="K69" s="391"/>
      <c r="L69" s="394"/>
      <c r="AJ69" s="206"/>
    </row>
    <row r="70" spans="1:36" s="387" customFormat="1" x14ac:dyDescent="0.25">
      <c r="A70" s="393"/>
      <c r="B70" s="389"/>
      <c r="C70" s="391"/>
      <c r="D70" s="413"/>
      <c r="E70" s="391"/>
      <c r="F70" s="389"/>
      <c r="G70" s="391"/>
      <c r="H70" s="391"/>
      <c r="I70" s="389"/>
      <c r="J70" s="389"/>
      <c r="K70" s="391"/>
      <c r="L70" s="394"/>
      <c r="AJ70" s="206"/>
    </row>
    <row r="71" spans="1:36" s="387" customFormat="1" ht="15.75" customHeight="1" thickBot="1" x14ac:dyDescent="0.3">
      <c r="A71" s="393"/>
      <c r="B71" s="389"/>
      <c r="C71" s="391"/>
      <c r="D71" s="629">
        <v>400</v>
      </c>
      <c r="E71" s="629"/>
      <c r="F71" s="629"/>
      <c r="G71" s="629"/>
      <c r="H71" s="629"/>
      <c r="I71" s="623" t="s">
        <v>373</v>
      </c>
      <c r="J71" s="623"/>
      <c r="K71" s="621">
        <f>IF(D66="","",D66)</f>
        <v>0.9</v>
      </c>
      <c r="L71" s="625" t="s">
        <v>104</v>
      </c>
      <c r="AJ71" s="206"/>
    </row>
    <row r="72" spans="1:36" s="387" customFormat="1" ht="17.25" x14ac:dyDescent="0.25">
      <c r="A72" s="396"/>
      <c r="B72" s="398"/>
      <c r="C72" s="397"/>
      <c r="D72" s="427" t="s">
        <v>364</v>
      </c>
      <c r="E72" s="628">
        <f>D64</f>
        <v>1.25</v>
      </c>
      <c r="F72" s="628"/>
      <c r="G72" s="630" t="s">
        <v>365</v>
      </c>
      <c r="H72" s="630"/>
      <c r="I72" s="624"/>
      <c r="J72" s="624"/>
      <c r="K72" s="622"/>
      <c r="L72" s="626"/>
      <c r="AJ72" s="206"/>
    </row>
    <row r="73" spans="1:36" ht="18.75" thickBot="1" x14ac:dyDescent="0.4">
      <c r="A73" s="400" t="s">
        <v>372</v>
      </c>
      <c r="B73" s="390"/>
      <c r="C73" s="702">
        <f>IF(D64="","",ROUND(D65/(D64*10^3*SQRT(3)),4))</f>
        <v>0.18479999999999999</v>
      </c>
      <c r="D73" s="702"/>
      <c r="E73" s="401" t="str">
        <f>IF(D64="","",IF(D64&gt;0,AJ66,))</f>
        <v>Ð</v>
      </c>
      <c r="F73" s="701">
        <f>IF(D66="","",ROUND(DEGREES(ACOS(D66)),4))</f>
        <v>25.841899999999999</v>
      </c>
      <c r="G73" s="701"/>
      <c r="H73" s="392"/>
      <c r="I73" s="392"/>
      <c r="J73" s="392"/>
      <c r="K73" s="392"/>
      <c r="L73" s="402"/>
    </row>
    <row r="74" spans="1:36" x14ac:dyDescent="0.25">
      <c r="A74" s="40"/>
      <c r="C74" s="40"/>
      <c r="E74" s="30"/>
      <c r="F74" s="30"/>
      <c r="G74" s="30"/>
      <c r="H74" s="30"/>
      <c r="I74" s="30"/>
      <c r="J74" s="30"/>
      <c r="K74" s="30"/>
      <c r="L74" s="30"/>
    </row>
    <row r="75" spans="1:36" x14ac:dyDescent="0.25">
      <c r="X75" s="45"/>
      <c r="Y75"/>
      <c r="Z75" s="45"/>
      <c r="AA75"/>
      <c r="AB75" s="45"/>
      <c r="AE75"/>
      <c r="AF75" s="43"/>
    </row>
    <row r="77" spans="1:36" hidden="1" x14ac:dyDescent="0.25">
      <c r="A77" s="707" t="s">
        <v>156</v>
      </c>
      <c r="B77" s="694"/>
      <c r="C77" s="11"/>
      <c r="D77" s="708" t="s">
        <v>152</v>
      </c>
      <c r="E77" s="708"/>
      <c r="F77" s="694" t="s">
        <v>153</v>
      </c>
      <c r="G77" s="694"/>
      <c r="H77" s="11"/>
      <c r="I77" s="694" t="s">
        <v>154</v>
      </c>
      <c r="J77" s="694"/>
      <c r="K77" s="694"/>
      <c r="L77" s="11"/>
      <c r="M77" s="694" t="s">
        <v>155</v>
      </c>
      <c r="N77" s="694"/>
      <c r="O77" s="709"/>
    </row>
    <row r="78" spans="1:36" hidden="1" x14ac:dyDescent="0.25">
      <c r="A78" s="711">
        <f>O15</f>
        <v>1.1000000000000001E-3</v>
      </c>
      <c r="B78" s="712"/>
      <c r="C78" s="11"/>
      <c r="D78" s="712">
        <f>U15</f>
        <v>73.30075576600639</v>
      </c>
      <c r="E78" s="712"/>
      <c r="F78" s="694">
        <f>RADIANS(180+D78)</f>
        <v>4.4209321859068229</v>
      </c>
      <c r="G78" s="694"/>
      <c r="H78" s="11"/>
      <c r="I78" s="694">
        <f>A78*COS(F78)</f>
        <v>-3.160826741229798E-4</v>
      </c>
      <c r="J78" s="694"/>
      <c r="K78" s="694"/>
      <c r="L78" s="11"/>
      <c r="M78" s="694">
        <f>A78*SIN(F78)</f>
        <v>-1.0536089137432665E-3</v>
      </c>
      <c r="N78" s="694"/>
      <c r="O78" s="713"/>
    </row>
    <row r="79" spans="1:36" hidden="1" x14ac:dyDescent="0.25">
      <c r="A79" s="711">
        <f>O28</f>
        <v>1.4E-2</v>
      </c>
      <c r="B79" s="712"/>
      <c r="C79" s="11"/>
      <c r="D79" s="712">
        <f>U28</f>
        <v>36.869999999999997</v>
      </c>
      <c r="E79" s="712"/>
      <c r="F79" s="694">
        <f>RADIANS(180+D79)</f>
        <v>3.7850955488001023</v>
      </c>
      <c r="G79" s="694"/>
      <c r="H79" s="11"/>
      <c r="I79" s="694">
        <f>A79*COS(F79)</f>
        <v>-1.1199984994079122E-2</v>
      </c>
      <c r="J79" s="694"/>
      <c r="K79" s="694"/>
      <c r="L79" s="11"/>
      <c r="M79" s="694">
        <f>A79*SIN(F79)</f>
        <v>-8.4000200078572732E-3</v>
      </c>
      <c r="N79" s="694"/>
      <c r="O79" s="713"/>
    </row>
    <row r="80" spans="1:36" hidden="1" x14ac:dyDescent="0.25"/>
    <row r="81" spans="1:6" hidden="1" x14ac:dyDescent="0.25">
      <c r="A81" s="694">
        <f>SQRT(SUM(I78:K79)^2+SUM(M78:O79)^2)</f>
        <v>1.4899359527373384E-2</v>
      </c>
      <c r="B81" s="694"/>
      <c r="C81" s="694"/>
      <c r="D81" s="694">
        <f>DEGREES(ATAN(SUM(M78:O79)/SUM(I78:K79)))</f>
        <v>39.382837130295073</v>
      </c>
      <c r="E81" s="694"/>
      <c r="F81" s="11"/>
    </row>
  </sheetData>
  <sheetProtection selectLockedCells="1"/>
  <mergeCells count="139">
    <mergeCell ref="A77:B77"/>
    <mergeCell ref="D77:E77"/>
    <mergeCell ref="I77:K77"/>
    <mergeCell ref="M77:O77"/>
    <mergeCell ref="F77:G77"/>
    <mergeCell ref="C38:E38"/>
    <mergeCell ref="K3:K4"/>
    <mergeCell ref="D81:E81"/>
    <mergeCell ref="A81:C81"/>
    <mergeCell ref="A78:B78"/>
    <mergeCell ref="D78:E78"/>
    <mergeCell ref="I78:K78"/>
    <mergeCell ref="M78:O78"/>
    <mergeCell ref="A79:B79"/>
    <mergeCell ref="D79:E79"/>
    <mergeCell ref="I79:K79"/>
    <mergeCell ref="M79:O79"/>
    <mergeCell ref="F78:G78"/>
    <mergeCell ref="F79:G79"/>
    <mergeCell ref="A40:A41"/>
    <mergeCell ref="B40:B41"/>
    <mergeCell ref="A49:L49"/>
    <mergeCell ref="A62:L62"/>
    <mergeCell ref="D54:F54"/>
    <mergeCell ref="AB35:AB36"/>
    <mergeCell ref="AB40:AB41"/>
    <mergeCell ref="P40:U41"/>
    <mergeCell ref="A35:A36"/>
    <mergeCell ref="B35:B36"/>
    <mergeCell ref="V35:V36"/>
    <mergeCell ref="F73:G73"/>
    <mergeCell ref="F59:G59"/>
    <mergeCell ref="C59:D59"/>
    <mergeCell ref="C73:D73"/>
    <mergeCell ref="H54:I55"/>
    <mergeCell ref="G54:G55"/>
    <mergeCell ref="G68:G69"/>
    <mergeCell ref="H68:I69"/>
    <mergeCell ref="I71:J72"/>
    <mergeCell ref="Q36:T36"/>
    <mergeCell ref="D35:T35"/>
    <mergeCell ref="W35:Z36"/>
    <mergeCell ref="W40:Z41"/>
    <mergeCell ref="E40:E41"/>
    <mergeCell ref="G40:H41"/>
    <mergeCell ref="K40:K41"/>
    <mergeCell ref="L40:M41"/>
    <mergeCell ref="F40:F41"/>
    <mergeCell ref="A7:Z7"/>
    <mergeCell ref="Z11:Z12"/>
    <mergeCell ref="K11:L11"/>
    <mergeCell ref="G11:G12"/>
    <mergeCell ref="A45:L48"/>
    <mergeCell ref="V40:V41"/>
    <mergeCell ref="U11:X12"/>
    <mergeCell ref="U13:X14"/>
    <mergeCell ref="U15:X15"/>
    <mergeCell ref="U26:X27"/>
    <mergeCell ref="U22:X23"/>
    <mergeCell ref="U28:X28"/>
    <mergeCell ref="U24:X25"/>
    <mergeCell ref="F33:G33"/>
    <mergeCell ref="M33:O33"/>
    <mergeCell ref="F36:G36"/>
    <mergeCell ref="I36:K36"/>
    <mergeCell ref="M36:O36"/>
    <mergeCell ref="O28:S28"/>
    <mergeCell ref="A17:Z17"/>
    <mergeCell ref="K26:K27"/>
    <mergeCell ref="L26:O26"/>
    <mergeCell ref="A26:A27"/>
    <mergeCell ref="B26:B27"/>
    <mergeCell ref="D26:D27"/>
    <mergeCell ref="E26:E27"/>
    <mergeCell ref="P26:P27"/>
    <mergeCell ref="G26:G27"/>
    <mergeCell ref="G28:K28"/>
    <mergeCell ref="L27:O27"/>
    <mergeCell ref="A13:A14"/>
    <mergeCell ref="B13:B14"/>
    <mergeCell ref="A11:A12"/>
    <mergeCell ref="D13:D14"/>
    <mergeCell ref="E13:E14"/>
    <mergeCell ref="P13:P14"/>
    <mergeCell ref="B11:B12"/>
    <mergeCell ref="M13:M14"/>
    <mergeCell ref="K13:L14"/>
    <mergeCell ref="B24:B25"/>
    <mergeCell ref="B22:B23"/>
    <mergeCell ref="A22:A23"/>
    <mergeCell ref="A24:A25"/>
    <mergeCell ref="D18:E18"/>
    <mergeCell ref="Z24:Z25"/>
    <mergeCell ref="K23:L23"/>
    <mergeCell ref="K24:L24"/>
    <mergeCell ref="K22:L22"/>
    <mergeCell ref="T22:T23"/>
    <mergeCell ref="D22:G22"/>
    <mergeCell ref="D23:G23"/>
    <mergeCell ref="D24:G24"/>
    <mergeCell ref="D25:G25"/>
    <mergeCell ref="Z26:Z27"/>
    <mergeCell ref="G15:K15"/>
    <mergeCell ref="O15:S15"/>
    <mergeCell ref="D8:E8"/>
    <mergeCell ref="D9:E9"/>
    <mergeCell ref="D10:E10"/>
    <mergeCell ref="F11:F12"/>
    <mergeCell ref="D11:E11"/>
    <mergeCell ref="D12:E12"/>
    <mergeCell ref="G13:G14"/>
    <mergeCell ref="I13:I14"/>
    <mergeCell ref="Z13:Z14"/>
    <mergeCell ref="D19:E19"/>
    <mergeCell ref="D20:E20"/>
    <mergeCell ref="D21:E21"/>
    <mergeCell ref="T24:T25"/>
    <mergeCell ref="K25:L25"/>
    <mergeCell ref="T26:T27"/>
    <mergeCell ref="I26:I27"/>
    <mergeCell ref="I22:I23"/>
    <mergeCell ref="I24:I25"/>
    <mergeCell ref="T13:T14"/>
    <mergeCell ref="T11:T12"/>
    <mergeCell ref="Z22:Z23"/>
    <mergeCell ref="D55:F55"/>
    <mergeCell ref="K71:K72"/>
    <mergeCell ref="I57:J58"/>
    <mergeCell ref="K57:K58"/>
    <mergeCell ref="L57:L58"/>
    <mergeCell ref="L71:L72"/>
    <mergeCell ref="D68:F68"/>
    <mergeCell ref="D69:F69"/>
    <mergeCell ref="E58:F58"/>
    <mergeCell ref="G58:H58"/>
    <mergeCell ref="D57:H57"/>
    <mergeCell ref="E72:F72"/>
    <mergeCell ref="G72:H72"/>
    <mergeCell ref="D71:H71"/>
  </mergeCells>
  <dataValidations count="2">
    <dataValidation type="list" allowBlank="1" showInputMessage="1" showErrorMessage="1" sqref="A20" xr:uid="{00000000-0002-0000-0100-000000000000}">
      <formula1>$AE$19:$AE$20</formula1>
    </dataValidation>
    <dataValidation type="list" allowBlank="1" showInputMessage="1" showErrorMessage="1" sqref="A9" xr:uid="{00000000-0002-0000-0100-000001000000}">
      <formula1>$AE$14:$AE$15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  <rowBreaks count="1" manualBreakCount="1">
    <brk id="42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4"/>
  <dimension ref="A1:AF30"/>
  <sheetViews>
    <sheetView showGridLines="0" workbookViewId="0">
      <selection activeCell="L9" sqref="L9"/>
    </sheetView>
  </sheetViews>
  <sheetFormatPr defaultRowHeight="15" x14ac:dyDescent="0.25"/>
  <cols>
    <col min="1" max="1" width="14.85546875" customWidth="1"/>
    <col min="2" max="2" width="4.7109375" customWidth="1"/>
    <col min="3" max="3" width="2.85546875" style="45" customWidth="1"/>
    <col min="4" max="5" width="8.5703125" customWidth="1"/>
    <col min="6" max="6" width="4.7109375" customWidth="1"/>
    <col min="7" max="7" width="2.85546875" style="45" customWidth="1"/>
    <col min="8" max="9" width="8.5703125" customWidth="1"/>
    <col min="10" max="10" width="4.7109375" customWidth="1"/>
    <col min="11" max="11" width="2.85546875" style="45" customWidth="1"/>
    <col min="12" max="13" width="8.5703125" customWidth="1"/>
    <col min="14" max="14" width="4.7109375" customWidth="1"/>
    <col min="15" max="15" width="2.85546875" style="45" customWidth="1"/>
    <col min="16" max="17" width="8.5703125" customWidth="1"/>
    <col min="18" max="18" width="4.7109375" customWidth="1"/>
    <col min="19" max="19" width="2.85546875" style="45" customWidth="1"/>
    <col min="20" max="20" width="8.5703125" customWidth="1"/>
    <col min="21" max="21" width="11.5703125" hidden="1" customWidth="1"/>
    <col min="22" max="22" width="4.7109375" hidden="1" customWidth="1"/>
    <col min="23" max="23" width="0" hidden="1" customWidth="1"/>
    <col min="24" max="24" width="11.5703125" hidden="1" customWidth="1"/>
    <col min="25" max="25" width="4.7109375" customWidth="1"/>
    <col min="27" max="27" width="11.5703125" bestFit="1" customWidth="1"/>
    <col min="28" max="28" width="4.7109375" customWidth="1"/>
    <col min="30" max="30" width="11.5703125" bestFit="1" customWidth="1"/>
    <col min="31" max="31" width="4.7109375" customWidth="1"/>
  </cols>
  <sheetData>
    <row r="1" spans="1:32" ht="15" customHeight="1" x14ac:dyDescent="0.4">
      <c r="U1" s="45" t="s">
        <v>239</v>
      </c>
      <c r="AA1" s="55"/>
      <c r="AB1" s="31"/>
      <c r="AC1" s="31"/>
      <c r="AD1" s="31"/>
      <c r="AE1" s="31"/>
      <c r="AF1" s="31"/>
    </row>
    <row r="2" spans="1:32" x14ac:dyDescent="0.25">
      <c r="A2" s="695" t="s">
        <v>128</v>
      </c>
      <c r="B2" s="695"/>
      <c r="C2" s="695"/>
      <c r="D2" s="695"/>
      <c r="E2" s="695" t="s">
        <v>129</v>
      </c>
      <c r="F2" s="695"/>
      <c r="G2" s="695"/>
      <c r="H2" s="695"/>
      <c r="I2" s="695" t="s">
        <v>131</v>
      </c>
      <c r="J2" s="695"/>
      <c r="K2" s="695"/>
      <c r="L2" s="695"/>
      <c r="M2" s="695" t="s">
        <v>51</v>
      </c>
      <c r="N2" s="695"/>
      <c r="O2" s="695"/>
      <c r="P2" s="695"/>
      <c r="Q2" s="695" t="s">
        <v>65</v>
      </c>
      <c r="R2" s="695"/>
      <c r="S2" s="695"/>
      <c r="T2" s="695"/>
      <c r="U2" s="9">
        <v>0.75</v>
      </c>
      <c r="V2">
        <v>1</v>
      </c>
      <c r="W2">
        <v>1</v>
      </c>
      <c r="X2">
        <v>2</v>
      </c>
    </row>
    <row r="3" spans="1:32" x14ac:dyDescent="0.25">
      <c r="A3" s="45" t="s">
        <v>222</v>
      </c>
      <c r="B3" s="719" t="s">
        <v>366</v>
      </c>
      <c r="C3" s="719"/>
      <c r="D3" s="719"/>
      <c r="F3" s="719" t="s">
        <v>420</v>
      </c>
      <c r="G3" s="719"/>
      <c r="H3" s="719"/>
      <c r="I3" s="11"/>
      <c r="J3" s="719" t="s">
        <v>439</v>
      </c>
      <c r="K3" s="719"/>
      <c r="L3" s="719"/>
      <c r="M3" s="11"/>
      <c r="N3" s="719" t="s">
        <v>440</v>
      </c>
      <c r="O3" s="719"/>
      <c r="P3" s="719"/>
      <c r="Q3" s="11"/>
      <c r="R3" s="719" t="s">
        <v>459</v>
      </c>
      <c r="S3" s="719"/>
      <c r="T3" s="719"/>
      <c r="U3" s="9">
        <v>1</v>
      </c>
      <c r="V3">
        <v>3</v>
      </c>
      <c r="W3">
        <v>4</v>
      </c>
      <c r="X3">
        <v>3</v>
      </c>
    </row>
    <row r="4" spans="1:32" s="45" customFormat="1" x14ac:dyDescent="0.25">
      <c r="A4" s="45" t="s">
        <v>220</v>
      </c>
      <c r="B4" s="718" t="s">
        <v>9</v>
      </c>
      <c r="C4" s="718"/>
      <c r="D4" s="718"/>
      <c r="F4" s="718" t="s">
        <v>9</v>
      </c>
      <c r="G4" s="718"/>
      <c r="H4" s="718"/>
      <c r="I4" s="208"/>
      <c r="J4" s="718" t="s">
        <v>9</v>
      </c>
      <c r="K4" s="718"/>
      <c r="L4" s="718"/>
      <c r="M4" s="208"/>
      <c r="N4" s="718" t="s">
        <v>9</v>
      </c>
      <c r="O4" s="718"/>
      <c r="P4" s="718"/>
      <c r="Q4" s="208"/>
      <c r="R4" s="718" t="s">
        <v>9</v>
      </c>
      <c r="S4" s="718"/>
      <c r="T4" s="718"/>
      <c r="U4" s="9">
        <v>1.5</v>
      </c>
      <c r="V4" s="45">
        <v>4</v>
      </c>
      <c r="W4">
        <v>5</v>
      </c>
      <c r="X4" s="45">
        <v>4</v>
      </c>
    </row>
    <row r="5" spans="1:32" s="45" customFormat="1" x14ac:dyDescent="0.25">
      <c r="A5" s="216" t="s">
        <v>219</v>
      </c>
      <c r="B5" s="718">
        <v>4</v>
      </c>
      <c r="C5" s="718"/>
      <c r="D5" s="718"/>
      <c r="F5" s="718">
        <v>4</v>
      </c>
      <c r="G5" s="718"/>
      <c r="H5" s="718"/>
      <c r="I5" s="208"/>
      <c r="J5" s="718">
        <v>5</v>
      </c>
      <c r="K5" s="718"/>
      <c r="L5" s="718"/>
      <c r="M5" s="208"/>
      <c r="N5" s="718">
        <v>3</v>
      </c>
      <c r="O5" s="718"/>
      <c r="P5" s="718"/>
      <c r="Q5" s="208"/>
      <c r="R5" s="718"/>
      <c r="S5" s="718"/>
      <c r="T5" s="718"/>
      <c r="U5" s="9">
        <v>2.5</v>
      </c>
      <c r="V5" s="40">
        <v>5</v>
      </c>
      <c r="X5" s="45">
        <v>5</v>
      </c>
    </row>
    <row r="6" spans="1:32" x14ac:dyDescent="0.25">
      <c r="A6" s="45" t="s">
        <v>221</v>
      </c>
      <c r="B6" s="718">
        <v>50</v>
      </c>
      <c r="C6" s="718"/>
      <c r="D6" s="718"/>
      <c r="F6" s="718">
        <v>16</v>
      </c>
      <c r="G6" s="718"/>
      <c r="H6" s="718"/>
      <c r="I6" s="11"/>
      <c r="J6" s="718">
        <v>6</v>
      </c>
      <c r="K6" s="718"/>
      <c r="L6" s="718"/>
      <c r="M6" s="11"/>
      <c r="N6" s="718">
        <v>1.5</v>
      </c>
      <c r="O6" s="718"/>
      <c r="P6" s="718"/>
      <c r="Q6" s="11"/>
      <c r="R6" s="718"/>
      <c r="S6" s="718"/>
      <c r="T6" s="718"/>
      <c r="U6" s="9">
        <v>4</v>
      </c>
      <c r="V6" s="40"/>
    </row>
    <row r="7" spans="1:32" x14ac:dyDescent="0.25">
      <c r="A7" s="30" t="s">
        <v>130</v>
      </c>
      <c r="B7" s="718">
        <v>15</v>
      </c>
      <c r="C7" s="718"/>
      <c r="D7" s="718"/>
      <c r="E7" s="68" t="s">
        <v>146</v>
      </c>
      <c r="F7" s="718">
        <v>20</v>
      </c>
      <c r="G7" s="718"/>
      <c r="H7" s="718"/>
      <c r="I7" s="68" t="s">
        <v>146</v>
      </c>
      <c r="J7" s="718">
        <v>20</v>
      </c>
      <c r="K7" s="718"/>
      <c r="L7" s="718"/>
      <c r="M7" s="68" t="s">
        <v>146</v>
      </c>
      <c r="N7" s="718">
        <v>18</v>
      </c>
      <c r="O7" s="718"/>
      <c r="P7" s="718"/>
      <c r="Q7" s="68" t="s">
        <v>146</v>
      </c>
      <c r="R7" s="718"/>
      <c r="S7" s="718"/>
      <c r="T7" s="718"/>
      <c r="U7" s="9">
        <v>6</v>
      </c>
    </row>
    <row r="8" spans="1:32" x14ac:dyDescent="0.25">
      <c r="A8" s="30" t="s">
        <v>147</v>
      </c>
      <c r="B8" s="718">
        <v>1</v>
      </c>
      <c r="C8" s="718"/>
      <c r="D8" s="718"/>
      <c r="E8" s="68" t="s">
        <v>74</v>
      </c>
      <c r="F8" s="718">
        <v>1</v>
      </c>
      <c r="G8" s="718"/>
      <c r="H8" s="718"/>
      <c r="I8" s="68" t="s">
        <v>74</v>
      </c>
      <c r="J8" s="718">
        <v>1</v>
      </c>
      <c r="K8" s="718"/>
      <c r="L8" s="718"/>
      <c r="M8" s="68" t="s">
        <v>74</v>
      </c>
      <c r="N8" s="718">
        <v>1</v>
      </c>
      <c r="O8" s="718"/>
      <c r="P8" s="718"/>
      <c r="Q8" s="68" t="s">
        <v>74</v>
      </c>
      <c r="R8" s="718">
        <v>1</v>
      </c>
      <c r="S8" s="718"/>
      <c r="T8" s="718"/>
      <c r="U8" s="9">
        <v>10</v>
      </c>
    </row>
    <row r="9" spans="1:32" s="45" customFormat="1" ht="18" x14ac:dyDescent="0.35">
      <c r="A9" s="30" t="s">
        <v>150</v>
      </c>
      <c r="B9" s="66">
        <v>121</v>
      </c>
      <c r="C9" s="144" t="s">
        <v>194</v>
      </c>
      <c r="D9" s="67">
        <v>90</v>
      </c>
      <c r="E9" s="68"/>
      <c r="F9" s="44">
        <v>50</v>
      </c>
      <c r="G9" s="144" t="s">
        <v>194</v>
      </c>
      <c r="H9" s="44">
        <v>90</v>
      </c>
      <c r="I9" s="68"/>
      <c r="J9" s="44">
        <v>26</v>
      </c>
      <c r="K9" s="144" t="s">
        <v>194</v>
      </c>
      <c r="L9" s="44">
        <v>90</v>
      </c>
      <c r="M9" s="68"/>
      <c r="N9" s="44">
        <v>10</v>
      </c>
      <c r="O9" s="144" t="s">
        <v>194</v>
      </c>
      <c r="P9" s="44">
        <v>90</v>
      </c>
      <c r="Q9" s="68"/>
      <c r="R9" s="44"/>
      <c r="S9" s="144" t="s">
        <v>194</v>
      </c>
      <c r="T9" s="44"/>
      <c r="U9" s="9">
        <v>16</v>
      </c>
    </row>
    <row r="10" spans="1:32" ht="18" hidden="1" x14ac:dyDescent="0.35">
      <c r="A10" s="30" t="s">
        <v>132</v>
      </c>
      <c r="B10" s="720">
        <f>IF(B6="","",IF(B6&gt;0,IF(KabelData!$B$4="CU",(IF(KabelData!$B$5=1,VLOOKUP(KabelData!$B$6,Kabel!$C$49:$G$63,4,FALSE))+IF(KabelData!$B$5=3,VLOOKUP(KabelData!$B$6,Kabel!$C$5:$G$12,4,FALSE))+IF(KabelData!$B$5=4,VLOOKUP(KabelData!$B$6,Kabel!$C$13:$G$27,4,FALSE))+IF(KabelData!B5=5,VLOOKUP(KabelData!$B$6,Kabel!$C$28:$G$35,4,FALSE))))+IF(KabelData!$B$4="AL",(IF(KabelData!$B$5=1,VLOOKUP(KabelData!$B$6,Kabel!$C$64:$G$74,4,FALSE))+IF(KabelData!$B$5=4,VLOOKUP(KabelData!$B$6,Kabel!$C$36:$G$46,4,FALSE))+IF(KabelData!$B$5=5,VLOOKUP(KabelData!$B$6,Kabel!$C$47:$G$48,4,FALSE))))+IF(KabelData!$B$4="Tilledning",(IF(KabelData!$B$5=2,VLOOKUP(KabelData!$B$6,Kabel!$C$83:$G$86,4,FALSE))+IF(KabelData!$B$5=3,VLOOKUP(KabelData!$B$6,Kabel!$C$87:$G$96,4,FALSE))+IF(KabelData!$B$5=4,VLOOKUP(KabelData!$B$6,Kabel!$C$97:$G$114,4,FALSE))+IF(KabelData!$B$5=5,VLOOKUP(KabelData!$B$6,Kabel!$C$115:$G$123,4,FALSE))))))</f>
        <v>0.39698866482558415</v>
      </c>
      <c r="C10" s="720"/>
      <c r="D10" s="720"/>
      <c r="E10" s="30" t="s">
        <v>132</v>
      </c>
      <c r="F10" s="720">
        <f>IF(F6="","",IF(KabelData!F4="CU",(IF(KabelData!F5=1,VLOOKUP(KabelData!F6,Kabel!$C$49:$G$63,4,FALSE))+IF(KabelData!F5=3,VLOOKUP(KabelData!F6,Kabel!$C$5:$G$12,4,FALSE))+IF(KabelData!F5=4,VLOOKUP(KabelData!F6,Kabel!$C$13:$G$27,4,FALSE))+IF(KabelData!F5=5,VLOOKUP(KabelData!F6,Kabel!$C$28:$G$35,4,FALSE))))+IF(KabelData!F4="AL",(IF(KabelData!F5=1,VLOOKUP(KabelData!F6,Kabel!$C$64:$G$74,4,FALSE))+IF(KabelData!F5=4,VLOOKUP(KabelData!F6,Kabel!$C$36:$G$46,4,FALSE))+IF(KabelData!F5=5,VLOOKUP(KabelData!F6,Kabel!$C$47:$G$48,4,FALSE))))+IF(KabelData!F4="Tilledning",(IF(KabelData!F5=2,VLOOKUP(KabelData!F6,Kabel!$C$83:$G$86,4,FALSE))+IF(KabelData!F5=3,VLOOKUP(KabelData!F6,Kabel!$C$87:$G$96,4,FALSE))+IF(KabelData!F5=4,VLOOKUP(KabelData!F6,Kabel!$C$97:$G$114,4,FALSE))+IF(KabelData!F5=5,VLOOKUP(KabelData!F6,Kabel!$C$115:$G$123,4,FALSE)))))</f>
        <v>1.1531370256825506</v>
      </c>
      <c r="G10" s="720"/>
      <c r="H10" s="720"/>
      <c r="I10" s="30" t="s">
        <v>132</v>
      </c>
      <c r="J10" s="720">
        <f>IF(J6="","",IF(KabelData!J4="CU",(IF(KabelData!J5=1,VLOOKUP(KabelData!J6,Kabel!$C$49:$G$63,4,FALSE))+IF(KabelData!J5=3,VLOOKUP(KabelData!J6,Kabel!$C$5:$G$12,4,FALSE))+IF(KabelData!J5=4,VLOOKUP(KabelData!J6,Kabel!$C$13:$G$27,4,FALSE))+IF(KabelData!J5=5,VLOOKUP(KabelData!J6,Kabel!$C$28:$G$35,4,FALSE))))+IF(KabelData!J4="AL",(IF(KabelData!J5=1,VLOOKUP(KabelData!J6,Kabel!$C$64:$G$74,4,FALSE))+IF(KabelData!J5=4,VLOOKUP(KabelData!J6,Kabel!$C$36:$G$46,4,FALSE))+IF(KabelData!J5=5,VLOOKUP(KabelData!J6,Kabel!$C$47:$G$48,4,FALSE))))+IF(KabelData!J4="Tilledning",(IF(KabelData!J5=2,VLOOKUP(KabelData!J6,Kabel!$C$83:$G$86,4,FALSE))+IF(KabelData!J5=3,VLOOKUP(KabelData!J6,Kabel!$C$87:$G$96,4,FALSE))+IF(KabelData!J5=4,VLOOKUP(KabelData!J6,Kabel!$C$97:$G$114,4,FALSE))+IF(KabelData!J5=5,VLOOKUP(KabelData!J6,Kabel!$C$115:$G$123,4,FALSE)))))</f>
        <v>3.0815270565094832</v>
      </c>
      <c r="K10" s="720"/>
      <c r="L10" s="720"/>
      <c r="M10" s="30" t="s">
        <v>132</v>
      </c>
      <c r="N10" s="720">
        <f>IF(N6="","",IF(KabelData!N4="CU",(IF(KabelData!N5=1,VLOOKUP(KabelData!N6,Kabel!$C$49:$G$63,4,FALSE))+IF(KabelData!N5=3,VLOOKUP(KabelData!N6,Kabel!$C$5:$G$12,4,FALSE))+IF(KabelData!N5=4,VLOOKUP(KabelData!N6,Kabel!$C$13:$G$27,4,FALSE))+IF(KabelData!N5=5,VLOOKUP(KabelData!N6,Kabel!$C$28:$G$35,4,FALSE))))+IF(KabelData!N4="AL",(IF(KabelData!N5=1,VLOOKUP(KabelData!N6,Kabel!$C$64:$G$74,4,FALSE))+IF(KabelData!N5=4,VLOOKUP(KabelData!N6,Kabel!$C$36:$G$46,4,FALSE))+IF(KabelData!N5=5,VLOOKUP(KabelData!N6,Kabel!$C$47:$G$48,4,FALSE))))+IF(KabelData!N4="Tilledning",(IF(KabelData!N5=2,VLOOKUP(KabelData!N6,Kabel!$C$83:$G$86,4,FALSE))+IF(KabelData!N5=3,VLOOKUP(KabelData!N6,Kabel!$C$87:$G$96,4,FALSE))+IF(KabelData!N5=4,VLOOKUP(KabelData!N6,Kabel!$C$97:$G$114,4,FALSE))+IF(KabelData!N5=5,VLOOKUP(KabelData!N6,Kabel!$C$115:$G$123,4,FALSE)))))</f>
        <v>12.100438380488534</v>
      </c>
      <c r="O10" s="720"/>
      <c r="P10" s="720"/>
      <c r="Q10" s="30" t="s">
        <v>132</v>
      </c>
      <c r="R10" s="720" t="str">
        <f>IF(R6="","",IF(KabelData!R4="CU",(IF(KabelData!R5=1,VLOOKUP(KabelData!R6,Kabel!$C$49:$G$63,4,FALSE))+IF(KabelData!R5=3,VLOOKUP(KabelData!R6,Kabel!$C$5:$G$12,4,FALSE))+IF(KabelData!R5=4,VLOOKUP(KabelData!R6,Kabel!$C$13:$G$27,4,FALSE))+IF(KabelData!R5=5,VLOOKUP(KabelData!R6,Kabel!$C$28:$G$35,4,FALSE))))+IF(KabelData!R4="AL",(IF(KabelData!R5=1,VLOOKUP(KabelData!R6,Kabel!$C$64:$G$74,4,FALSE))+IF(KabelData!R5=4,VLOOKUP(KabelData!R6,Kabel!$C$36:$G$46,4,FALSE))+IF(KabelData!R5=5,VLOOKUP(KabelData!R6,Kabel!$C$47:$G$48,4,FALSE))))+IF(KabelData!R4="Tilledning",(IF(KabelData!R5=2,VLOOKUP(KabelData!R6,Kabel!$C$83:$G$86,4,FALSE))+IF(KabelData!R5=3,VLOOKUP(KabelData!R6,Kabel!$C$87:$G$96,4,FALSE))+IF(KabelData!R5=4,VLOOKUP(KabelData!R6,Kabel!$C$97:$G$114,4,FALSE))+IF(KabelData!R5=5,VLOOKUP(KabelData!R6,Kabel!$C$115:$G$123,4,FALSE)))))</f>
        <v/>
      </c>
      <c r="S10" s="720"/>
      <c r="T10" s="720"/>
      <c r="U10" s="9">
        <v>25</v>
      </c>
      <c r="X10" s="45"/>
    </row>
    <row r="11" spans="1:32" hidden="1" x14ac:dyDescent="0.25">
      <c r="A11" s="40" t="s">
        <v>148</v>
      </c>
      <c r="B11" s="720">
        <f>IF(B6="","",IF(KabelData!B4="CU",(IF(KabelData!B5=1,VLOOKUP(KabelData!B6,Kabel!$C$49:$G$63,5,FALSE))+IF(KabelData!B5=3,VLOOKUP(KabelData!B6,Kabel!$C$5:$G$12,5,FALSE))+IF(KabelData!B5=4,VLOOKUP(KabelData!B6,Kabel!$C$13:$G$27,5,FALSE))+IF(KabelData!B5=5,VLOOKUP(KabelData!B6,Kabel!$C$28:$G$35,5,FALSE))))+IF(KabelData!B4="AL",(IF(KabelData!B5=1,VLOOKUP(KabelData!B6,Kabel!$C$64:$G$74,5,FALSE))+IF(KabelData!B5=4,VLOOKUP(KabelData!B6,Kabel!$C$36:$G$46,5,FALSE))+IF(KabelData!B5=5,VLOOKUP(KabelData!B6,Kabel!$C$47:$G$48,5,FALSE))))+IF(KabelData!B4="Tilledning",(IF(KabelData!B5=2,VLOOKUP(KabelData!B6,Kabel!$C$83:$G$86,5,FALSE))+IF(KabelData!B5=3,VLOOKUP(KabelData!B6,Kabel!$C$87:$G$96,5,FALSE))+IF(KabelData!B5=4,VLOOKUP(KabelData!B6,Kabel!$C$97:$G$114,5,FALSE))+IF(KabelData!B5=5,VLOOKUP(KabelData!B6,Kabel!$C$115:$G$123,5,FALSE)))))</f>
        <v>12.215719134130845</v>
      </c>
      <c r="C11" s="720"/>
      <c r="D11" s="720"/>
      <c r="E11" s="40" t="s">
        <v>148</v>
      </c>
      <c r="F11" s="720">
        <f>IF(F6="","",IF(KabelData!F4="CU",(IF(KabelData!F5=1,VLOOKUP(KabelData!F6,Kabel!$C$49:$G$63,5,FALSE))+IF(KabelData!F5=3,VLOOKUP(KabelData!F6,Kabel!$C$5:$G$12,5,FALSE))+IF(KabelData!F5=4,VLOOKUP(KabelData!F6,Kabel!$C$13:$G$27,5,FALSE))+IF(KabelData!F5=5,VLOOKUP(KabelData!F6,Kabel!$C$28:$G$35,5,FALSE))))+IF(KabelData!F4="AL",(IF(KabelData!F5=1,VLOOKUP(KabelData!F6,Kabel!$C$64:$G$74,5,FALSE))+IF(KabelData!F5=4,VLOOKUP(KabelData!F6,Kabel!$C$36:$G$46,5,FALSE))+IF(KabelData!F5=5,VLOOKUP(KabelData!F6,Kabel!$C$47:$G$48,5,FALSE))))+IF(KabelData!F4="Tilledning",(IF(KabelData!F5=2,VLOOKUP(KabelData!F6,Kabel!$C$83:$G$86,5,FALSE))+IF(KabelData!F5=3,VLOOKUP(KabelData!F6,Kabel!$C$87:$G$96,5,FALSE))+IF(KabelData!F5=4,VLOOKUP(KabelData!F6,Kabel!$C$97:$G$114,5,FALSE))+IF(KabelData!F5=5,VLOOKUP(KabelData!F6,Kabel!$C$115:$G$123,5,FALSE)))))</f>
        <v>4.2272186653265917</v>
      </c>
      <c r="G11" s="720"/>
      <c r="H11" s="720"/>
      <c r="I11" s="40" t="s">
        <v>148</v>
      </c>
      <c r="J11" s="720">
        <f>IF(J6="","",IF(KabelData!J4="CU",(IF(KabelData!J5=1,VLOOKUP(KabelData!J6,Kabel!$C$49:$G$63,5,FALSE))+IF(KabelData!J5=3,VLOOKUP(KabelData!J6,Kabel!$C$5:$G$12,5,FALSE))+IF(KabelData!J5=4,VLOOKUP(KabelData!J6,Kabel!$C$13:$G$27,5,FALSE))+IF(KabelData!J5=5,VLOOKUP(KabelData!J6,Kabel!$C$28:$G$35,5,FALSE))))+IF(KabelData!J4="AL",(IF(KabelData!J5=1,VLOOKUP(KabelData!J6,Kabel!$C$64:$G$74,5,FALSE))+IF(KabelData!J5=4,VLOOKUP(KabelData!J6,Kabel!$C$36:$G$46,5,FALSE))+IF(KabelData!J5=5,VLOOKUP(KabelData!J6,Kabel!$C$47:$G$48,5,FALSE))))+IF(KabelData!J4="Tilledning",(IF(KabelData!J5=2,VLOOKUP(KabelData!J6,Kabel!$C$83:$G$86,5,FALSE))+IF(KabelData!J5=3,VLOOKUP(KabelData!J6,Kabel!$C$87:$G$96,5,FALSE))+IF(KabelData!J5=4,VLOOKUP(KabelData!J6,Kabel!$C$97:$G$114,5,FALSE))+IF(KabelData!J5=5,VLOOKUP(KabelData!J6,Kabel!$C$115:$G$123,5,FALSE)))))</f>
        <v>1.803848784768499</v>
      </c>
      <c r="K11" s="720"/>
      <c r="L11" s="720"/>
      <c r="M11" s="40" t="s">
        <v>148</v>
      </c>
      <c r="N11" s="720">
        <f>IF(N6="","",IF(KabelData!N4="CU",(IF(KabelData!N5=1,VLOOKUP(KabelData!N6,Kabel!$C$49:$G$63,5,FALSE))+IF(KabelData!N5=3,VLOOKUP(KabelData!N6,Kabel!$C$5:$G$12,5,FALSE))+IF(KabelData!N5=4,VLOOKUP(KabelData!N6,Kabel!$C$13:$G$27,5,FALSE))+IF(KabelData!N5=5,VLOOKUP(KabelData!N6,Kabel!$C$28:$G$35,5,FALSE))))+IF(KabelData!N4="AL",(IF(KabelData!N5=1,VLOOKUP(KabelData!N6,Kabel!$C$64:$G$74,5,FALSE))+IF(KabelData!N5=4,VLOOKUP(KabelData!N6,Kabel!$C$36:$G$46,5,FALSE))+IF(KabelData!N5=5,VLOOKUP(KabelData!N6,Kabel!$C$47:$G$48,5,FALSE))))+IF(KabelData!N4="Tilledning",(IF(KabelData!N5=2,VLOOKUP(KabelData!N6,Kabel!$C$83:$G$86,5,FALSE))+IF(KabelData!N5=3,VLOOKUP(KabelData!N6,Kabel!$C$87:$G$96,5,FALSE))+IF(KabelData!N5=4,VLOOKUP(KabelData!N6,Kabel!$C$97:$G$114,5,FALSE))+IF(KabelData!N5=5,VLOOKUP(KabelData!N6,Kabel!$C$115:$G$123,5,FALSE)))))</f>
        <v>0.48771262431497786</v>
      </c>
      <c r="O11" s="720"/>
      <c r="P11" s="720"/>
      <c r="Q11" s="40" t="s">
        <v>148</v>
      </c>
      <c r="R11" s="720" t="str">
        <f>IF(R6="","",IF(KabelData!R4="CU",(IF(KabelData!R5=1,VLOOKUP(KabelData!R6,Kabel!$C$49:$G$63,5,FALSE))+IF(KabelData!R5=3,VLOOKUP(KabelData!R6,Kabel!$C$5:$G$12,5,FALSE))+IF(KabelData!R5=4,VLOOKUP(KabelData!R6,Kabel!$C$13:$G$27,5,FALSE))+IF(KabelData!R5=5,VLOOKUP(KabelData!R6,Kabel!$C$28:$G$35,5,FALSE))))+IF(KabelData!R4="AL",(IF(KabelData!R5=1,VLOOKUP(KabelData!R6,Kabel!$C$64:$G$74,5,FALSE))+IF(KabelData!R5=4,VLOOKUP(KabelData!R6,Kabel!$C$36:$G$46,5,FALSE))+IF(KabelData!R5=5,VLOOKUP(KabelData!R6,Kabel!$C$47:$G$48,5,FALSE))))+IF(KabelData!R4="Tilledning",(IF(KabelData!R5=2,VLOOKUP(KabelData!R6,Kabel!$C$83:$G$86,5,FALSE))+IF(KabelData!R5=3,VLOOKUP(KabelData!R6,Kabel!$C$87:$G$96,5,FALSE))+IF(KabelData!R5=4,VLOOKUP(KabelData!R6,Kabel!$C$97:$G$114,5,FALSE))+IF(KabelData!R5=5,VLOOKUP(KabelData!R6,Kabel!$C$115:$G$123,5,FALSE)))))</f>
        <v/>
      </c>
      <c r="S11" s="720"/>
      <c r="T11" s="720"/>
      <c r="U11" s="9">
        <v>35</v>
      </c>
    </row>
    <row r="12" spans="1:32" s="45" customFormat="1" hidden="1" x14ac:dyDescent="0.25">
      <c r="A12" s="40" t="s">
        <v>3</v>
      </c>
      <c r="B12" s="720">
        <f>IF(B6="","",IF(KabelData!B4="CU",(IF(KabelData!B5=1,VLOOKUP(KabelData!B6,Kabel!$C$49:$G$63,2,FALSE))+IF(KabelData!B5=3,VLOOKUP(KabelData!B6,Kabel!$C$5:$G$12,2,FALSE))+IF(KabelData!B5=4,VLOOKUP(KabelData!B6,Kabel!$C$13:$G$27,2,FALSE))+IF(KabelData!B5=5,VLOOKUP(KabelData!B6,Kabel!$C$28:$G$35,2,FALSE))))+IF(KabelData!B4="AL",(IF(KabelData!B5=1,VLOOKUP(KabelData!B6,Kabel!$C$64:$G$74,2,FALSE))+IF(KabelData!B5=4,VLOOKUP(KabelData!B6,Kabel!$C$36:$G$46,2,FALSE))+IF(KabelData!B5=5,VLOOKUP(KabelData!B6,Kabel!$C$47:$G$48,2,FALSE))))+IF(KabelData!B4="Tilledning",(IF(KabelData!B5=2,VLOOKUP(KabelData!B6,Kabel!$C$83:$G$86,2,FALSE))+IF(KabelData!B5=3,VLOOKUP(KabelData!B6,Kabel!$C$87:$G$96,2,FALSE))+IF(KabelData!B5=4,VLOOKUP(KabelData!B6,Kabel!$C$97:$G$114,2,FALSE))+IF(KabelData!B5=5,VLOOKUP(KabelData!B6,Kabel!$C$115:$G$123,2,FALSE)))))</f>
        <v>0.38800000000000001</v>
      </c>
      <c r="C12" s="720"/>
      <c r="D12" s="720"/>
      <c r="E12" s="40" t="s">
        <v>3</v>
      </c>
      <c r="F12" s="720">
        <f>IF(F6="","",IF(KabelData!F4="CU",(IF(KabelData!F5=1,VLOOKUP(KabelData!F6,Kabel!$C$49:$G$63,2,FALSE))+IF(KabelData!F5=3,VLOOKUP(KabelData!F6,Kabel!$C$5:$G$12,2,FALSE))+IF(KabelData!F5=4,VLOOKUP(KabelData!F6,Kabel!$C$13:$G$27,2,FALSE))+IF(KabelData!F5=5,VLOOKUP(KabelData!F6,Kabel!$C$28:$G$35,2,FALSE))))+IF(KabelData!F4="AL",(IF(KabelData!F5=1,VLOOKUP(KabelData!F6,Kabel!$C$64:$G$74,2,FALSE))+IF(KabelData!F5=4,VLOOKUP(KabelData!F6,Kabel!$C$36:$G$46,2,FALSE))+IF(KabelData!F5=5,VLOOKUP(KabelData!F6,Kabel!$C$47:$G$48,2,FALSE))))+IF(KabelData!F4="Tilledning",(IF(KabelData!F5=2,VLOOKUP(KabelData!F6,Kabel!$C$83:$G$86,2,FALSE))+IF(KabelData!F5=3,VLOOKUP(KabelData!F6,Kabel!$C$87:$G$96,2,FALSE))+IF(KabelData!F5=4,VLOOKUP(KabelData!F6,Kabel!$C$97:$G$114,2,FALSE))+IF(KabelData!F5=5,VLOOKUP(KabelData!F6,Kabel!$C$115:$G$123,2,FALSE)))))</f>
        <v>1.1499999999999999</v>
      </c>
      <c r="G12" s="720"/>
      <c r="H12" s="720"/>
      <c r="I12" s="40" t="s">
        <v>3</v>
      </c>
      <c r="J12" s="720">
        <f>IF(J6="","",IF(KabelData!J4="CU",(IF(KabelData!J5=1,VLOOKUP(KabelData!J6,Kabel!$C$49:$G$63,2,FALSE))+IF(KabelData!J5=3,VLOOKUP(KabelData!J6,Kabel!$C$5:$G$12,2,FALSE))+IF(KabelData!J5=4,VLOOKUP(KabelData!J6,Kabel!$C$13:$G$27,2,FALSE))+IF(KabelData!J5=5,VLOOKUP(KabelData!J6,Kabel!$C$28:$G$35,2,FALSE))))+IF(KabelData!J4="AL",(IF(KabelData!J5=1,VLOOKUP(KabelData!J6,Kabel!$C$64:$G$74,2,FALSE))+IF(KabelData!J5=4,VLOOKUP(KabelData!J6,Kabel!$C$36:$G$46,2,FALSE))+IF(KabelData!J5=5,VLOOKUP(KabelData!J6,Kabel!$C$47:$G$48,2,FALSE))))+IF(KabelData!J4="Tilledning",(IF(KabelData!J5=2,VLOOKUP(KabelData!J6,Kabel!$C$83:$G$86,2,FALSE))+IF(KabelData!J5=3,VLOOKUP(KabelData!J6,Kabel!$C$87:$G$96,2,FALSE))+IF(KabelData!J5=4,VLOOKUP(KabelData!J6,Kabel!$C$97:$G$114,2,FALSE))+IF(KabelData!J5=5,VLOOKUP(KabelData!J6,Kabel!$C$115:$G$123,2,FALSE)))))</f>
        <v>3.08</v>
      </c>
      <c r="K12" s="720"/>
      <c r="L12" s="720"/>
      <c r="M12" s="40" t="s">
        <v>3</v>
      </c>
      <c r="N12" s="720">
        <f>IF(N6="","",IF(KabelData!N4="CU",(IF(KabelData!N5=1,VLOOKUP(KabelData!N6,Kabel!$C$49:$G$63,2,FALSE))+IF(KabelData!N5=3,VLOOKUP(KabelData!N6,Kabel!$C$5:$G$12,2,FALSE))+IF(KabelData!N5=4,VLOOKUP(KabelData!N6,Kabel!$C$13:$G$27,2,FALSE))+IF(KabelData!N5=5,VLOOKUP(KabelData!N6,Kabel!$C$28:$G$35,2,FALSE))))+IF(KabelData!N4="AL",(IF(KabelData!N5=1,VLOOKUP(KabelData!N6,Kabel!$C$64:$G$74,2,FALSE))+IF(KabelData!N5=4,VLOOKUP(KabelData!N6,Kabel!$C$36:$G$46,2,FALSE))+IF(KabelData!N5=5,VLOOKUP(KabelData!N6,Kabel!$C$47:$G$48,2,FALSE))))+IF(KabelData!N4="Tilledning",(IF(KabelData!N5=2,VLOOKUP(KabelData!N6,Kabel!$C$83:$G$86,2,FALSE))+IF(KabelData!N5=3,VLOOKUP(KabelData!N6,Kabel!$C$87:$G$96,2,FALSE))+IF(KabelData!N5=4,VLOOKUP(KabelData!N6,Kabel!$C$97:$G$114,2,FALSE))+IF(KabelData!N5=5,VLOOKUP(KabelData!N6,Kabel!$C$115:$G$123,2,FALSE)))))</f>
        <v>12.1</v>
      </c>
      <c r="O12" s="720"/>
      <c r="P12" s="720"/>
      <c r="Q12" s="40" t="s">
        <v>3</v>
      </c>
      <c r="R12" s="720" t="str">
        <f>IF(R6="","",IF(KabelData!R4="CU",(IF(KabelData!R5=1,VLOOKUP(KabelData!R6,Kabel!$C$49:$G$63,2,FALSE))+IF(KabelData!R5=3,VLOOKUP(KabelData!R6,Kabel!$C$5:$G$12,2,FALSE))+IF(KabelData!R5=4,VLOOKUP(KabelData!R6,Kabel!$C$13:$G$27,2,FALSE))+IF(KabelData!R5=5,VLOOKUP(KabelData!R6,Kabel!$C$28:$G$35,2,FALSE))))+IF(KabelData!R4="AL",(IF(KabelData!R5=1,VLOOKUP(KabelData!R6,Kabel!$C$64:$G$74,2,FALSE))+IF(KabelData!R5=4,VLOOKUP(KabelData!R6,Kabel!$C$36:$G$46,2,FALSE))+IF(KabelData!R5=5,VLOOKUP(KabelData!R6,Kabel!$C$47:$G$48,2,FALSE))))+IF(KabelData!R4="Tilledning",(IF(KabelData!R5=2,VLOOKUP(KabelData!R6,Kabel!$C$83:$G$86,2,FALSE))+IF(KabelData!R5=3,VLOOKUP(KabelData!R6,Kabel!$C$87:$G$96,2,FALSE))+IF(KabelData!R5=4,VLOOKUP(KabelData!R6,Kabel!$C$97:$G$114,2,FALSE))+IF(KabelData!R5=5,VLOOKUP(KabelData!R6,Kabel!$C$115:$G$123,2,FALSE)))))</f>
        <v/>
      </c>
      <c r="S12" s="720"/>
      <c r="T12" s="720"/>
      <c r="U12" s="9">
        <v>50</v>
      </c>
    </row>
    <row r="13" spans="1:32" s="45" customFormat="1" hidden="1" x14ac:dyDescent="0.25">
      <c r="A13" s="40" t="s">
        <v>4</v>
      </c>
      <c r="B13" s="720">
        <f>IF(B6="","",IF(KabelData!B4="CU",(IF(KabelData!B5=1,VLOOKUP(KabelData!B6,Kabel!$C$49:$G$63,3,FALSE))+IF(KabelData!B5=3,VLOOKUP(KabelData!B6,Kabel!$C$5:$G$12,3,FALSE))+IF(KabelData!B5=4,VLOOKUP(KabelData!B6,Kabel!$C$13:$G$27,3,FALSE))+IF(KabelData!B5=5,VLOOKUP(KabelData!B6,Kabel!$C$28:$G$35,3,FALSE))))+IF(KabelData!B4="AL",(IF(KabelData!B5=1,VLOOKUP(KabelData!B6,Kabel!$C$64:$G$74,3,FALSE))+IF(KabelData!B5=4,VLOOKUP(KabelData!B6,Kabel!$C$36:$G$46,3,FALSE))+IF(KabelData!B5=5,VLOOKUP(KabelData!B6,Kabel!$C$47:$G$48,3,FALSE))))+IF(KabelData!B4="Tilledning",(IF(KabelData!B5=2,VLOOKUP(KabelData!B6,Kabel!$C$83:$G$86,3,FALSE))+IF(KabelData!B5=3,VLOOKUP(KabelData!B6,Kabel!$C$87:$G$96,3,FALSE))+IF(KabelData!B5=4,VLOOKUP(KabelData!B6,Kabel!$C$97:$G$114,3,FALSE))+IF(KabelData!B5=5,VLOOKUP(KabelData!B6,Kabel!$C$115:$G$123,3,FALSE)))))</f>
        <v>8.4000000000000005E-2</v>
      </c>
      <c r="C13" s="720"/>
      <c r="D13" s="720"/>
      <c r="E13" s="40" t="s">
        <v>4</v>
      </c>
      <c r="F13" s="720">
        <f>IF(F6="","",IF(KabelData!F4="CU",(IF(KabelData!F5=1,VLOOKUP(KabelData!F6,Kabel!$C$49:$G$63,3,FALSE))+IF(KabelData!F5=3,VLOOKUP(KabelData!F6,Kabel!$C$5:$G$12,3,FALSE))+IF(KabelData!F5=4,VLOOKUP(KabelData!F6,Kabel!$C$13:$G$27,3,FALSE))+IF(KabelData!F5=5,VLOOKUP(KabelData!F6,Kabel!$C$28:$G$35,3,FALSE))))+IF(KabelData!F4="AL",(IF(KabelData!F5=1,VLOOKUP(KabelData!F6,Kabel!$C$64:$G$74,3,FALSE))+IF(KabelData!F5=4,VLOOKUP(KabelData!F6,Kabel!$C$36:$G$46,3,FALSE))+IF(KabelData!F5=5,VLOOKUP(KabelData!F6,Kabel!$C$47:$G$48,3,FALSE))))+IF(KabelData!F4="Tilledning",(IF(KabelData!F5=2,VLOOKUP(KabelData!F6,Kabel!$C$83:$G$86,3,FALSE))+IF(KabelData!F5=3,VLOOKUP(KabelData!F6,Kabel!$C$87:$G$96,3,FALSE))+IF(KabelData!F5=4,VLOOKUP(KabelData!F6,Kabel!$C$97:$G$114,3,FALSE))+IF(KabelData!F5=5,VLOOKUP(KabelData!F6,Kabel!$C$115:$G$123,3,FALSE)))))</f>
        <v>8.5000000000000006E-2</v>
      </c>
      <c r="G13" s="720"/>
      <c r="H13" s="720"/>
      <c r="I13" s="40" t="s">
        <v>4</v>
      </c>
      <c r="J13" s="720">
        <f>IF(J6="","",IF(KabelData!J4="CU",(IF(KabelData!J5=1,VLOOKUP(KabelData!J6,Kabel!$C$49:$G$63,3,FALSE))+IF(KabelData!J5=3,VLOOKUP(KabelData!J6,Kabel!$C$5:$G$12,3,FALSE))+IF(KabelData!J5=4,VLOOKUP(KabelData!J6,Kabel!$C$13:$G$27,3,FALSE))+IF(KabelData!J5=5,VLOOKUP(KabelData!J6,Kabel!$C$28:$G$35,3,FALSE))))+IF(KabelData!J4="AL",(IF(KabelData!J5=1,VLOOKUP(KabelData!J6,Kabel!$C$64:$G$74,3,FALSE))+IF(KabelData!J5=4,VLOOKUP(KabelData!J6,Kabel!$C$36:$G$46,3,FALSE))+IF(KabelData!J5=5,VLOOKUP(KabelData!J6,Kabel!$C$47:$G$48,3,FALSE))))+IF(KabelData!J4="Tilledning",(IF(KabelData!J5=2,VLOOKUP(KabelData!J6,Kabel!$C$83:$G$86,3,FALSE))+IF(KabelData!J5=3,VLOOKUP(KabelData!J6,Kabel!$C$87:$G$96,3,FALSE))+IF(KabelData!J5=4,VLOOKUP(KabelData!J6,Kabel!$C$97:$G$114,3,FALSE))+IF(KabelData!J5=5,VLOOKUP(KabelData!J6,Kabel!$C$115:$G$123,3,FALSE)))))</f>
        <v>9.7000000000000003E-2</v>
      </c>
      <c r="K13" s="720"/>
      <c r="L13" s="720"/>
      <c r="M13" s="40" t="s">
        <v>4</v>
      </c>
      <c r="N13" s="720">
        <f>IF(N6="","",IF(KabelData!N4="CU",(IF(KabelData!N5=1,VLOOKUP(KabelData!N6,Kabel!$C$49:$G$63,3,FALSE))+IF(KabelData!N5=3,VLOOKUP(KabelData!N6,Kabel!$C$5:$G$12,3,FALSE))+IF(KabelData!N5=4,VLOOKUP(KabelData!N6,Kabel!$C$13:$G$27,3,FALSE))+IF(KabelData!N5=5,VLOOKUP(KabelData!N6,Kabel!$C$28:$G$35,3,FALSE))))+IF(KabelData!N4="AL",(IF(KabelData!N5=1,VLOOKUP(KabelData!N6,Kabel!$C$64:$G$74,3,FALSE))+IF(KabelData!N5=4,VLOOKUP(KabelData!N6,Kabel!$C$36:$G$46,3,FALSE))+IF(KabelData!N5=5,VLOOKUP(KabelData!N6,Kabel!$C$47:$G$48,3,FALSE))))+IF(KabelData!N4="Tilledning",(IF(KabelData!N5=2,VLOOKUP(KabelData!N6,Kabel!$C$83:$G$86,3,FALSE))+IF(KabelData!N5=3,VLOOKUP(KabelData!N6,Kabel!$C$87:$G$96,3,FALSE))+IF(KabelData!N5=4,VLOOKUP(KabelData!N6,Kabel!$C$97:$G$114,3,FALSE))+IF(KabelData!N5=5,VLOOKUP(KabelData!N6,Kabel!$C$115:$G$123,3,FALSE)))))</f>
        <v>0.10299999999999999</v>
      </c>
      <c r="O13" s="720"/>
      <c r="P13" s="720"/>
      <c r="Q13" s="40" t="s">
        <v>4</v>
      </c>
      <c r="R13" s="720" t="str">
        <f>IF(R6="","",IF(KabelData!R4="CU",(IF(KabelData!R5=1,VLOOKUP(KabelData!R6,Kabel!$C$49:$G$63,3,FALSE))+IF(KabelData!R5=3,VLOOKUP(KabelData!R6,Kabel!$C$5:$G$12,3,FALSE))+IF(KabelData!R5=4,VLOOKUP(KabelData!R6,Kabel!$C$13:$G$27,3,FALSE))+IF(KabelData!R5=5,VLOOKUP(KabelData!R6,Kabel!$C$28:$G$35,3,FALSE))))+IF(KabelData!R4="AL",(IF(KabelData!R5=1,VLOOKUP(KabelData!R6,Kabel!$C$64:$G$74,3,FALSE))+IF(KabelData!R5=4,VLOOKUP(KabelData!R6,Kabel!$C$36:$G$46,3,FALSE))+IF(KabelData!R5=5,VLOOKUP(KabelData!R6,Kabel!$C$47:$G$48,3,FALSE))))+IF(KabelData!R4="Tilledning",(IF(KabelData!R5=2,VLOOKUP(KabelData!R6,Kabel!$C$83:$G$86,3,FALSE))+IF(KabelData!R5=3,VLOOKUP(KabelData!R6,Kabel!$C$87:$G$96,3,FALSE))+IF(KabelData!R5=4,VLOOKUP(KabelData!R6,Kabel!$C$97:$G$114,3,FALSE))+IF(KabelData!R5=5,VLOOKUP(KabelData!R6,Kabel!$C$115:$G$123,3,FALSE)))))</f>
        <v/>
      </c>
      <c r="S13" s="720"/>
      <c r="T13" s="720"/>
      <c r="U13" s="9">
        <v>70</v>
      </c>
    </row>
    <row r="14" spans="1:32" ht="18" hidden="1" x14ac:dyDescent="0.35">
      <c r="A14" s="40" t="s">
        <v>133</v>
      </c>
      <c r="B14" s="720">
        <f>IF(B6="","",IF(KabelData!B4="CU",(IF(KabelData!B5=1,VLOOKUP(KabelData!B6,Kabel!$C$49:$K$63,6,FALSE))+IF(KabelData!B5=3,VLOOKUP(KabelData!B6,Kabel!$C$5:$K$12,6,FALSE))+IF(KabelData!B5=4,VLOOKUP(KabelData!B6,Kabel!$C$13:$K$27,6,FALSE))+IF(KabelData!B5=5,VLOOKUP(KabelData!B6,Kabel!$C$28:$K$35,6,FALSE))))+IF(KabelData!B4="AL",(IF(KabelData!B5=1,VLOOKUP(KabelData!B6,Kabel!$C$64:$K$74,6,FALSE))+IF(KabelData!B5=4,VLOOKUP(KabelData!B6,Kabel!$C$36:$K$46,6,FALSE))+IF(KabelData!B5=5,VLOOKUP(KabelData!B6,Kabel!$C$47:$K$48,6,FALSE))))+IF(KabelData!B4="Tilledning",(IF(KabelData!B5=2,VLOOKUP(KabelData!B6,Kabel!$C$83:$K$86,6,FALSE))+IF(KabelData!B5=3,VLOOKUP(KabelData!B6,Kabel!$C$87:$K$96,6,FALSE))+IF(KabelData!B5=4,VLOOKUP(KabelData!B6,Kabel!$C$97:$K$114,6,FALSE))+IF(KabelData!B5=5,VLOOKUP(KabelData!B6,Kabel!$C$115:$K$123,6,FALSE)))))</f>
        <v>0.58803061144807767</v>
      </c>
      <c r="C14" s="720"/>
      <c r="D14" s="720"/>
      <c r="E14" s="40" t="s">
        <v>133</v>
      </c>
      <c r="F14" s="720">
        <f>IF(F6="","",IF(KabelData!F4="CU",(IF(KabelData!F5=1,VLOOKUP(KabelData!F6,Kabel!$C$49:$K$63,6,FALSE))+IF(KabelData!F5=3,VLOOKUP(KabelData!F6,Kabel!$C$5:$K$12,6,FALSE))+IF(KabelData!F5=4,VLOOKUP(KabelData!F6,Kabel!$C$13:$K$27,6,FALSE))+IF(KabelData!F5=5,VLOOKUP(KabelData!F6,Kabel!$C$28:$K$35,6,FALSE))))+IF(KabelData!F4="AL",(IF(KabelData!F5=1,VLOOKUP(KabelData!F6,Kabel!$C$64:$K$74,6,FALSE))+IF(KabelData!F5=4,VLOOKUP(KabelData!F6,Kabel!$C$36:$K$46,6,FALSE))+IF(KabelData!F5=5,VLOOKUP(KabelData!F6,Kabel!$C$47:$K$48,6,FALSE))))+IF(KabelData!F4="Tilledning",(IF(KabelData!F5=2,VLOOKUP(KabelData!F6,Kabel!$C$83:$K$86,6,FALSE))+IF(KabelData!F5=3,VLOOKUP(KabelData!F6,Kabel!$C$87:$K$96,6,FALSE))+IF(KabelData!F5=4,VLOOKUP(KabelData!F6,Kabel!$C$97:$K$114,6,FALSE))+IF(KabelData!F5=5,VLOOKUP(KabelData!F6,Kabel!$C$115:$K$123,6,FALSE)))))</f>
        <v>1.727092933226235</v>
      </c>
      <c r="G14" s="720"/>
      <c r="H14" s="720"/>
      <c r="I14" s="40" t="s">
        <v>133</v>
      </c>
      <c r="J14" s="720">
        <f>IF(J6="","",IF(KabelData!J4="CU",(IF(KabelData!J5=1,VLOOKUP(KabelData!J6,Kabel!$C$49:$K$63,6,FALSE))+IF(KabelData!J5=3,VLOOKUP(KabelData!J6,Kabel!$C$5:$K$12,6,FALSE))+IF(KabelData!J5=4,VLOOKUP(KabelData!J6,Kabel!$C$13:$K$27,6,FALSE))+IF(KabelData!J5=5,VLOOKUP(KabelData!J6,Kabel!$C$28:$K$35,6,FALSE))))+IF(KabelData!J4="AL",(IF(KabelData!J5=1,VLOOKUP(KabelData!J6,Kabel!$C$64:$K$74,6,FALSE))+IF(KabelData!J5=4,VLOOKUP(KabelData!J6,Kabel!$C$36:$K$46,6,FALSE))+IF(KabelData!J5=5,VLOOKUP(KabelData!J6,Kabel!$C$47:$K$48,6,FALSE))))+IF(KabelData!J4="Tilledning",(IF(KabelData!J5=2,VLOOKUP(KabelData!J6,Kabel!$C$83:$K$86,6,FALSE))+IF(KabelData!J5=3,VLOOKUP(KabelData!J6,Kabel!$C$87:$K$96,6,FALSE))+IF(KabelData!J5=4,VLOOKUP(KabelData!J6,Kabel!$C$97:$K$114,6,FALSE))+IF(KabelData!J5=5,VLOOKUP(KabelData!J6,Kabel!$C$115:$K$123,6,FALSE)))))</f>
        <v>4.6210181778478212</v>
      </c>
      <c r="K14" s="720"/>
      <c r="L14" s="720"/>
      <c r="M14" s="40" t="s">
        <v>133</v>
      </c>
      <c r="N14" s="720">
        <f>IF(N6="","",IF(KabelData!N4="CU",(IF(KabelData!N5=1,VLOOKUP(KabelData!N6,Kabel!$C$49:$K$63,6,FALSE))+IF(KabelData!N5=3,VLOOKUP(KabelData!N6,Kabel!$C$5:$K$12,6,FALSE))+IF(KabelData!N5=4,VLOOKUP(KabelData!N6,Kabel!$C$13:$K$27,6,FALSE))+IF(KabelData!N5=5,VLOOKUP(KabelData!N6,Kabel!$C$28:$K$35,6,FALSE))))+IF(KabelData!N4="AL",(IF(KabelData!N5=1,VLOOKUP(KabelData!N6,Kabel!$C$64:$K$74,6,FALSE))+IF(KabelData!N5=4,VLOOKUP(KabelData!N6,Kabel!$C$36:$K$46,6,FALSE))+IF(KabelData!N5=5,VLOOKUP(KabelData!N6,Kabel!$C$47:$K$48,6,FALSE))))+IF(KabelData!N4="Tilledning",(IF(KabelData!N5=2,VLOOKUP(KabelData!N6,Kabel!$C$83:$K$86,6,FALSE))+IF(KabelData!N5=3,VLOOKUP(KabelData!N6,Kabel!$C$87:$K$96,6,FALSE))+IF(KabelData!N5=4,VLOOKUP(KabelData!N6,Kabel!$C$97:$K$114,6,FALSE))+IF(KabelData!N5=5,VLOOKUP(KabelData!N6,Kabel!$C$115:$K$123,6,FALSE)))))</f>
        <v>18.150292256600164</v>
      </c>
      <c r="O14" s="720"/>
      <c r="P14" s="720"/>
      <c r="Q14" s="40" t="s">
        <v>133</v>
      </c>
      <c r="R14" s="720" t="str">
        <f>IF(R6="","",IF(KabelData!R4="CU",(IF(KabelData!R5=1,VLOOKUP(KabelData!R6,Kabel!$C$49:$K$63,6,FALSE))+IF(KabelData!R5=3,VLOOKUP(KabelData!R6,Kabel!$C$5:$K$12,6,FALSE))+IF(KabelData!R5=4,VLOOKUP(KabelData!R6,Kabel!$C$13:$K$27,6,FALSE))+IF(KabelData!R5=5,VLOOKUP(KabelData!R6,Kabel!$C$28:$K$35,6,FALSE))))+IF(KabelData!R4="AL",(IF(KabelData!R5=1,VLOOKUP(KabelData!R6,Kabel!$C$64:$K$74,6,FALSE))+IF(KabelData!R5=4,VLOOKUP(KabelData!R6,Kabel!$C$36:$K$46,6,FALSE))+IF(KabelData!R5=5,VLOOKUP(KabelData!R6,Kabel!$C$47:$K$48,6,FALSE))))+IF(KabelData!R4="Tilledning",(IF(KabelData!R5=2,VLOOKUP(KabelData!R6,Kabel!$C$83:$K$86,6,FALSE))+IF(KabelData!R5=3,VLOOKUP(KabelData!R6,Kabel!$C$87:$K$96,6,FALSE))+IF(KabelData!R5=4,VLOOKUP(KabelData!R6,Kabel!$C$97:$K$114,6,FALSE))+IF(KabelData!R5=5,VLOOKUP(KabelData!R6,Kabel!$C$115:$K$123,6,FALSE)))))</f>
        <v/>
      </c>
      <c r="S14" s="720"/>
      <c r="T14" s="720"/>
      <c r="U14" s="9">
        <v>95</v>
      </c>
    </row>
    <row r="15" spans="1:32" hidden="1" x14ac:dyDescent="0.25">
      <c r="A15" s="40" t="s">
        <v>149</v>
      </c>
      <c r="B15" s="720">
        <f>IF(B6="","",IF(KabelData!B4="CU",(IF(KabelData!B5=1,VLOOKUP(KabelData!B6,Kabel!$C$49:$K$63,7,FALSE))+IF(KabelData!B5=3,VLOOKUP(KabelData!B6,Kabel!$C$5:$K$12,7,FALSE))+IF(KabelData!B5=4,VLOOKUP(KabelData!B6,Kabel!$C$13:$K$27,7,FALSE))+IF(KabelData!B5=5,VLOOKUP(KabelData!B6,Kabel!$C$28:$K$35,7,FALSE))))+IF(KabelData!B4="AL",(IF(KabelData!B5=1,VLOOKUP(KabelData!B6,Kabel!$C$64:$K$74,7,FALSE))+IF(KabelData!B5=4,VLOOKUP(KabelData!B6,Kabel!$C$36:$K$46,7,FALSE))+IF(KabelData!B5=5,VLOOKUP(KabelData!B6,Kabel!$C$47:$K$48,7,FALSE))))+IF(KabelData!B4="Tilledning",(IF(KabelData!B5=2,VLOOKUP(KabelData!B6,Kabel!$C$83:$K$86,7,FALSE))+IF(KabelData!B5=3,VLOOKUP(KabelData!B6,Kabel!$C$87:$K$96,7,FALSE))+IF(KabelData!B5=4,VLOOKUP(KabelData!B6,Kabel!$C$97:$K$114,7,FALSE))+IF(KabelData!B5=5,VLOOKUP(KabelData!B6,Kabel!$C$115:$K$123,7,FALSE)))))</f>
        <v>8.2127801892859527</v>
      </c>
      <c r="C15" s="720"/>
      <c r="D15" s="720"/>
      <c r="E15" s="40" t="s">
        <v>149</v>
      </c>
      <c r="F15" s="720">
        <f>IF(F6="","",IF(KabelData!F4="CU",(IF(KabelData!F5=1,VLOOKUP(KabelData!F6,Kabel!$C$49:$K$63,7,FALSE))+IF(KabelData!F5=3,VLOOKUP(KabelData!F6,Kabel!$C$5:$K$12,7,FALSE))+IF(KabelData!F5=4,VLOOKUP(KabelData!F6,Kabel!$C$13:$K$27,7,FALSE))+IF(KabelData!F5=5,VLOOKUP(KabelData!F6,Kabel!$C$28:$K$35,7,FALSE))))+IF(KabelData!F4="AL",(IF(KabelData!F5=1,VLOOKUP(KabelData!F6,Kabel!$C$64:$K$74,7,FALSE))+IF(KabelData!F5=4,VLOOKUP(KabelData!F6,Kabel!$C$36:$K$46,7,FALSE))+IF(KabelData!F5=5,VLOOKUP(KabelData!F6,Kabel!$C$47:$K$48,7,FALSE))))+IF(KabelData!F4="Tilledning",(IF(KabelData!F5=2,VLOOKUP(KabelData!F6,Kabel!$C$83:$K$86,7,FALSE))+IF(KabelData!F5=3,VLOOKUP(KabelData!F6,Kabel!$C$87:$K$96,7,FALSE))+IF(KabelData!F5=4,VLOOKUP(KabelData!F6,Kabel!$C$97:$K$114,7,FALSE))+IF(KabelData!F5=5,VLOOKUP(KabelData!F6,Kabel!$C$115:$K$123,7,FALSE)))))</f>
        <v>2.8209885935155139</v>
      </c>
      <c r="G15" s="720"/>
      <c r="H15" s="720"/>
      <c r="I15" s="40" t="s">
        <v>149</v>
      </c>
      <c r="J15" s="720">
        <f>IF(J6="","",IF(KabelData!J4="CU",(IF(KabelData!J5=1,VLOOKUP(KabelData!J6,Kabel!$C$49:$K$63,7,FALSE))+IF(KabelData!J5=3,VLOOKUP(KabelData!J6,Kabel!$C$5:$K$12,7,FALSE))+IF(KabelData!J5=4,VLOOKUP(KabelData!J6,Kabel!$C$13:$K$27,7,FALSE))+IF(KabelData!J5=5,VLOOKUP(KabelData!J6,Kabel!$C$28:$K$35,7,FALSE))))+IF(KabelData!J4="AL",(IF(KabelData!J5=1,VLOOKUP(KabelData!J6,Kabel!$C$64:$K$74,7,FALSE))+IF(KabelData!J5=4,VLOOKUP(KabelData!J6,Kabel!$C$36:$K$46,7,FALSE))+IF(KabelData!J5=5,VLOOKUP(KabelData!J6,Kabel!$C$47:$K$48,7,FALSE))))+IF(KabelData!J4="Tilledning",(IF(KabelData!J5=2,VLOOKUP(KabelData!J6,Kabel!$C$83:$K$86,7,FALSE))+IF(KabelData!J5=3,VLOOKUP(KabelData!J6,Kabel!$C$87:$K$96,7,FALSE))+IF(KabelData!J5=4,VLOOKUP(KabelData!J6,Kabel!$C$97:$K$114,7,FALSE))+IF(KabelData!J5=5,VLOOKUP(KabelData!J6,Kabel!$C$115:$K$123,7,FALSE)))))</f>
        <v>1.202786620123433</v>
      </c>
      <c r="K15" s="720"/>
      <c r="L15" s="720"/>
      <c r="M15" s="40" t="s">
        <v>149</v>
      </c>
      <c r="N15" s="720">
        <f>IF(N6="","",IF(KabelData!N4="CU",(IF(KabelData!N5=1,VLOOKUP(KabelData!N6,Kabel!$C$49:$K$63,7,FALSE))+IF(KabelData!N5=3,VLOOKUP(KabelData!N6,Kabel!$C$5:$K$12,7,FALSE))+IF(KabelData!N5=4,VLOOKUP(KabelData!N6,Kabel!$C$13:$K$27,7,FALSE))+IF(KabelData!N5=5,VLOOKUP(KabelData!N6,Kabel!$C$28:$K$35,7,FALSE))))+IF(KabelData!N4="AL",(IF(KabelData!N5=1,VLOOKUP(KabelData!N6,Kabel!$C$64:$K$74,7,FALSE))+IF(KabelData!N5=4,VLOOKUP(KabelData!N6,Kabel!$C$36:$K$46,7,FALSE))+IF(KabelData!N5=5,VLOOKUP(KabelData!N6,Kabel!$C$47:$K$48,7,FALSE))))+IF(KabelData!N4="Tilledning",(IF(KabelData!N5=2,VLOOKUP(KabelData!N6,Kabel!$C$83:$K$86,7,FALSE))+IF(KabelData!N5=3,VLOOKUP(KabelData!N6,Kabel!$C$87:$K$96,7,FALSE))+IF(KabelData!N5=4,VLOOKUP(KabelData!N6,Kabel!$C$97:$K$114,7,FALSE))+IF(KabelData!N5=5,VLOOKUP(KabelData!N6,Kabel!$C$115:$K$123,7,FALSE)))))</f>
        <v>0.32514611234865137</v>
      </c>
      <c r="O15" s="720"/>
      <c r="P15" s="720"/>
      <c r="Q15" s="40" t="s">
        <v>149</v>
      </c>
      <c r="R15" s="720" t="str">
        <f>IF(R6="","",IF(KabelData!R4="CU",(IF(KabelData!R5=1,VLOOKUP(KabelData!R6,Kabel!$C$49:$K$63,7,FALSE))+IF(KabelData!R5=3,VLOOKUP(KabelData!R6,Kabel!$C$5:$K$12,7,FALSE))+IF(KabelData!R5=4,VLOOKUP(KabelData!R6,Kabel!$C$13:$K$27,7,FALSE))+IF(KabelData!R5=5,VLOOKUP(KabelData!R6,Kabel!$C$28:$K$35,7,FALSE))))+IF(KabelData!R4="AL",(IF(KabelData!R5=1,VLOOKUP(KabelData!R6,Kabel!$C$64:$K$74,7,FALSE))+IF(KabelData!R5=4,VLOOKUP(KabelData!R6,Kabel!$C$36:$K$46,7,FALSE))+IF(KabelData!R5=5,VLOOKUP(KabelData!R6,Kabel!$C$47:$K$48,7,FALSE))))+IF(KabelData!R4="Tilledning",(IF(KabelData!R5=2,VLOOKUP(KabelData!R6,Kabel!$C$83:$K$86,7,FALSE))+IF(KabelData!R5=3,VLOOKUP(KabelData!R6,Kabel!$C$87:$K$96,7,FALSE))+IF(KabelData!R5=4,VLOOKUP(KabelData!R6,Kabel!$C$97:$K$114,7,FALSE))+IF(KabelData!R5=5,VLOOKUP(KabelData!R6,Kabel!$C$115:$K$123,7,FALSE)))))</f>
        <v/>
      </c>
      <c r="S15" s="720"/>
      <c r="T15" s="720"/>
      <c r="U15" s="9">
        <v>120</v>
      </c>
    </row>
    <row r="16" spans="1:32" x14ac:dyDescent="0.25">
      <c r="U16" s="9">
        <v>150</v>
      </c>
    </row>
    <row r="17" spans="1:23" x14ac:dyDescent="0.25">
      <c r="A17" s="695" t="s">
        <v>67</v>
      </c>
      <c r="B17" s="695"/>
      <c r="C17" s="695"/>
      <c r="D17" s="695"/>
      <c r="E17" s="695" t="s">
        <v>68</v>
      </c>
      <c r="F17" s="695"/>
      <c r="G17" s="695"/>
      <c r="H17" s="695"/>
      <c r="I17" s="695" t="s">
        <v>69</v>
      </c>
      <c r="J17" s="695"/>
      <c r="K17" s="695"/>
      <c r="L17" s="695"/>
      <c r="M17" s="695" t="s">
        <v>331</v>
      </c>
      <c r="N17" s="695"/>
      <c r="O17" s="695"/>
      <c r="P17" s="695"/>
      <c r="Q17" s="695" t="s">
        <v>331</v>
      </c>
      <c r="R17" s="695"/>
      <c r="S17" s="695"/>
      <c r="T17" s="695"/>
      <c r="U17" s="9">
        <v>185</v>
      </c>
    </row>
    <row r="18" spans="1:23" x14ac:dyDescent="0.25">
      <c r="A18" s="45" t="s">
        <v>222</v>
      </c>
      <c r="B18" s="722"/>
      <c r="C18" s="723"/>
      <c r="D18" s="724"/>
      <c r="F18" s="722"/>
      <c r="G18" s="723"/>
      <c r="H18" s="724"/>
      <c r="J18" s="722"/>
      <c r="K18" s="723"/>
      <c r="L18" s="724"/>
      <c r="N18" s="722"/>
      <c r="O18" s="723"/>
      <c r="P18" s="724"/>
      <c r="R18" s="722" t="s">
        <v>388</v>
      </c>
      <c r="S18" s="723"/>
      <c r="T18" s="724"/>
      <c r="U18" s="9">
        <v>240</v>
      </c>
    </row>
    <row r="19" spans="1:23" s="45" customFormat="1" x14ac:dyDescent="0.25">
      <c r="A19" s="45" t="s">
        <v>220</v>
      </c>
      <c r="B19" s="727" t="s">
        <v>9</v>
      </c>
      <c r="C19" s="728"/>
      <c r="D19" s="729"/>
      <c r="F19" s="727" t="s">
        <v>9</v>
      </c>
      <c r="G19" s="728"/>
      <c r="H19" s="729"/>
      <c r="J19" s="727" t="s">
        <v>9</v>
      </c>
      <c r="K19" s="728"/>
      <c r="L19" s="729"/>
      <c r="N19" s="727" t="s">
        <v>9</v>
      </c>
      <c r="O19" s="728"/>
      <c r="P19" s="729"/>
      <c r="R19" s="727" t="s">
        <v>9</v>
      </c>
      <c r="S19" s="728"/>
      <c r="T19" s="729"/>
      <c r="U19" s="9">
        <v>300</v>
      </c>
    </row>
    <row r="20" spans="1:23" s="45" customFormat="1" x14ac:dyDescent="0.25">
      <c r="A20" s="207" t="s">
        <v>219</v>
      </c>
      <c r="B20" s="718"/>
      <c r="C20" s="718"/>
      <c r="D20" s="718"/>
      <c r="F20" s="718"/>
      <c r="G20" s="718"/>
      <c r="H20" s="718"/>
      <c r="J20" s="718"/>
      <c r="K20" s="718"/>
      <c r="L20" s="718"/>
      <c r="M20" s="379" t="s">
        <v>356</v>
      </c>
      <c r="N20" s="718"/>
      <c r="O20" s="718"/>
      <c r="P20" s="718"/>
      <c r="Q20" s="379" t="s">
        <v>356</v>
      </c>
      <c r="R20" s="718"/>
      <c r="S20" s="718"/>
      <c r="T20" s="718"/>
    </row>
    <row r="21" spans="1:23" x14ac:dyDescent="0.25">
      <c r="A21" s="45" t="s">
        <v>221</v>
      </c>
      <c r="B21" s="725"/>
      <c r="C21" s="726"/>
      <c r="D21" s="726"/>
      <c r="F21" s="725"/>
      <c r="G21" s="726"/>
      <c r="H21" s="726"/>
      <c r="J21" s="725"/>
      <c r="K21" s="726"/>
      <c r="L21" s="726"/>
      <c r="M21" s="299" t="s">
        <v>4</v>
      </c>
      <c r="N21" s="725"/>
      <c r="O21" s="726"/>
      <c r="P21" s="726"/>
      <c r="Q21" s="299" t="s">
        <v>4</v>
      </c>
      <c r="R21" s="725"/>
      <c r="S21" s="726"/>
      <c r="T21" s="726"/>
      <c r="U21" t="e">
        <f>IF(AND(B4="CU",B5=1),$U$4:$U$18,IF(AND(B4="CU",B5=3),$U$4:$U$11,IF(AND(B4="CU",B5=4),$U$4:$U$18,IF(AND(B4="CU",B5=5),$U$4:$U$11,IF(AND(B4="AL",B5=1),$U$9:$U$19,IF(AND(B4="AL",B5=4),$U$9:$U$19,IF(AND(B4="AL",B5=5),$U$9:$U$10,IF(AND(B4="Tilledning",B5=2),$U$2:$U$5,IF(AND(B4="Tilledning",B5=3),$U$2:$U$11,IF(AND(B4="Tilledning",B5=4),$U$2:$U$19,IF(AND(B4="Tilledning",B5=5),$U$2:$U$519)))))))))))</f>
        <v>#VALUE!</v>
      </c>
      <c r="W21" t="b">
        <f>IF(AND(B4="CU",B5=1),$U$4:$U$18,IF(AND(B4="CU",B5=3),$U$4:$U$11))</f>
        <v>0</v>
      </c>
    </row>
    <row r="22" spans="1:23" x14ac:dyDescent="0.25">
      <c r="A22" s="30" t="s">
        <v>130</v>
      </c>
      <c r="B22" s="721"/>
      <c r="C22" s="721"/>
      <c r="D22" s="721"/>
      <c r="E22" s="68" t="s">
        <v>146</v>
      </c>
      <c r="F22" s="721"/>
      <c r="G22" s="721"/>
      <c r="H22" s="721"/>
      <c r="I22" s="68" t="s">
        <v>146</v>
      </c>
      <c r="J22" s="721"/>
      <c r="K22" s="721"/>
      <c r="L22" s="721"/>
      <c r="M22" s="68" t="s">
        <v>146</v>
      </c>
      <c r="N22" s="721"/>
      <c r="O22" s="721"/>
      <c r="P22" s="721"/>
      <c r="Q22" s="68" t="s">
        <v>146</v>
      </c>
      <c r="R22" s="721"/>
      <c r="S22" s="721"/>
      <c r="T22" s="721"/>
    </row>
    <row r="23" spans="1:23" x14ac:dyDescent="0.25">
      <c r="A23" s="30" t="s">
        <v>147</v>
      </c>
      <c r="B23" s="721">
        <v>1</v>
      </c>
      <c r="C23" s="721"/>
      <c r="D23" s="721"/>
      <c r="E23" s="68" t="s">
        <v>74</v>
      </c>
      <c r="F23" s="721">
        <v>1</v>
      </c>
      <c r="G23" s="721"/>
      <c r="H23" s="721"/>
      <c r="I23" s="68" t="s">
        <v>74</v>
      </c>
      <c r="J23" s="721">
        <v>1</v>
      </c>
      <c r="K23" s="721"/>
      <c r="L23" s="721"/>
      <c r="M23" s="68" t="s">
        <v>74</v>
      </c>
      <c r="N23" s="721">
        <v>1</v>
      </c>
      <c r="O23" s="721"/>
      <c r="P23" s="721"/>
      <c r="Q23" s="68" t="s">
        <v>74</v>
      </c>
      <c r="R23" s="721">
        <v>1</v>
      </c>
      <c r="S23" s="721"/>
      <c r="T23" s="721"/>
    </row>
    <row r="24" spans="1:23" s="45" customFormat="1" ht="18" x14ac:dyDescent="0.35">
      <c r="A24" s="30" t="s">
        <v>137</v>
      </c>
      <c r="B24" s="44"/>
      <c r="C24" s="144" t="s">
        <v>194</v>
      </c>
      <c r="D24" s="44"/>
      <c r="E24" s="30"/>
      <c r="F24" s="44"/>
      <c r="G24" s="144" t="s">
        <v>194</v>
      </c>
      <c r="H24" s="44"/>
      <c r="I24" s="30"/>
      <c r="J24" s="44"/>
      <c r="K24" s="144" t="s">
        <v>194</v>
      </c>
      <c r="L24" s="44"/>
      <c r="M24" s="30"/>
      <c r="N24" s="44"/>
      <c r="O24" s="144" t="s">
        <v>194</v>
      </c>
      <c r="P24" s="44"/>
      <c r="Q24" s="30"/>
      <c r="R24" s="44"/>
      <c r="S24" s="144" t="s">
        <v>194</v>
      </c>
      <c r="T24" s="44"/>
    </row>
    <row r="25" spans="1:23" ht="18" hidden="1" x14ac:dyDescent="0.35">
      <c r="A25" s="30" t="s">
        <v>132</v>
      </c>
      <c r="B25" s="720" t="str">
        <f>IF(B21="","",IF(KabelData!B19="CU",(IF(KabelData!B20=1,VLOOKUP(KabelData!B21,Kabel!$C$49:$G$63,4,FALSE))+IF(KabelData!B20=3,VLOOKUP(KabelData!B21,Kabel!$C$5:$G$12,4,FALSE))+IF(KabelData!B20=4,VLOOKUP(KabelData!B21,Kabel!$C$13:$G$27,4,FALSE))+IF(KabelData!B20=5,VLOOKUP(KabelData!B21,Kabel!$C$28:$G$35,4,FALSE))))+IF(KabelData!B19="AL",(IF(KabelData!B20=1,VLOOKUP(KabelData!B21,Kabel!$C$64:$G$74,4,FALSE))+IF(KabelData!B20=4,VLOOKUP(KabelData!B21,Kabel!$C$36:$G$46,4,FALSE))+IF(KabelData!B20=5,VLOOKUP(KabelData!B21,Kabel!$C$47:$G$48,4,FALSE))))+IF(KabelData!B19="Tilledning",(IF(KabelData!B20=2,VLOOKUP(KabelData!B21,Kabel!$C$83:$G$86,4,FALSE))+IF(KabelData!B20=3,VLOOKUP(KabelData!B21,Kabel!$C$87:$G$96,4,FALSE))+IF(KabelData!B20=4,VLOOKUP(KabelData!B21,Kabel!$C$97:$G$114,4,FALSE))+IF(KabelData!B20=5,VLOOKUP(KabelData!B21,Kabel!$C$115:$G$123,4,FALSE)))))</f>
        <v/>
      </c>
      <c r="C25" s="720"/>
      <c r="D25" s="720"/>
      <c r="E25" s="30" t="s">
        <v>132</v>
      </c>
      <c r="F25" s="720" t="str">
        <f>IF(F21="","",IF(KabelData!F19="CU",(IF(KabelData!F20=1,VLOOKUP(KabelData!F21,Kabel!$C$49:$G$63,4,FALSE))+IF(KabelData!F20=3,VLOOKUP(KabelData!F21,Kabel!$C$5:$G$12,4,FALSE))+IF(KabelData!F20=4,VLOOKUP(KabelData!F21,Kabel!$C$13:$G$27,4,FALSE))+IF(KabelData!F20=5,VLOOKUP(KabelData!F21,Kabel!$C$28:$G$35,4,FALSE))))+IF(KabelData!F19="AL",(IF(KabelData!F20=1,VLOOKUP(KabelData!F21,Kabel!$C$64:$G$74,4,FALSE))+IF(KabelData!F20=4,VLOOKUP(KabelData!F21,Kabel!$C$36:$G$46,4,FALSE))+IF(KabelData!F20=5,VLOOKUP(KabelData!F21,Kabel!$C$47:$G$48,4,FALSE))))+IF(KabelData!F19="Tilledning",(IF(KabelData!F20=2,VLOOKUP(KabelData!F21,Kabel!$C$83:$G$86,4,FALSE))+IF(KabelData!F20=3,VLOOKUP(KabelData!F21,Kabel!$C$87:$G$96,4,FALSE))+IF(KabelData!F20=4,VLOOKUP(KabelData!F21,Kabel!$C$97:$G$114,4,FALSE))+IF(KabelData!F20=5,VLOOKUP(KabelData!F21,Kabel!$C$115:$G$123,4,FALSE)))))</f>
        <v/>
      </c>
      <c r="G25" s="720"/>
      <c r="H25" s="720"/>
      <c r="I25" s="30" t="s">
        <v>132</v>
      </c>
      <c r="J25" s="720" t="str">
        <f>IF(J21="","",IF(KabelData!J19="CU",(IF(KabelData!J20=1,VLOOKUP(KabelData!J21,Kabel!$C$49:$G$63,4,FALSE))+IF(KabelData!J20=3,VLOOKUP(KabelData!J21,Kabel!$C$5:$G$12,4,FALSE))+IF(KabelData!J20=4,VLOOKUP(KabelData!J21,Kabel!$C$13:$G$27,4,FALSE))+IF(KabelData!J20=5,VLOOKUP(KabelData!J21,Kabel!$C$28:$G$35,4,FALSE))))+IF(KabelData!J19="AL",(IF(KabelData!J20=1,VLOOKUP(KabelData!J21,Kabel!$C$64:$G$74,4,FALSE))+IF(KabelData!J20=4,VLOOKUP(KabelData!J21,Kabel!$C$36:$G$46,4,FALSE))+IF(KabelData!J20=5,VLOOKUP(KabelData!J21,Kabel!$C$47:$G$48,4,FALSE))))+IF(KabelData!J19="Tilledning",(IF(KabelData!J20=2,VLOOKUP(KabelData!J21,Kabel!$C$83:$G$86,4,FALSE))+IF(KabelData!J20=3,VLOOKUP(KabelData!J21,Kabel!$C$87:$G$96,4,FALSE))+IF(KabelData!J20=4,VLOOKUP(KabelData!J21,Kabel!$C$97:$G$114,4,FALSE))+IF(KabelData!J20=5,VLOOKUP(KabelData!J21,Kabel!$C$115:$G$123,4,FALSE)))))</f>
        <v/>
      </c>
      <c r="K25" s="720"/>
      <c r="L25" s="720"/>
      <c r="M25" s="30" t="s">
        <v>132</v>
      </c>
      <c r="N25" s="720" t="str">
        <f>IF(N20="","",IMABS(COMPLEX(N20,N21,"i")))</f>
        <v/>
      </c>
      <c r="O25" s="720"/>
      <c r="P25" s="720"/>
      <c r="Q25" s="30" t="s">
        <v>132</v>
      </c>
      <c r="R25" s="720" t="str">
        <f>IF(R20="","",IMABS(COMPLEX(R20,R21,"i")))</f>
        <v/>
      </c>
      <c r="S25" s="720"/>
      <c r="T25" s="720"/>
    </row>
    <row r="26" spans="1:23" hidden="1" x14ac:dyDescent="0.25">
      <c r="A26" s="40" t="s">
        <v>148</v>
      </c>
      <c r="B26" s="720" t="str">
        <f>IF(B21="","",IF(KabelData!B19="CU",(IF(KabelData!B20=1,VLOOKUP(KabelData!B21,Kabel!$C$49:$G$63,5,FALSE))+IF(KabelData!B20=3,VLOOKUP(KabelData!B21,Kabel!$C$5:$G$12,5,FALSE))+IF(KabelData!B20=4,VLOOKUP(KabelData!B21,Kabel!$C$13:$G$27,5,FALSE))+IF(KabelData!B20=5,VLOOKUP(KabelData!B21,Kabel!$C$28:$G$35,5,FALSE))))+IF(KabelData!B19="AL",(IF(KabelData!B20=1,VLOOKUP(KabelData!B21,Kabel!$C$64:$G$74,5,FALSE))+IF(KabelData!B20=4,VLOOKUP(KabelData!B21,Kabel!$C$36:$G$46,5,FALSE))+IF(KabelData!B20=5,VLOOKUP(KabelData!B21,Kabel!$C$47:$G$48,5,FALSE))))+IF(KabelData!B19="Tilledning",(IF(KabelData!B20=2,VLOOKUP(KabelData!B21,Kabel!$C$83:$G$86,5,FALSE))+IF(KabelData!B20=3,VLOOKUP(KabelData!B21,Kabel!$C$87:$G$96,5,FALSE))+IF(KabelData!B20=4,VLOOKUP(KabelData!B21,Kabel!$C$97:$G$114,5,FALSE))+IF(KabelData!B20=5,VLOOKUP(KabelData!B21,Kabel!$C$115:$G$123,5,FALSE)))))</f>
        <v/>
      </c>
      <c r="C26" s="720"/>
      <c r="D26" s="720"/>
      <c r="E26" s="40" t="s">
        <v>148</v>
      </c>
      <c r="F26" s="720" t="str">
        <f>IF(F21="","",IF(KabelData!F19="CU",(IF(KabelData!F20=1,VLOOKUP(KabelData!F21,Kabel!$C$49:$G$63,5,FALSE))+IF(KabelData!F20=3,VLOOKUP(KabelData!F21,Kabel!$C$5:$G$12,5,FALSE))+IF(KabelData!F20=4,VLOOKUP(KabelData!F21,Kabel!$C$13:$G$27,5,FALSE))+IF(KabelData!F20=5,VLOOKUP(KabelData!F21,Kabel!$C$28:$G$35,5,FALSE))))+IF(KabelData!F19="AL",(IF(KabelData!F20=1,VLOOKUP(KabelData!F21,Kabel!$C$64:$G$74,5,FALSE))+IF(KabelData!F20=4,VLOOKUP(KabelData!F21,Kabel!$C$36:$G$46,5,FALSE))+IF(KabelData!F20=5,VLOOKUP(KabelData!F21,Kabel!$C$47:$G$48,5,FALSE))))+IF(KabelData!F19="Tilledning",(IF(KabelData!F20=2,VLOOKUP(KabelData!F21,Kabel!$C$83:$G$86,5,FALSE))+IF(KabelData!F20=3,VLOOKUP(KabelData!F21,Kabel!$C$87:$G$96,5,FALSE))+IF(KabelData!F20=4,VLOOKUP(KabelData!F21,Kabel!$C$97:$G$114,5,FALSE))+IF(KabelData!F20=5,VLOOKUP(KabelData!F21,Kabel!$C$115:$G$123,5,FALSE)))))</f>
        <v/>
      </c>
      <c r="G26" s="720"/>
      <c r="H26" s="720"/>
      <c r="I26" s="40" t="s">
        <v>148</v>
      </c>
      <c r="J26" s="720" t="str">
        <f>IF(J21="","",IF(KabelData!J19="CU",(IF(KabelData!J20=1,VLOOKUP(KabelData!J21,Kabel!$C$49:$G$63,5,FALSE))+IF(KabelData!J20=3,VLOOKUP(KabelData!J21,Kabel!$C$5:$G$12,5,FALSE))+IF(KabelData!J20=4,VLOOKUP(KabelData!J21,Kabel!$C$13:$G$27,5,FALSE))+IF(KabelData!J20=5,VLOOKUP(KabelData!J21,Kabel!$C$28:$G$35,5,FALSE))))+IF(KabelData!J19="AL",(IF(KabelData!J20=1,VLOOKUP(KabelData!J21,Kabel!$C$64:$G$74,5,FALSE))+IF(KabelData!J20=4,VLOOKUP(KabelData!J21,Kabel!$C$36:$G$46,5,FALSE))+IF(KabelData!J20=5,VLOOKUP(KabelData!J21,Kabel!$C$47:$G$48,5,FALSE))))+IF(KabelData!J19="Tilledning",(IF(KabelData!J20=2,VLOOKUP(KabelData!J21,Kabel!$C$83:$G$86,5,FALSE))+IF(KabelData!J20=3,VLOOKUP(KabelData!J21,Kabel!$C$87:$G$96,5,FALSE))+IF(KabelData!J20=4,VLOOKUP(KabelData!J21,Kabel!$C$97:$G$114,5,FALSE))+IF(KabelData!J20=5,VLOOKUP(KabelData!J21,Kabel!$C$115:$G$123,5,FALSE)))))</f>
        <v/>
      </c>
      <c r="K26" s="720"/>
      <c r="L26" s="720"/>
      <c r="M26" s="40" t="s">
        <v>148</v>
      </c>
      <c r="N26" s="720" t="str">
        <f>IF(N21="","",DEGREES(ACOS((N20/N25))))</f>
        <v/>
      </c>
      <c r="O26" s="720"/>
      <c r="P26" s="720"/>
      <c r="Q26" s="40" t="s">
        <v>148</v>
      </c>
      <c r="R26" s="720" t="str">
        <f>IF(R21="","",DEGREES(ACOS((R20/R25))))</f>
        <v/>
      </c>
      <c r="S26" s="720"/>
      <c r="T26" s="720"/>
    </row>
    <row r="27" spans="1:23" s="45" customFormat="1" hidden="1" x14ac:dyDescent="0.25">
      <c r="A27" s="40" t="s">
        <v>3</v>
      </c>
      <c r="B27" s="720" t="str">
        <f>IF(B21="","",IF(KabelData!B19="CU",(IF(KabelData!B20=1,VLOOKUP(KabelData!B21,Kabel!$C$49:$G$63,2,FALSE))+IF(KabelData!B20=3,VLOOKUP(KabelData!B21,Kabel!$C$5:$G$12,2,FALSE))+IF(KabelData!B20=4,VLOOKUP(KabelData!B21,Kabel!$C$13:$G$27,2,FALSE))+IF(KabelData!B20=5,VLOOKUP(KabelData!B21,Kabel!$C$28:$G$35,2,FALSE))))+IF(KabelData!B19="AL",(IF(KabelData!B20=1,VLOOKUP(KabelData!B21,Kabel!$C$64:$G$74,2,FALSE))+IF(KabelData!B20=4,VLOOKUP(KabelData!B21,Kabel!$C$36:$G$46,2,FALSE))+IF(KabelData!B20=5,VLOOKUP(KabelData!B21,Kabel!$C$47:$G$48,2,FALSE))))+IF(KabelData!B19="Tilledning",(IF(KabelData!B20=2,VLOOKUP(KabelData!B21,Kabel!$C$83:$G$86,2,FALSE))+IF(KabelData!B20=3,VLOOKUP(KabelData!B21,Kabel!$C$87:$G$96,2,FALSE))+IF(KabelData!B20=4,VLOOKUP(KabelData!B21,Kabel!$C$97:$G$114,2,FALSE))+IF(KabelData!B20=5,VLOOKUP(KabelData!B21,Kabel!$C$115:$G$123,2,FALSE)))))</f>
        <v/>
      </c>
      <c r="C27" s="720"/>
      <c r="D27" s="720"/>
      <c r="E27" s="40" t="s">
        <v>3</v>
      </c>
      <c r="F27" s="720" t="str">
        <f>IF(F21="","",IF(KabelData!F19="CU",(IF(KabelData!F20=1,VLOOKUP(KabelData!F21,Kabel!$C$49:$G$63,2,FALSE))+IF(KabelData!F20=3,VLOOKUP(KabelData!F21,Kabel!$C$5:$G$12,2,FALSE))+IF(KabelData!F20=4,VLOOKUP(KabelData!F21,Kabel!$C$13:$G$27,2,FALSE))+IF(KabelData!F20=5,VLOOKUP(KabelData!F21,Kabel!$C$28:$G$35,2,FALSE))))+IF(KabelData!F19="AL",(IF(KabelData!F20=1,VLOOKUP(KabelData!F21,Kabel!$C$64:$G$74,2,FALSE))+IF(KabelData!F20=4,VLOOKUP(KabelData!F21,Kabel!$C$36:$G$46,2,FALSE))+IF(KabelData!F20=5,VLOOKUP(KabelData!F21,Kabel!$C$47:$G$48,2,FALSE))))+IF(KabelData!F19="Tilledning",(IF(KabelData!F20=2,VLOOKUP(KabelData!F21,Kabel!$C$83:$G$86,2,FALSE))+IF(KabelData!F20=3,VLOOKUP(KabelData!F21,Kabel!$C$87:$G$96,2,FALSE))+IF(KabelData!F20=4,VLOOKUP(KabelData!F21,Kabel!$C$97:$G$114,2,FALSE))+IF(KabelData!F20=5,VLOOKUP(KabelData!F21,Kabel!$C$115:$G$123,2,FALSE)))))</f>
        <v/>
      </c>
      <c r="G27" s="720"/>
      <c r="H27" s="720"/>
      <c r="I27" s="40" t="s">
        <v>3</v>
      </c>
      <c r="J27" s="720" t="str">
        <f>IF(J21="","",IF(KabelData!J19="CU",(IF(KabelData!J20=1,VLOOKUP(KabelData!J21,Kabel!$C$49:$G$63,2,FALSE))+IF(KabelData!J20=3,VLOOKUP(KabelData!J21,Kabel!$C$5:$G$12,2,FALSE))+IF(KabelData!J20=4,VLOOKUP(KabelData!J21,Kabel!$C$13:$G$27,2,FALSE))+IF(KabelData!J20=5,VLOOKUP(KabelData!J21,Kabel!$C$28:$G$35,2,FALSE))))+IF(KabelData!J19="AL",(IF(KabelData!J20=1,VLOOKUP(KabelData!J21,Kabel!$C$64:$G$74,2,FALSE))+IF(KabelData!J20=4,VLOOKUP(KabelData!J21,Kabel!$C$36:$G$46,2,FALSE))+IF(KabelData!J20=5,VLOOKUP(KabelData!J21,Kabel!$C$47:$G$48,2,FALSE))))+IF(KabelData!J19="Tilledning",(IF(KabelData!J20=2,VLOOKUP(KabelData!J21,Kabel!$C$83:$G$86,2,FALSE))+IF(KabelData!J20=3,VLOOKUP(KabelData!J21,Kabel!$C$87:$G$96,2,FALSE))+IF(KabelData!J20=4,VLOOKUP(KabelData!J21,Kabel!$C$97:$G$114,2,FALSE))+IF(KabelData!J20=5,VLOOKUP(KabelData!J21,Kabel!$C$115:$G$123,2,FALSE)))))</f>
        <v/>
      </c>
      <c r="K27" s="720"/>
      <c r="L27" s="720"/>
      <c r="M27" s="40" t="s">
        <v>3</v>
      </c>
      <c r="N27" s="720"/>
      <c r="O27" s="720"/>
      <c r="P27" s="720"/>
      <c r="Q27" s="40" t="s">
        <v>3</v>
      </c>
      <c r="R27" s="720"/>
      <c r="S27" s="720"/>
      <c r="T27" s="720"/>
    </row>
    <row r="28" spans="1:23" s="45" customFormat="1" hidden="1" x14ac:dyDescent="0.25">
      <c r="A28" s="40" t="s">
        <v>4</v>
      </c>
      <c r="B28" s="720" t="str">
        <f>IF(B21="","",IF(KabelData!B19="CU",(IF(KabelData!B20=1,VLOOKUP(KabelData!B21,Kabel!$C$49:$G$63,3,FALSE))+IF(KabelData!B20=3,VLOOKUP(KabelData!B21,Kabel!$C$5:$G$12,3,FALSE))+IF(KabelData!B20=4,VLOOKUP(KabelData!B21,Kabel!$C$13:$G$27,3,FALSE))+IF(KabelData!B20=5,VLOOKUP(KabelData!B21,Kabel!$C$28:$G$35,3,FALSE))))+IF(KabelData!B19="AL",(IF(KabelData!B20=1,VLOOKUP(KabelData!B21,Kabel!$C$64:$G$74,3,FALSE))+IF(KabelData!B20=4,VLOOKUP(KabelData!B21,Kabel!$C$36:$G$46,3,FALSE))+IF(KabelData!B20=5,VLOOKUP(KabelData!B21,Kabel!$C$47:$G$48,3,FALSE))))+IF(KabelData!B19="Tilledning",(IF(KabelData!B20=2,VLOOKUP(KabelData!B21,Kabel!$C$83:$G$86,3,FALSE))+IF(KabelData!B20=3,VLOOKUP(KabelData!B21,Kabel!$C$87:$G$96,3,FALSE))+IF(KabelData!B20=4,VLOOKUP(KabelData!B21,Kabel!$C$97:$G$114,3,FALSE))+IF(KabelData!B20=5,VLOOKUP(KabelData!B21,Kabel!$C$115:$G$123,3,FALSE)))))</f>
        <v/>
      </c>
      <c r="C28" s="720"/>
      <c r="D28" s="720"/>
      <c r="E28" s="40" t="s">
        <v>4</v>
      </c>
      <c r="F28" s="720" t="str">
        <f>IF(F21="","",IF(KabelData!F19="CU",(IF(KabelData!F20=1,VLOOKUP(KabelData!F21,Kabel!$C$49:$G$63,3,FALSE))+IF(KabelData!F20=3,VLOOKUP(KabelData!F21,Kabel!$C$5:$G$12,3,FALSE))+IF(KabelData!F20=4,VLOOKUP(KabelData!F21,Kabel!$C$13:$G$27,3,FALSE))+IF(KabelData!F20=5,VLOOKUP(KabelData!F21,Kabel!$C$28:$G$35,3,FALSE))))+IF(KabelData!F19="AL",(IF(KabelData!F20=1,VLOOKUP(KabelData!F21,Kabel!$C$64:$G$74,3,FALSE))+IF(KabelData!F20=4,VLOOKUP(KabelData!F21,Kabel!$C$36:$G$46,3,FALSE))+IF(KabelData!F20=5,VLOOKUP(KabelData!F21,Kabel!$C$47:$G$48,3,FALSE))))+IF(KabelData!F19="Tilledning",(IF(KabelData!F20=2,VLOOKUP(KabelData!F21,Kabel!$C$83:$G$86,3,FALSE))+IF(KabelData!F20=3,VLOOKUP(KabelData!F21,Kabel!$C$87:$G$96,3,FALSE))+IF(KabelData!F20=4,VLOOKUP(KabelData!F21,Kabel!$C$97:$G$114,3,FALSE))+IF(KabelData!F20=5,VLOOKUP(KabelData!F21,Kabel!$C$115:$G$123,3,FALSE)))))</f>
        <v/>
      </c>
      <c r="G28" s="720"/>
      <c r="H28" s="720"/>
      <c r="I28" s="40" t="s">
        <v>4</v>
      </c>
      <c r="J28" s="720" t="str">
        <f>IF(J21="","",IF(KabelData!J19="CU",(IF(KabelData!J20=1,VLOOKUP(KabelData!J21,Kabel!$C$49:$G$63,3,FALSE))+IF(KabelData!J20=3,VLOOKUP(KabelData!J21,Kabel!$C$5:$G$12,3,FALSE))+IF(KabelData!J20=4,VLOOKUP(KabelData!J21,Kabel!$C$13:$G$27,3,FALSE))+IF(KabelData!J20=5,VLOOKUP(KabelData!J21,Kabel!$C$28:$G$35,3,FALSE))))+IF(KabelData!J19="AL",(IF(KabelData!J20=1,VLOOKUP(KabelData!J21,Kabel!$C$64:$G$74,3,FALSE))+IF(KabelData!J20=4,VLOOKUP(KabelData!J21,Kabel!$C$36:$G$46,3,FALSE))+IF(KabelData!J20=5,VLOOKUP(KabelData!J21,Kabel!$C$47:$G$48,3,FALSE))))+IF(KabelData!J19="Tilledning",(IF(KabelData!J20=2,VLOOKUP(KabelData!J21,Kabel!$C$83:$G$86,3,FALSE))+IF(KabelData!J20=3,VLOOKUP(KabelData!J21,Kabel!$C$87:$G$96,3,FALSE))+IF(KabelData!J20=4,VLOOKUP(KabelData!J21,Kabel!$C$97:$G$114,3,FALSE))+IF(KabelData!J20=5,VLOOKUP(KabelData!J21,Kabel!$C$115:$G$123,3,FALSE)))))</f>
        <v/>
      </c>
      <c r="K28" s="720"/>
      <c r="L28" s="720"/>
      <c r="M28" s="40" t="s">
        <v>4</v>
      </c>
      <c r="N28" s="720"/>
      <c r="O28" s="720"/>
      <c r="P28" s="720"/>
      <c r="Q28" s="40" t="s">
        <v>4</v>
      </c>
      <c r="R28" s="720"/>
      <c r="S28" s="720"/>
      <c r="T28" s="720"/>
    </row>
    <row r="29" spans="1:23" ht="18" hidden="1" x14ac:dyDescent="0.35">
      <c r="A29" s="40" t="s">
        <v>133</v>
      </c>
      <c r="B29" s="720" t="str">
        <f>IF(B21="","",IF(KabelData!B19="CU",(IF(KabelData!B20=1,VLOOKUP(KabelData!B21,Kabel!$C$49:$K$63,6,FALSE))+IF(KabelData!B20=3,VLOOKUP(KabelData!B21,Kabel!$C$5:$K$12,6,FALSE))+IF(KabelData!B20=4,VLOOKUP(KabelData!B21,Kabel!$C$13:$K$27,6,FALSE))+IF(KabelData!B20=5,VLOOKUP(KabelData!B21,Kabel!$C$28:$K$35,6,FALSE))))+IF(KabelData!B19="AL",(IF(KabelData!B20=1,VLOOKUP(KabelData!B21,Kabel!$C$64:$K$74,6,FALSE))+IF(KabelData!B20=4,VLOOKUP(KabelData!B21,Kabel!$C$36:$K$46,6,FALSE))+IF(KabelData!B20=5,VLOOKUP(KabelData!B21,Kabel!$C$47:$K$48,6,FALSE))))+IF(KabelData!B19="Tilledning",(IF(KabelData!B20=2,VLOOKUP(KabelData!B21,Kabel!$C$83:$K$86,6,FALSE))+IF(KabelData!B20=3,VLOOKUP(KabelData!B21,Kabel!$C$87:$K$96,6,FALSE))+IF(KabelData!B20=4,VLOOKUP(KabelData!B21,Kabel!$C$97:$K$114,6,FALSE))+IF(KabelData!B20=5,VLOOKUP(KabelData!B21,Kabel!$C$115:$K$123,6,FALSE)))))</f>
        <v/>
      </c>
      <c r="C29" s="720"/>
      <c r="D29" s="720"/>
      <c r="E29" s="40" t="s">
        <v>133</v>
      </c>
      <c r="F29" s="720" t="str">
        <f>IF(F21="","",IF(KabelData!F19="CU",(IF(KabelData!F20=1,VLOOKUP(KabelData!F21,Kabel!$C$49:$K$63,6,FALSE))+IF(KabelData!F20=3,VLOOKUP(KabelData!F21,Kabel!$C$5:$K$12,6,FALSE))+IF(KabelData!F20=4,VLOOKUP(KabelData!F21,Kabel!$C$13:$K$27,6,FALSE))+IF(KabelData!F20=5,VLOOKUP(KabelData!F21,Kabel!$C$28:$K$35,6,FALSE))))+IF(KabelData!F19="AL",(IF(KabelData!F20=1,VLOOKUP(KabelData!F21,Kabel!$C$64:$K$74,6,FALSE))+IF(KabelData!F20=4,VLOOKUP(KabelData!F21,Kabel!$C$36:$K$46,6,FALSE))+IF(KabelData!F20=5,VLOOKUP(KabelData!F21,Kabel!$C$47:$K$48,6,FALSE))))+IF(KabelData!F19="Tilledning",(IF(KabelData!F20=2,VLOOKUP(KabelData!F21,Kabel!$C$83:$K$86,6,FALSE))+IF(KabelData!F20=3,VLOOKUP(KabelData!F21,Kabel!$C$87:$K$96,6,FALSE))+IF(KabelData!F20=4,VLOOKUP(KabelData!F21,Kabel!$C$97:$K$114,6,FALSE))+IF(KabelData!F20=5,VLOOKUP(KabelData!F21,Kabel!$C$115:$K$123,6,FALSE)))))</f>
        <v/>
      </c>
      <c r="G29" s="720"/>
      <c r="H29" s="720"/>
      <c r="I29" s="40" t="s">
        <v>133</v>
      </c>
      <c r="J29" s="720" t="str">
        <f>IF(J21="","",IF(KabelData!J19="CU",(IF(KabelData!J20=1,VLOOKUP(KabelData!J21,Kabel!$C$49:$K$63,6,FALSE))+IF(KabelData!J20=3,VLOOKUP(KabelData!J21,Kabel!$C$5:$K$12,6,FALSE))+IF(KabelData!J20=4,VLOOKUP(KabelData!J21,Kabel!$C$13:$K$27,6,FALSE))+IF(KabelData!J20=5,VLOOKUP(KabelData!J21,Kabel!$C$28:$K$35,6,FALSE))))+IF(KabelData!J19="AL",(IF(KabelData!J20=1,VLOOKUP(KabelData!J21,Kabel!$C$64:$K$74,6,FALSE))+IF(KabelData!J20=4,VLOOKUP(KabelData!J21,Kabel!$C$36:$K$46,6,FALSE))+IF(KabelData!J20=5,VLOOKUP(KabelData!J21,Kabel!$C$47:$K$48,6,FALSE))))+IF(KabelData!J19="Tilledning",(IF(KabelData!J20=2,VLOOKUP(KabelData!J21,Kabel!$C$83:$K$86,6,FALSE))+IF(KabelData!J20=3,VLOOKUP(KabelData!J21,Kabel!$C$87:$K$96,6,FALSE))+IF(KabelData!J20=4,VLOOKUP(KabelData!J21,Kabel!$C$97:$K$114,6,FALSE))+IF(KabelData!J20=5,VLOOKUP(KabelData!J21,Kabel!$C$115:$K$123,6,FALSE)))))</f>
        <v/>
      </c>
      <c r="K29" s="720"/>
      <c r="L29" s="720"/>
      <c r="M29" s="40" t="s">
        <v>133</v>
      </c>
      <c r="N29" s="720" t="str">
        <f>IF(N20="","",IMABS(COMPLEX((1.5*N20),N21,"i")))</f>
        <v/>
      </c>
      <c r="O29" s="720"/>
      <c r="P29" s="720"/>
      <c r="Q29" s="40" t="s">
        <v>133</v>
      </c>
      <c r="R29" s="720" t="str">
        <f>IF(R20="","",IMABS(COMPLEX((1.5*R20),R21,"i")))</f>
        <v/>
      </c>
      <c r="S29" s="720"/>
      <c r="T29" s="720"/>
    </row>
    <row r="30" spans="1:23" hidden="1" x14ac:dyDescent="0.25">
      <c r="A30" s="40" t="s">
        <v>149</v>
      </c>
      <c r="B30" s="720" t="str">
        <f>IF(B21="","",IF(KabelData!B19="CU",(IF(KabelData!B20=1,VLOOKUP(KabelData!B21,Kabel!$C$49:$K$63,7,FALSE))+IF(KabelData!B20=3,VLOOKUP(KabelData!B21,Kabel!$C$5:$K$12,7,FALSE))+IF(KabelData!B20=4,VLOOKUP(KabelData!B21,Kabel!$C$13:$K$27,7,FALSE))+IF(KabelData!B20=5,VLOOKUP(KabelData!B21,Kabel!$C$28:$K$35,7,FALSE))))+IF(KabelData!B19="AL",(IF(KabelData!B20=1,VLOOKUP(KabelData!B21,Kabel!$C$64:$K$74,7,FALSE))+IF(KabelData!B20=4,VLOOKUP(KabelData!B21,Kabel!$C$36:$K$46,7,FALSE))+IF(KabelData!B20=5,VLOOKUP(KabelData!B21,Kabel!$C$47:$K$48,7,FALSE))))+IF(KabelData!B19="Tilledning",(IF(KabelData!B20=2,VLOOKUP(KabelData!B21,Kabel!$C$83:$K$86,7,FALSE))+IF(KabelData!B20=3,VLOOKUP(KabelData!B21,Kabel!$C$87:$K$96,7,FALSE))+IF(KabelData!B20=4,VLOOKUP(KabelData!B21,Kabel!$C$97:$K$114,7,FALSE))+IF(KabelData!B20=5,VLOOKUP(KabelData!B21,Kabel!$C$115:$K$123,7,FALSE)))))</f>
        <v/>
      </c>
      <c r="C30" s="720"/>
      <c r="D30" s="720"/>
      <c r="E30" s="40" t="s">
        <v>149</v>
      </c>
      <c r="F30" s="720" t="str">
        <f>IF(F21="","",IF(KabelData!F19="CU",(IF(KabelData!F20=1,VLOOKUP(KabelData!F21,Kabel!$C$49:$K$63,7,FALSE))+IF(KabelData!F20=3,VLOOKUP(KabelData!F21,Kabel!$C$5:$K$12,7,FALSE))+IF(KabelData!F20=4,VLOOKUP(KabelData!F21,Kabel!$C$13:$K$27,7,FALSE))+IF(KabelData!F20=5,VLOOKUP(KabelData!F21,Kabel!$C$28:$K$35,7,FALSE))))+IF(KabelData!F19="AL",(IF(KabelData!F20=1,VLOOKUP(KabelData!F21,Kabel!$C$64:$K$74,7,FALSE))+IF(KabelData!F20=4,VLOOKUP(KabelData!F21,Kabel!$C$36:$K$46,7,FALSE))+IF(KabelData!F20=5,VLOOKUP(KabelData!F21,Kabel!$C$47:$K$48,7,FALSE))))+IF(KabelData!F19="Tilledning",(IF(KabelData!F20=2,VLOOKUP(KabelData!F21,Kabel!$C$83:$K$86,7,FALSE))+IF(KabelData!F20=3,VLOOKUP(KabelData!F21,Kabel!$C$87:$K$96,7,FALSE))+IF(KabelData!F20=4,VLOOKUP(KabelData!F21,Kabel!$C$97:$K$114,7,FALSE))+IF(KabelData!F20=5,VLOOKUP(KabelData!F21,Kabel!$C$115:$K$123,7,FALSE)))))</f>
        <v/>
      </c>
      <c r="G30" s="720"/>
      <c r="H30" s="720"/>
      <c r="I30" s="40" t="s">
        <v>149</v>
      </c>
      <c r="J30" s="720" t="str">
        <f>IF(J21="","",IF(KabelData!J19="CU",(IF(KabelData!J20=1,VLOOKUP(KabelData!J21,Kabel!$C$49:$K$63,7,FALSE))+IF(KabelData!J20=3,VLOOKUP(KabelData!J21,Kabel!$C$5:$K$12,7,FALSE))+IF(KabelData!J20=4,VLOOKUP(KabelData!J21,Kabel!$C$13:$K$27,7,FALSE))+IF(KabelData!J20=5,VLOOKUP(KabelData!J21,Kabel!$C$28:$K$35,7,FALSE))))+IF(KabelData!J19="AL",(IF(KabelData!J20=1,VLOOKUP(KabelData!J21,Kabel!$C$64:$K$74,7,FALSE))+IF(KabelData!J20=4,VLOOKUP(KabelData!J21,Kabel!$C$36:$K$46,7,FALSE))+IF(KabelData!J20=5,VLOOKUP(KabelData!J21,Kabel!$C$47:$K$48,7,FALSE))))+IF(KabelData!J19="Tilledning",(IF(KabelData!J20=2,VLOOKUP(KabelData!J21,Kabel!$C$83:$K$86,7,FALSE))+IF(KabelData!J20=3,VLOOKUP(KabelData!J21,Kabel!$C$87:$K$96,7,FALSE))+IF(KabelData!J20=4,VLOOKUP(KabelData!J21,Kabel!$C$97:$K$114,7,FALSE))+IF(KabelData!J20=5,VLOOKUP(KabelData!J21,Kabel!$C$115:$K$123,7,FALSE)))))</f>
        <v/>
      </c>
      <c r="K30" s="720"/>
      <c r="L30" s="720"/>
      <c r="M30" s="40" t="s">
        <v>149</v>
      </c>
      <c r="N30" s="720" t="str">
        <f>IF(N21="","",DEGREES(ACOS(((1.5*N20)/N29))))</f>
        <v/>
      </c>
      <c r="O30" s="720"/>
      <c r="P30" s="720"/>
      <c r="Q30" s="40" t="s">
        <v>149</v>
      </c>
      <c r="R30" s="720" t="str">
        <f>IF(R21="","",DEGREES(ACOS(((1.5*R20)/R29))))</f>
        <v/>
      </c>
      <c r="S30" s="720"/>
      <c r="T30" s="720"/>
    </row>
  </sheetData>
  <mergeCells count="130">
    <mergeCell ref="M17:P17"/>
    <mergeCell ref="Q17:T17"/>
    <mergeCell ref="R18:T18"/>
    <mergeCell ref="N18:P18"/>
    <mergeCell ref="J18:L18"/>
    <mergeCell ref="B12:D12"/>
    <mergeCell ref="B13:D13"/>
    <mergeCell ref="F12:H12"/>
    <mergeCell ref="F13:H13"/>
    <mergeCell ref="B14:D14"/>
    <mergeCell ref="B15:D15"/>
    <mergeCell ref="B18:D18"/>
    <mergeCell ref="B22:D22"/>
    <mergeCell ref="F22:H22"/>
    <mergeCell ref="F23:H23"/>
    <mergeCell ref="R15:T15"/>
    <mergeCell ref="R14:T14"/>
    <mergeCell ref="R11:T11"/>
    <mergeCell ref="R10:T10"/>
    <mergeCell ref="J15:L15"/>
    <mergeCell ref="J14:L14"/>
    <mergeCell ref="J11:L11"/>
    <mergeCell ref="J10:L10"/>
    <mergeCell ref="A17:D17"/>
    <mergeCell ref="F15:H15"/>
    <mergeCell ref="F14:H14"/>
    <mergeCell ref="N15:P15"/>
    <mergeCell ref="N14:P14"/>
    <mergeCell ref="N10:P10"/>
    <mergeCell ref="B21:D21"/>
    <mergeCell ref="B20:D20"/>
    <mergeCell ref="B19:D19"/>
    <mergeCell ref="R21:T21"/>
    <mergeCell ref="R20:T20"/>
    <mergeCell ref="R19:T19"/>
    <mergeCell ref="J19:L19"/>
    <mergeCell ref="R7:T7"/>
    <mergeCell ref="R8:T8"/>
    <mergeCell ref="J12:L12"/>
    <mergeCell ref="N12:P12"/>
    <mergeCell ref="R12:T12"/>
    <mergeCell ref="J13:L13"/>
    <mergeCell ref="N13:P13"/>
    <mergeCell ref="R13:T13"/>
    <mergeCell ref="A2:D2"/>
    <mergeCell ref="E2:H2"/>
    <mergeCell ref="I2:L2"/>
    <mergeCell ref="M2:P2"/>
    <mergeCell ref="Q2:T2"/>
    <mergeCell ref="F7:H7"/>
    <mergeCell ref="B7:D7"/>
    <mergeCell ref="B8:D8"/>
    <mergeCell ref="B10:D10"/>
    <mergeCell ref="B11:D11"/>
    <mergeCell ref="F11:H11"/>
    <mergeCell ref="F10:H10"/>
    <mergeCell ref="F8:H8"/>
    <mergeCell ref="J8:L8"/>
    <mergeCell ref="J7:L7"/>
    <mergeCell ref="N11:P11"/>
    <mergeCell ref="N8:P8"/>
    <mergeCell ref="N7:P7"/>
    <mergeCell ref="E17:H17"/>
    <mergeCell ref="J22:L22"/>
    <mergeCell ref="J23:L23"/>
    <mergeCell ref="J25:L25"/>
    <mergeCell ref="J26:L26"/>
    <mergeCell ref="J29:L29"/>
    <mergeCell ref="J30:L30"/>
    <mergeCell ref="F25:H25"/>
    <mergeCell ref="I17:L17"/>
    <mergeCell ref="J27:L27"/>
    <mergeCell ref="F27:H27"/>
    <mergeCell ref="J28:L28"/>
    <mergeCell ref="F28:H28"/>
    <mergeCell ref="F18:H18"/>
    <mergeCell ref="F21:H21"/>
    <mergeCell ref="F20:H20"/>
    <mergeCell ref="F19:H19"/>
    <mergeCell ref="N21:P21"/>
    <mergeCell ref="N20:P20"/>
    <mergeCell ref="N19:P19"/>
    <mergeCell ref="J21:L21"/>
    <mergeCell ref="J20:L20"/>
    <mergeCell ref="B30:D30"/>
    <mergeCell ref="B29:D29"/>
    <mergeCell ref="B26:D26"/>
    <mergeCell ref="B25:D25"/>
    <mergeCell ref="B23:D23"/>
    <mergeCell ref="B27:D27"/>
    <mergeCell ref="B28:D28"/>
    <mergeCell ref="F26:H26"/>
    <mergeCell ref="F29:H29"/>
    <mergeCell ref="F30:H30"/>
    <mergeCell ref="R25:T25"/>
    <mergeCell ref="R26:T26"/>
    <mergeCell ref="R29:T29"/>
    <mergeCell ref="R30:T30"/>
    <mergeCell ref="N22:P22"/>
    <mergeCell ref="N23:P23"/>
    <mergeCell ref="N25:P25"/>
    <mergeCell ref="N26:P26"/>
    <mergeCell ref="N29:P29"/>
    <mergeCell ref="N30:P30"/>
    <mergeCell ref="R27:T27"/>
    <mergeCell ref="N27:P27"/>
    <mergeCell ref="R22:T22"/>
    <mergeCell ref="R23:T23"/>
    <mergeCell ref="R28:T28"/>
    <mergeCell ref="N28:P28"/>
    <mergeCell ref="N4:P4"/>
    <mergeCell ref="N5:P5"/>
    <mergeCell ref="N6:P6"/>
    <mergeCell ref="R6:T6"/>
    <mergeCell ref="R5:T5"/>
    <mergeCell ref="R4:T4"/>
    <mergeCell ref="B3:D3"/>
    <mergeCell ref="F3:H3"/>
    <mergeCell ref="J3:L3"/>
    <mergeCell ref="N3:P3"/>
    <mergeCell ref="R3:T3"/>
    <mergeCell ref="B4:D4"/>
    <mergeCell ref="B6:D6"/>
    <mergeCell ref="F6:H6"/>
    <mergeCell ref="F5:H5"/>
    <mergeCell ref="F4:H4"/>
    <mergeCell ref="J6:L6"/>
    <mergeCell ref="J4:L4"/>
    <mergeCell ref="J5:L5"/>
    <mergeCell ref="B5:D5"/>
  </mergeCells>
  <dataValidations disablePrompts="1" count="2">
    <dataValidation type="list" allowBlank="1" showInputMessage="1" showErrorMessage="1" sqref="B20:D20 J20:L20 F20:H20" xr:uid="{00000000-0002-0000-0200-000000000000}">
      <formula1>IF(B19="CU",$V$2:$V$5,IF(B19="AL",$W$3:$W$4,IF(B19="Tilledning",$X$2:$X$5)))</formula1>
    </dataValidation>
    <dataValidation type="list" allowBlank="1" showInputMessage="1" showErrorMessage="1" sqref="F5:H5 J5:L5 N5:P5 R5:T5 B5:D5" xr:uid="{00000000-0002-0000-0200-000001000000}">
      <formula1>IF(B4="CU",$V$2:$V$5,IF(B4="AL",$W$2:$W$4,IF(B4="Tilledning",$X$2:$X$5)))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200-000002000000}">
          <x14:formula1>
            <xm:f>Kabel!$C$97:$C$114</xm:f>
          </x14:formula1>
          <xm:sqref>B21 J21 N6 F6 J6 R6 B6 F21</xm:sqref>
        </x14:dataValidation>
        <x14:dataValidation type="list" allowBlank="1" showInputMessage="1" showErrorMessage="1" xr:uid="{00000000-0002-0000-0200-000003000000}">
          <x14:formula1>
            <xm:f>Kabel!$O$1:$O$3</xm:f>
          </x14:formula1>
          <xm:sqref>R19 R4 J4 J19 F4 N4 N19 F19 B19 B4:D4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5"/>
  <dimension ref="A1:BF65"/>
  <sheetViews>
    <sheetView zoomScaleNormal="100" workbookViewId="0">
      <selection activeCell="J29" sqref="J29:L30"/>
    </sheetView>
  </sheetViews>
  <sheetFormatPr defaultRowHeight="15" x14ac:dyDescent="0.25"/>
  <cols>
    <col min="1" max="1" width="0.85546875" style="45" customWidth="1"/>
    <col min="2" max="2" width="2.5703125" customWidth="1"/>
    <col min="3" max="3" width="1.42578125" style="45" customWidth="1"/>
    <col min="4" max="4" width="1.7109375" style="45" customWidth="1"/>
    <col min="5" max="5" width="5.7109375" customWidth="1"/>
    <col min="6" max="6" width="2.140625" customWidth="1"/>
    <col min="7" max="7" width="2.85546875" style="45" customWidth="1"/>
    <col min="8" max="8" width="2.85546875" customWidth="1"/>
    <col min="9" max="9" width="1.140625" style="45" customWidth="1"/>
    <col min="10" max="10" width="1.140625" customWidth="1"/>
    <col min="11" max="12" width="2.85546875" customWidth="1"/>
    <col min="13" max="13" width="2.140625" customWidth="1"/>
    <col min="14" max="15" width="2.85546875" customWidth="1"/>
    <col min="16" max="16" width="2.140625" style="45" customWidth="1"/>
    <col min="17" max="18" width="2.85546875" style="45" customWidth="1"/>
    <col min="19" max="19" width="2.140625" style="45" customWidth="1"/>
    <col min="20" max="21" width="2.85546875" style="45" customWidth="1"/>
    <col min="22" max="22" width="2.140625" style="45" customWidth="1"/>
    <col min="23" max="23" width="2.7109375" style="45" customWidth="1"/>
    <col min="24" max="24" width="2.85546875" style="45" customWidth="1"/>
    <col min="25" max="25" width="2.140625" style="45" customWidth="1"/>
    <col min="26" max="27" width="0.85546875" style="45" customWidth="1"/>
    <col min="28" max="28" width="2.85546875" style="45" customWidth="1"/>
    <col min="29" max="30" width="1.7109375" style="45" customWidth="1"/>
    <col min="31" max="31" width="2.85546875" style="45" customWidth="1"/>
    <col min="32" max="32" width="3.28515625" style="45" customWidth="1"/>
    <col min="33" max="33" width="2.140625" style="45" customWidth="1"/>
    <col min="34" max="35" width="2.85546875" style="45" customWidth="1"/>
    <col min="36" max="36" width="1.7109375" style="45" bestFit="1" customWidth="1"/>
    <col min="37" max="37" width="1.7109375" style="45" customWidth="1"/>
    <col min="38" max="39" width="0.85546875" style="45" customWidth="1"/>
    <col min="40" max="40" width="15.42578125" style="45" customWidth="1"/>
    <col min="41" max="41" width="12" customWidth="1"/>
    <col min="42" max="54" width="9.140625" customWidth="1"/>
    <col min="55" max="55" width="11" bestFit="1" customWidth="1"/>
  </cols>
  <sheetData>
    <row r="1" spans="1:58" s="45" customFormat="1" x14ac:dyDescent="0.25">
      <c r="A1" s="730" t="s">
        <v>374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  <c r="AA1" s="730"/>
      <c r="AB1" s="730"/>
      <c r="AC1" s="730"/>
      <c r="AD1" s="730"/>
      <c r="AE1" s="730"/>
      <c r="AF1" s="730"/>
      <c r="AG1" s="730"/>
      <c r="AH1" s="730"/>
      <c r="AI1" s="730"/>
      <c r="AJ1" s="730"/>
      <c r="AK1" s="730"/>
    </row>
    <row r="2" spans="1:58" hidden="1" x14ac:dyDescent="0.25">
      <c r="AO2" s="43">
        <f>Transformer!U15</f>
        <v>73.30075576600639</v>
      </c>
    </row>
    <row r="3" spans="1:58" hidden="1" x14ac:dyDescent="0.25">
      <c r="AN3" s="45" t="s">
        <v>47</v>
      </c>
      <c r="AO3" s="43">
        <f>Transformer!U28</f>
        <v>36.869999999999997</v>
      </c>
      <c r="AQ3" s="45" t="s">
        <v>217</v>
      </c>
      <c r="AR3" s="45" t="s">
        <v>185</v>
      </c>
      <c r="AS3" s="45" t="s">
        <v>134</v>
      </c>
      <c r="AT3" s="143" t="s">
        <v>140</v>
      </c>
    </row>
    <row r="4" spans="1:58" hidden="1" x14ac:dyDescent="0.25">
      <c r="AN4" s="45" t="s">
        <v>196</v>
      </c>
      <c r="AO4" s="43">
        <f>Transformer!F59</f>
        <v>72.542400000000001</v>
      </c>
      <c r="AS4" s="45" t="s">
        <v>232</v>
      </c>
      <c r="AT4" s="45" t="s">
        <v>232</v>
      </c>
      <c r="AU4" s="45" t="s">
        <v>232</v>
      </c>
      <c r="AV4" s="45" t="s">
        <v>232</v>
      </c>
      <c r="AW4" s="45" t="s">
        <v>232</v>
      </c>
      <c r="AX4" s="45" t="s">
        <v>232</v>
      </c>
      <c r="AY4" s="45" t="s">
        <v>232</v>
      </c>
      <c r="AZ4" s="45" t="s">
        <v>232</v>
      </c>
      <c r="BA4" s="45" t="s">
        <v>232</v>
      </c>
      <c r="BB4" s="45" t="s">
        <v>232</v>
      </c>
      <c r="BC4" s="45" t="s">
        <v>229</v>
      </c>
    </row>
    <row r="5" spans="1:58" s="45" customFormat="1" hidden="1" x14ac:dyDescent="0.25">
      <c r="AO5" s="45" t="s">
        <v>231</v>
      </c>
      <c r="AS5" s="45" t="s">
        <v>202</v>
      </c>
      <c r="AX5" s="45" t="s">
        <v>204</v>
      </c>
      <c r="BC5" s="45" t="s">
        <v>207</v>
      </c>
      <c r="BE5" s="45" t="s">
        <v>230</v>
      </c>
    </row>
    <row r="6" spans="1:58" s="45" customFormat="1" hidden="1" x14ac:dyDescent="0.25">
      <c r="AO6" s="45" t="s">
        <v>156</v>
      </c>
      <c r="AP6" s="45" t="s">
        <v>201</v>
      </c>
      <c r="AS6" s="45" t="s">
        <v>156</v>
      </c>
      <c r="AT6" s="45" t="s">
        <v>201</v>
      </c>
      <c r="AU6" s="45" t="s">
        <v>200</v>
      </c>
      <c r="AV6" s="45" t="s">
        <v>154</v>
      </c>
      <c r="AW6" s="45" t="s">
        <v>155</v>
      </c>
      <c r="AX6" s="45" t="s">
        <v>156</v>
      </c>
      <c r="AY6" s="45" t="s">
        <v>201</v>
      </c>
      <c r="AZ6" s="45" t="s">
        <v>200</v>
      </c>
      <c r="BA6" s="45" t="s">
        <v>154</v>
      </c>
      <c r="BB6" s="45" t="s">
        <v>155</v>
      </c>
      <c r="BC6" s="45" t="s">
        <v>156</v>
      </c>
      <c r="BD6" s="45" t="s">
        <v>201</v>
      </c>
      <c r="BE6" s="45" t="s">
        <v>156</v>
      </c>
      <c r="BF6" s="45" t="s">
        <v>201</v>
      </c>
    </row>
    <row r="7" spans="1:58" s="45" customFormat="1" hidden="1" x14ac:dyDescent="0.25">
      <c r="AN7" s="185" t="str">
        <f>IF(KabelData!B3="","",KabelData!B3)</f>
        <v>-W1</v>
      </c>
      <c r="AO7" s="45">
        <f>Kabeludskrif!K5</f>
        <v>6.0000000000000001E-3</v>
      </c>
      <c r="AP7" s="45">
        <f>IF(KabelData!B11="","",ROUND(KabelData!B11,4))</f>
        <v>12.2157</v>
      </c>
      <c r="AQ7" s="45">
        <f>ROUND(Kabeludskrif!K52,4)</f>
        <v>8.8000000000000005E-3</v>
      </c>
      <c r="AR7" s="45">
        <f>ROUND(KabelData!B15,4)</f>
        <v>8.2127999999999997</v>
      </c>
      <c r="AS7" s="185">
        <f>IF(E29="",0,IF(E29&gt;0,E29,))</f>
        <v>0</v>
      </c>
      <c r="AT7" s="185">
        <f>IF(G29="",0,IF(G29&gt;0,G29,))</f>
        <v>0</v>
      </c>
      <c r="AU7" s="45">
        <f>RADIANS(180+AT7)</f>
        <v>3.1415926535897931</v>
      </c>
      <c r="AV7" s="45">
        <f>AS7*COS(AU7)</f>
        <v>0</v>
      </c>
      <c r="AW7" s="45">
        <f>AS7*SIN(AU7)</f>
        <v>0</v>
      </c>
      <c r="AX7" s="45">
        <f t="shared" ref="AX7:AX16" si="0">IF(V41="",0,IF(V41&gt;0,V41,))</f>
        <v>1.7600000000000001E-2</v>
      </c>
      <c r="AY7" s="45">
        <f t="shared" ref="AY7:AY16" si="1">IF(N41="",0,IF(N41&gt;0,N41,))</f>
        <v>8.2127999999999997</v>
      </c>
      <c r="AZ7" s="45">
        <f>RADIANS(180+AY7)</f>
        <v>3.2849330543975834</v>
      </c>
      <c r="BA7" s="45">
        <f>AX7*COS(AZ7)</f>
        <v>-1.7419500429747662E-2</v>
      </c>
      <c r="BB7" s="45">
        <f>AX7*SIN(AZ7)</f>
        <v>-2.5141608496715151E-3</v>
      </c>
      <c r="BC7" s="45">
        <f>Transformer!O15</f>
        <v>1.1000000000000001E-3</v>
      </c>
      <c r="BD7" s="45">
        <f>Transformer!U15</f>
        <v>73.30075576600639</v>
      </c>
      <c r="BE7" s="45">
        <f>Transformer!O28</f>
        <v>1.4E-2</v>
      </c>
      <c r="BF7" s="45">
        <f>Transformer!U28</f>
        <v>36.869999999999997</v>
      </c>
    </row>
    <row r="8" spans="1:58" s="45" customFormat="1" hidden="1" x14ac:dyDescent="0.25">
      <c r="AN8" s="185" t="str">
        <f>IF(KabelData!F3="","",KabelData!F3)</f>
        <v>-W2</v>
      </c>
      <c r="AO8" s="45">
        <f>Kabeludskrif!K9</f>
        <v>2.3099999999999999E-2</v>
      </c>
      <c r="AP8" s="45">
        <f>IF(KabelData!F11="","",ROUND(KabelData!F11,4))</f>
        <v>4.2271999999999998</v>
      </c>
      <c r="AQ8" s="45">
        <f>Kabeludskrif!K56</f>
        <v>3.4541858664524701E-2</v>
      </c>
      <c r="AR8" s="45">
        <f>KabelData!F15</f>
        <v>2.8209885935155139</v>
      </c>
      <c r="AS8" s="185">
        <f>IF(J29="",0,IF(J29&gt;0,J29,))</f>
        <v>1.4433756729740645E-2</v>
      </c>
      <c r="AT8" s="185">
        <f>IF(N29="",0,IF(N29&gt;0,N29,))</f>
        <v>72.542400000000001</v>
      </c>
      <c r="AU8" s="45">
        <f t="shared" ref="AU8:AU11" si="2">RADIANS(180+AT8)</f>
        <v>4.4076963808885274</v>
      </c>
      <c r="AV8" s="45">
        <f t="shared" ref="AV8:AV11" si="3">AS8*COS(AU8)</f>
        <v>-4.3301262682508531E-3</v>
      </c>
      <c r="AW8" s="45">
        <f t="shared" ref="AW8:AW11" si="4">AS8*SIN(AU8)</f>
        <v>-1.3768926604290448E-2</v>
      </c>
      <c r="AX8" s="45">
        <f t="shared" si="0"/>
        <v>6.9083717329049402E-2</v>
      </c>
      <c r="AY8" s="45">
        <f t="shared" si="1"/>
        <v>2.8209885935155139</v>
      </c>
      <c r="AZ8" s="45">
        <f t="shared" ref="AZ8:AZ16" si="5">RADIANS(180+AY8)</f>
        <v>3.1908281927078432</v>
      </c>
      <c r="BA8" s="45">
        <f t="shared" ref="BA8:BA16" si="6">AX8*COS(AZ8)</f>
        <v>-6.9000000000000006E-2</v>
      </c>
      <c r="BB8" s="45">
        <f t="shared" ref="BB8:BB16" si="7">AX8*SIN(AZ8)</f>
        <v>-3.4000000000000427E-3</v>
      </c>
      <c r="BC8" s="45" t="s">
        <v>233</v>
      </c>
      <c r="BE8" s="45" t="s">
        <v>234</v>
      </c>
    </row>
    <row r="9" spans="1:58" s="45" customFormat="1" hidden="1" x14ac:dyDescent="0.25">
      <c r="AN9" s="185" t="str">
        <f>IF(KabelData!J3="","",KabelData!J3)</f>
        <v>-W3</v>
      </c>
      <c r="AO9" s="45">
        <f>Kabeludskrif!K13</f>
        <v>6.1600000000000002E-2</v>
      </c>
      <c r="AP9" s="45">
        <f>IF(KabelData!J11="","",ROUND(KabelData!J11,4))</f>
        <v>1.8038000000000001</v>
      </c>
      <c r="AQ9" s="45">
        <f>Kabeludskrif!K60</f>
        <v>9.2420363556956431E-2</v>
      </c>
      <c r="AR9" s="45">
        <f>KabelData!J15</f>
        <v>1.202786620123433</v>
      </c>
      <c r="AS9" s="185">
        <f>IF(P29="",0,IF(P29&gt;0,P29,))</f>
        <v>6.0000000000000001E-3</v>
      </c>
      <c r="AT9" s="185">
        <f>IF(T29="",0,IF(T29&gt;0,T29,))</f>
        <v>12.2157</v>
      </c>
      <c r="AU9" s="45">
        <f t="shared" si="2"/>
        <v>3.3547968390256644</v>
      </c>
      <c r="AV9" s="45">
        <f t="shared" si="3"/>
        <v>-5.864147706421987E-3</v>
      </c>
      <c r="AW9" s="45">
        <f t="shared" si="4"/>
        <v>-1.2695557007338259E-3</v>
      </c>
      <c r="AX9" s="45">
        <f t="shared" si="0"/>
        <v>0.18484072711391286</v>
      </c>
      <c r="AY9" s="45">
        <f t="shared" si="1"/>
        <v>1.202786620123433</v>
      </c>
      <c r="AZ9" s="45">
        <f t="shared" si="5"/>
        <v>3.1625852403098813</v>
      </c>
      <c r="BA9" s="45">
        <f t="shared" si="6"/>
        <v>-0.18480000000000002</v>
      </c>
      <c r="BB9" s="45">
        <f t="shared" si="7"/>
        <v>-3.879999999999609E-3</v>
      </c>
      <c r="BC9" s="45" t="s">
        <v>156</v>
      </c>
      <c r="BD9" s="45" t="s">
        <v>201</v>
      </c>
      <c r="BE9" s="45" t="s">
        <v>156</v>
      </c>
      <c r="BF9" s="45" t="s">
        <v>201</v>
      </c>
    </row>
    <row r="10" spans="1:58" s="45" customFormat="1" hidden="1" x14ac:dyDescent="0.25">
      <c r="AN10" s="185" t="str">
        <f>IF(KabelData!N3="","",KabelData!N3)</f>
        <v>-W4</v>
      </c>
      <c r="AO10" s="45">
        <f>Kabeludskrif!K17</f>
        <v>0.21779999999999999</v>
      </c>
      <c r="AP10" s="45">
        <f>IF(KabelData!N11="","",ROUND(KabelData!N11,4))</f>
        <v>0.48770000000000002</v>
      </c>
      <c r="AQ10" s="45">
        <f>Kabeludskrif!K64</f>
        <v>0.32670526061880295</v>
      </c>
      <c r="AR10" s="45">
        <f>KabelData!N15</f>
        <v>0.32514611234865137</v>
      </c>
      <c r="AS10" s="185">
        <f>IF(V29="",0,IF(V29&gt;0,V29,))</f>
        <v>0</v>
      </c>
      <c r="AT10" s="185">
        <f>IF(Z29="",0,IF(Z29&gt;0,Z29,))</f>
        <v>0</v>
      </c>
      <c r="AU10" s="45">
        <f t="shared" si="2"/>
        <v>3.1415926535897931</v>
      </c>
      <c r="AV10" s="45">
        <f t="shared" si="3"/>
        <v>0</v>
      </c>
      <c r="AW10" s="45">
        <f t="shared" si="4"/>
        <v>0</v>
      </c>
      <c r="AX10" s="45">
        <f t="shared" si="0"/>
        <v>0</v>
      </c>
      <c r="AY10" s="45">
        <f t="shared" si="1"/>
        <v>0</v>
      </c>
      <c r="AZ10" s="45">
        <f t="shared" si="5"/>
        <v>3.1415926535897931</v>
      </c>
      <c r="BA10" s="45">
        <f t="shared" si="6"/>
        <v>0</v>
      </c>
      <c r="BB10" s="45">
        <f t="shared" si="7"/>
        <v>0</v>
      </c>
      <c r="BC10" s="220">
        <f>Transformer!C59</f>
        <v>1.4433756729740645E-2</v>
      </c>
      <c r="BD10" s="45">
        <f>Transformer!F59</f>
        <v>72.542400000000001</v>
      </c>
      <c r="BE10" s="45">
        <f>Transformer!C73</f>
        <v>0.18479999999999999</v>
      </c>
      <c r="BF10" s="45">
        <f>Transformer!F73</f>
        <v>25.841899999999999</v>
      </c>
    </row>
    <row r="11" spans="1:58" s="45" customFormat="1" hidden="1" x14ac:dyDescent="0.25">
      <c r="AN11" s="185" t="str">
        <f>IF(KabelData!R3="","",KabelData!R3)</f>
        <v>-E5</v>
      </c>
      <c r="AO11" s="45" t="str">
        <f>Kabeludskrif!K21</f>
        <v/>
      </c>
      <c r="AP11" s="45" t="str">
        <f>IF(KabelData!R11="","",ROUND(KabelData!R11,4))</f>
        <v/>
      </c>
      <c r="AQ11" s="45" t="str">
        <f>Kabeludskrif!K68</f>
        <v/>
      </c>
      <c r="AR11" s="45" t="str">
        <f>KabelData!R15</f>
        <v/>
      </c>
      <c r="AS11" s="185">
        <f>IF(AD29="",0,IF(AD29&gt;0,AD29,))</f>
        <v>0</v>
      </c>
      <c r="AT11" s="185">
        <f>IF(AH29="",0,IF(AH29&gt;0,AH29,))</f>
        <v>0</v>
      </c>
      <c r="AU11" s="45">
        <f t="shared" si="2"/>
        <v>3.1415926535897931</v>
      </c>
      <c r="AV11" s="45">
        <f t="shared" si="3"/>
        <v>0</v>
      </c>
      <c r="AW11" s="45">
        <f t="shared" si="4"/>
        <v>0</v>
      </c>
      <c r="AX11" s="45">
        <f t="shared" si="0"/>
        <v>0</v>
      </c>
      <c r="AY11" s="45">
        <f t="shared" si="1"/>
        <v>0</v>
      </c>
      <c r="AZ11" s="45">
        <f t="shared" si="5"/>
        <v>3.1415926535897931</v>
      </c>
      <c r="BA11" s="45">
        <f t="shared" si="6"/>
        <v>0</v>
      </c>
      <c r="BB11" s="45">
        <f t="shared" si="7"/>
        <v>0</v>
      </c>
    </row>
    <row r="12" spans="1:58" s="45" customFormat="1" hidden="1" x14ac:dyDescent="0.25">
      <c r="AN12" s="185" t="str">
        <f>IF(KabelData!B18="","",KabelData!B18)</f>
        <v/>
      </c>
      <c r="AO12" s="45" t="str">
        <f>Kabeludskrif!K25</f>
        <v/>
      </c>
      <c r="AP12" s="45" t="str">
        <f>IF(KabelData!B26="","",ROUND(KabelData!B26,4))</f>
        <v/>
      </c>
      <c r="AQ12" s="45" t="str">
        <f>Kabeludskrif!K72</f>
        <v/>
      </c>
      <c r="AR12" s="45" t="str">
        <f>KabelData!B30</f>
        <v/>
      </c>
      <c r="AS12" s="45">
        <f>SQRT(SUM(AV7:AV11)^2+SUM(AW7:AW11)^2)</f>
        <v>1.8168081128980579E-2</v>
      </c>
      <c r="AT12" s="45">
        <f>DEGREES(ATAN(SUM(AW7:AW11)/SUM(AV7:AV11)))</f>
        <v>55.867472238764542</v>
      </c>
      <c r="AX12" s="45">
        <f t="shared" si="0"/>
        <v>0</v>
      </c>
      <c r="AY12" s="45">
        <f t="shared" si="1"/>
        <v>0</v>
      </c>
      <c r="AZ12" s="45">
        <f t="shared" si="5"/>
        <v>3.1415926535897931</v>
      </c>
      <c r="BA12" s="45">
        <f t="shared" si="6"/>
        <v>0</v>
      </c>
      <c r="BB12" s="45">
        <f t="shared" si="7"/>
        <v>0</v>
      </c>
    </row>
    <row r="13" spans="1:58" s="45" customFormat="1" hidden="1" x14ac:dyDescent="0.25">
      <c r="AN13" s="185" t="str">
        <f>IF(KabelData!F18="","",KabelData!F18)</f>
        <v/>
      </c>
      <c r="AO13" s="45" t="str">
        <f>Kabeludskrif!K29</f>
        <v/>
      </c>
      <c r="AP13" s="45" t="str">
        <f>IF(KabelData!F26="","",ROUND(KabelData!F26,4))</f>
        <v/>
      </c>
      <c r="AQ13" s="45" t="str">
        <f>Kabeludskrif!K76</f>
        <v/>
      </c>
      <c r="AR13" s="45" t="str">
        <f>KabelData!F30</f>
        <v/>
      </c>
      <c r="AS13" s="45">
        <f>IF(E60="",0,E60)</f>
        <v>0</v>
      </c>
      <c r="AT13" s="45">
        <f>IF(H60="",0,H60)</f>
        <v>0</v>
      </c>
      <c r="AU13" s="45">
        <f>RADIANS(180+AT13)</f>
        <v>3.1415926535897931</v>
      </c>
      <c r="AV13" s="45">
        <f>AS13*COS(AU13)</f>
        <v>0</v>
      </c>
      <c r="AW13" s="45">
        <f>AS13*SIN(AU13)</f>
        <v>0</v>
      </c>
      <c r="AX13" s="45">
        <f t="shared" si="0"/>
        <v>0</v>
      </c>
      <c r="AY13" s="45">
        <f t="shared" si="1"/>
        <v>0</v>
      </c>
      <c r="AZ13" s="45">
        <f t="shared" si="5"/>
        <v>3.1415926535897931</v>
      </c>
      <c r="BA13" s="45">
        <f t="shared" si="6"/>
        <v>0</v>
      </c>
      <c r="BB13" s="45">
        <f t="shared" si="7"/>
        <v>0</v>
      </c>
    </row>
    <row r="14" spans="1:58" s="45" customFormat="1" hidden="1" x14ac:dyDescent="0.25">
      <c r="AN14" s="185" t="str">
        <f>IF(KabelData!J18="","",KabelData!J18)</f>
        <v/>
      </c>
      <c r="AO14" s="45" t="str">
        <f>Kabeludskrif!K33</f>
        <v/>
      </c>
      <c r="AP14" s="45" t="str">
        <f>IF(KabelData!J26="","",ROUND(KabelData!J26,4))</f>
        <v/>
      </c>
      <c r="AQ14" s="45" t="str">
        <f>Kabeludskrif!K80</f>
        <v/>
      </c>
      <c r="AR14" s="45" t="str">
        <f>KabelData!J30</f>
        <v/>
      </c>
      <c r="AS14" s="45">
        <f>IF(M60="",0,IF(M60&gt;0,M60,))</f>
        <v>0.18479999999999999</v>
      </c>
      <c r="AT14" s="45">
        <f>IF(Q60="",0,IF(Q60&gt;0,Q60,))</f>
        <v>25.841899999999999</v>
      </c>
      <c r="AU14" s="45">
        <f t="shared" ref="AU14:AU15" si="8">RADIANS(180+AT14)</f>
        <v>3.5926188935609158</v>
      </c>
      <c r="AV14" s="45">
        <f t="shared" ref="AV14:AV15" si="9">AS14*COS(AU14)</f>
        <v>-0.16632004606189021</v>
      </c>
      <c r="AW14" s="45">
        <f t="shared" ref="AW14:AW15" si="10">AS14*SIN(AU14)</f>
        <v>-8.0552357370661215E-2</v>
      </c>
      <c r="AX14" s="45">
        <f t="shared" si="0"/>
        <v>0</v>
      </c>
      <c r="AY14" s="45">
        <f t="shared" si="1"/>
        <v>0</v>
      </c>
      <c r="AZ14" s="45">
        <f t="shared" si="5"/>
        <v>3.1415926535897931</v>
      </c>
      <c r="BA14" s="45">
        <f t="shared" si="6"/>
        <v>0</v>
      </c>
      <c r="BB14" s="45">
        <f t="shared" si="7"/>
        <v>0</v>
      </c>
    </row>
    <row r="15" spans="1:58" s="45" customFormat="1" hidden="1" x14ac:dyDescent="0.25">
      <c r="AN15" s="185" t="str">
        <f>IF(KabelData!N18="","",KabelData!N18)</f>
        <v/>
      </c>
      <c r="AO15" s="45" t="str">
        <f>Kabeludskrif!K39</f>
        <v/>
      </c>
      <c r="AP15" s="45" t="str">
        <f>IF(KabelData!N26="","",ROUND(KabelData!N26,4))</f>
        <v/>
      </c>
      <c r="AQ15" s="45" t="str">
        <f>Kabeludskrif!K86</f>
        <v/>
      </c>
      <c r="AR15" s="45" t="str">
        <f>KabelData!N30</f>
        <v/>
      </c>
      <c r="AS15" s="45">
        <f>IF(U60="",0,U60)</f>
        <v>0.27139628405730087</v>
      </c>
      <c r="AT15" s="45">
        <f>IF(Y60="",0,Y60)</f>
        <v>2.0681416438520976</v>
      </c>
      <c r="AU15" s="45">
        <f t="shared" si="8"/>
        <v>3.1776885346726202</v>
      </c>
      <c r="AV15" s="45">
        <f t="shared" si="9"/>
        <v>-0.27121950042974768</v>
      </c>
      <c r="AW15" s="45">
        <f t="shared" si="10"/>
        <v>-9.7941608496711578E-3</v>
      </c>
      <c r="AX15" s="45">
        <f t="shared" si="0"/>
        <v>0</v>
      </c>
      <c r="AY15" s="45">
        <f t="shared" si="1"/>
        <v>0</v>
      </c>
      <c r="AZ15" s="45">
        <f t="shared" si="5"/>
        <v>3.1415926535897931</v>
      </c>
      <c r="BA15" s="45">
        <f t="shared" si="6"/>
        <v>0</v>
      </c>
      <c r="BB15" s="45">
        <f t="shared" si="7"/>
        <v>0</v>
      </c>
    </row>
    <row r="16" spans="1:58" s="45" customFormat="1" hidden="1" x14ac:dyDescent="0.25">
      <c r="AN16" s="185" t="str">
        <f>IF(KabelData!R18="","",KabelData!R18)</f>
        <v>-W10</v>
      </c>
      <c r="AO16" s="45" t="str">
        <f>Kabeludskrif!K43</f>
        <v/>
      </c>
      <c r="AP16" s="45" t="str">
        <f>IF(KabelData!R26="","",ROUND(KabelData!R26,4))</f>
        <v/>
      </c>
      <c r="AQ16" s="45" t="str">
        <f>Kabeludskrif!K90</f>
        <v/>
      </c>
      <c r="AR16" s="45" t="str">
        <f>KabelData!R30</f>
        <v/>
      </c>
      <c r="AS16" s="45">
        <f>SQRT(SUM(AV13:AV15)^2+SUM(AW13:AW15)^2)</f>
        <v>0.4467699050950556</v>
      </c>
      <c r="AT16" s="45">
        <f>DEGREES(ATAN(SUM(AW13:AW15)/SUM(AV13:AV15)))</f>
        <v>11.666901410187961</v>
      </c>
      <c r="AX16" s="45">
        <f t="shared" si="0"/>
        <v>0</v>
      </c>
      <c r="AY16" s="45">
        <f t="shared" si="1"/>
        <v>0</v>
      </c>
      <c r="AZ16" s="45">
        <f t="shared" si="5"/>
        <v>3.1415926535897931</v>
      </c>
      <c r="BA16" s="45">
        <f t="shared" si="6"/>
        <v>0</v>
      </c>
      <c r="BB16" s="45">
        <f t="shared" si="7"/>
        <v>0</v>
      </c>
    </row>
    <row r="18" spans="1:42" x14ac:dyDescent="0.25">
      <c r="A18" s="430" t="s">
        <v>198</v>
      </c>
      <c r="B18" s="430"/>
      <c r="C18" s="430"/>
      <c r="D18" s="430"/>
      <c r="E18" s="430"/>
      <c r="F18" s="430"/>
      <c r="G18" s="430"/>
      <c r="H18" s="762" t="s">
        <v>196</v>
      </c>
      <c r="I18" s="762"/>
      <c r="J18" s="762"/>
      <c r="K18" s="762"/>
      <c r="L18" s="762"/>
      <c r="M18" s="762"/>
      <c r="N18" s="431"/>
      <c r="O18" s="430"/>
      <c r="P18" s="430"/>
      <c r="Q18" s="430"/>
      <c r="R18" s="430"/>
      <c r="S18" s="430"/>
      <c r="T18" s="430"/>
      <c r="U18" s="430"/>
      <c r="V18" s="430"/>
      <c r="W18" s="430"/>
      <c r="X18" s="430"/>
      <c r="Y18" s="430"/>
      <c r="Z18" s="430"/>
      <c r="AA18" s="430"/>
      <c r="AB18" s="430"/>
      <c r="AC18" s="430"/>
      <c r="AD18" s="430"/>
      <c r="AE18" s="430"/>
      <c r="AF18" s="430"/>
      <c r="AG18" s="430"/>
      <c r="AH18" s="430"/>
      <c r="AI18" s="430"/>
      <c r="AJ18" s="430"/>
    </row>
    <row r="19" spans="1:42" x14ac:dyDescent="0.25">
      <c r="O19" s="11"/>
      <c r="R19" s="11"/>
      <c r="U19" s="11"/>
      <c r="X19" s="11"/>
      <c r="Y19" s="11"/>
      <c r="Z19" s="11"/>
      <c r="AA19" s="11"/>
      <c r="AB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2" ht="20.25" x14ac:dyDescent="0.35">
      <c r="B20" s="737" t="s">
        <v>384</v>
      </c>
      <c r="C20" s="737"/>
      <c r="D20" s="737"/>
      <c r="E20" s="737"/>
      <c r="F20" s="435" t="s">
        <v>385</v>
      </c>
      <c r="O20" s="155"/>
      <c r="R20" s="155"/>
      <c r="U20" s="155"/>
      <c r="X20" s="155"/>
      <c r="Y20" s="155"/>
      <c r="Z20" s="155"/>
      <c r="AA20" s="155"/>
      <c r="AB20" s="155"/>
      <c r="AF20" s="155"/>
      <c r="AG20" s="155"/>
      <c r="AH20" s="155"/>
      <c r="AI20" s="155"/>
      <c r="AJ20" s="155"/>
      <c r="AK20" s="155"/>
      <c r="AL20" s="155"/>
      <c r="AM20" s="155"/>
      <c r="AN20" s="155"/>
    </row>
    <row r="21" spans="1:42" s="45" customFormat="1" x14ac:dyDescent="0.25">
      <c r="O21" s="155"/>
      <c r="R21" s="155"/>
      <c r="U21" s="155"/>
      <c r="X21" s="155"/>
      <c r="Y21" s="155"/>
      <c r="Z21" s="155"/>
      <c r="AA21" s="155"/>
      <c r="AB21" s="155"/>
      <c r="AF21" s="155"/>
      <c r="AG21" s="155"/>
      <c r="AH21" s="155"/>
      <c r="AI21" s="155"/>
      <c r="AJ21" s="155"/>
      <c r="AK21" s="155"/>
      <c r="AL21" s="155"/>
      <c r="AM21" s="155"/>
    </row>
    <row r="22" spans="1:42" ht="18.75" thickBot="1" x14ac:dyDescent="0.4">
      <c r="B22" s="627" t="s">
        <v>159</v>
      </c>
      <c r="C22" s="627"/>
      <c r="D22" s="627"/>
      <c r="E22" s="627"/>
      <c r="F22" s="627"/>
      <c r="G22" s="627"/>
      <c r="H22" s="627"/>
      <c r="I22" s="627"/>
      <c r="J22" s="627"/>
      <c r="K22" s="627"/>
      <c r="L22" s="627"/>
      <c r="M22" s="627"/>
      <c r="N22" s="627"/>
      <c r="O22" s="627"/>
      <c r="P22" s="627"/>
      <c r="Q22" s="627"/>
      <c r="R22" s="627"/>
      <c r="S22" s="627"/>
      <c r="T22" s="627"/>
      <c r="U22" s="627"/>
      <c r="V22" s="627"/>
      <c r="W22" s="627"/>
      <c r="X22" s="627"/>
      <c r="Y22" s="12"/>
      <c r="Z22" s="11"/>
    </row>
    <row r="23" spans="1:42" s="45" customFormat="1" ht="12" customHeight="1" x14ac:dyDescent="0.25">
      <c r="A23" s="791"/>
      <c r="B23" s="794" t="s">
        <v>218</v>
      </c>
      <c r="C23" s="794"/>
      <c r="D23" s="792" t="s">
        <v>161</v>
      </c>
      <c r="E23" s="755" t="str">
        <f>IF(H18="Transformer", "Z̅T",IF(H18="Beregnet","", ))</f>
        <v/>
      </c>
      <c r="F23" s="755" t="str">
        <f>IF(H18="Transformer", "+",IF(H18="Beregnet","", ))</f>
        <v/>
      </c>
      <c r="G23" s="755" t="s">
        <v>199</v>
      </c>
      <c r="H23" s="755"/>
      <c r="I23" s="183"/>
      <c r="J23" s="766" t="str">
        <f>IF(L23="","",$AQ$3)</f>
        <v xml:space="preserve"> + Z̅</v>
      </c>
      <c r="K23" s="766"/>
      <c r="L23" s="758" t="s">
        <v>366</v>
      </c>
      <c r="M23" s="758"/>
      <c r="N23" s="758"/>
      <c r="O23" s="766" t="str">
        <f>IF(Q23="","",AQ3)</f>
        <v/>
      </c>
      <c r="P23" s="766"/>
      <c r="Q23" s="808"/>
      <c r="R23" s="808"/>
      <c r="S23" s="808"/>
      <c r="T23" s="766" t="str">
        <f>IF(V23="","",AQ3)</f>
        <v/>
      </c>
      <c r="U23" s="766"/>
      <c r="V23" s="758"/>
      <c r="W23" s="758"/>
      <c r="X23" s="758"/>
      <c r="Y23" s="754" t="s">
        <v>162</v>
      </c>
      <c r="Z23" s="163"/>
      <c r="AA23" s="179"/>
      <c r="AB23" s="157"/>
      <c r="AC23" s="161"/>
      <c r="AD23" s="161"/>
      <c r="AE23" s="161"/>
      <c r="AF23" s="74"/>
      <c r="AG23" s="160"/>
      <c r="AH23" s="157"/>
      <c r="AI23" s="157"/>
      <c r="AJ23" s="157"/>
      <c r="AK23" s="176"/>
      <c r="AL23" s="157"/>
      <c r="AM23" s="293"/>
      <c r="AN23" s="157"/>
    </row>
    <row r="24" spans="1:42" ht="8.1" customHeight="1" x14ac:dyDescent="0.25">
      <c r="A24" s="791"/>
      <c r="B24" s="623"/>
      <c r="C24" s="623"/>
      <c r="D24" s="754"/>
      <c r="E24" s="793"/>
      <c r="F24" s="793"/>
      <c r="G24" s="756"/>
      <c r="H24" s="756"/>
      <c r="I24" s="184"/>
      <c r="J24" s="767"/>
      <c r="K24" s="767"/>
      <c r="L24" s="759"/>
      <c r="M24" s="759"/>
      <c r="N24" s="759"/>
      <c r="O24" s="767"/>
      <c r="P24" s="767"/>
      <c r="Q24" s="809"/>
      <c r="R24" s="809"/>
      <c r="S24" s="809"/>
      <c r="T24" s="767"/>
      <c r="U24" s="767"/>
      <c r="V24" s="759"/>
      <c r="W24" s="759"/>
      <c r="X24" s="759"/>
      <c r="Y24" s="754"/>
      <c r="Z24" s="163"/>
      <c r="AA24" s="179"/>
      <c r="AB24" s="157"/>
      <c r="AC24" s="161"/>
      <c r="AD24" s="161"/>
      <c r="AE24" s="161"/>
      <c r="AF24" s="74"/>
      <c r="AG24" s="160"/>
      <c r="AH24" s="157"/>
      <c r="AI24" s="157"/>
      <c r="AJ24" s="157"/>
      <c r="AK24" s="176"/>
      <c r="AL24" s="157"/>
      <c r="AM24" s="293"/>
      <c r="AN24" s="157"/>
    </row>
    <row r="25" spans="1:42" x14ac:dyDescent="0.25">
      <c r="AO25" s="11"/>
      <c r="AP25" s="11"/>
    </row>
    <row r="26" spans="1:42" x14ac:dyDescent="0.25">
      <c r="A26" s="695" t="s">
        <v>184</v>
      </c>
      <c r="B26" s="695"/>
      <c r="AO26" s="186"/>
      <c r="AP26" s="186"/>
    </row>
    <row r="27" spans="1:42" s="45" customFormat="1" x14ac:dyDescent="0.25">
      <c r="A27" s="150"/>
      <c r="B27" s="150"/>
      <c r="AO27" s="186"/>
      <c r="AP27" s="186"/>
    </row>
    <row r="28" spans="1:42" ht="15.75" thickBot="1" x14ac:dyDescent="0.3">
      <c r="B28" s="627">
        <v>400</v>
      </c>
      <c r="C28" s="627"/>
      <c r="D28" s="627"/>
      <c r="E28" s="627"/>
      <c r="F28" s="627"/>
      <c r="G28" s="627"/>
      <c r="H28" s="627"/>
      <c r="I28" s="627"/>
      <c r="J28" s="627"/>
      <c r="K28" s="627"/>
      <c r="L28" s="627"/>
      <c r="M28" s="627"/>
      <c r="N28" s="627"/>
      <c r="O28" s="627"/>
      <c r="P28" s="627"/>
      <c r="Q28" s="627"/>
      <c r="R28" s="627"/>
      <c r="S28" s="627"/>
      <c r="T28" s="627"/>
      <c r="U28" s="627"/>
      <c r="V28" s="627"/>
      <c r="W28" s="627"/>
      <c r="X28" s="627"/>
      <c r="Y28" s="627"/>
      <c r="Z28" s="627"/>
      <c r="AA28" s="627"/>
      <c r="AB28" s="627"/>
      <c r="AC28" s="627"/>
      <c r="AD28" s="627"/>
      <c r="AE28" s="627"/>
      <c r="AF28" s="627"/>
      <c r="AG28" s="627"/>
      <c r="AH28" s="627"/>
      <c r="AI28" s="627"/>
      <c r="AJ28" s="627"/>
      <c r="AK28" s="174"/>
    </row>
    <row r="29" spans="1:42" s="158" customFormat="1" ht="9.9499999999999993" customHeight="1" x14ac:dyDescent="0.2">
      <c r="A29" s="810"/>
      <c r="B29" s="795" t="s">
        <v>218</v>
      </c>
      <c r="C29" s="795"/>
      <c r="D29" s="770" t="s">
        <v>161</v>
      </c>
      <c r="E29" s="768" t="str">
        <f>IF($H$18="Transformer",BC7,IF(H18="Beregnet","",))</f>
        <v/>
      </c>
      <c r="F29" s="778" t="str">
        <f>IF(E29="","",$AT$3)</f>
        <v/>
      </c>
      <c r="G29" s="764" t="str">
        <f>IF($H$18="Transformer",BD7,IF(H18="Beregnet","",))</f>
        <v/>
      </c>
      <c r="H29" s="764"/>
      <c r="I29" s="764"/>
      <c r="J29" s="760">
        <f>(IF($H$18="Transformer",BE7,IF($H$18="beregnet",BC10)))</f>
        <v>1.4433756729740645E-2</v>
      </c>
      <c r="K29" s="760"/>
      <c r="L29" s="760"/>
      <c r="M29" s="778" t="str">
        <f>IF(J29="","",$AT$3)</f>
        <v>Ð</v>
      </c>
      <c r="N29" s="780">
        <f>(IF($H$18="Transformer",BF7,IF($H$18="beregnet",BD10)))</f>
        <v>72.542400000000001</v>
      </c>
      <c r="O29" s="780"/>
      <c r="P29" s="772">
        <f>(IF($L$23="","",IF($L$23=AN7,AO7,IF($L$23=AN8,AO8,IF($L$23=AN9,AO9,IF($L$23=AN10,AO10,IF($L$23=AN11,AO11,IF($L$23=AN12,AO12,IF($L$23=AN13,AO13,IF($L$23=AN14,AO14,IF($L$23=AN15,AO15,IF($L$23=AN16,AO16))))))))))))</f>
        <v>6.0000000000000001E-3</v>
      </c>
      <c r="Q29" s="772"/>
      <c r="R29" s="772"/>
      <c r="S29" s="778" t="str">
        <f>IF(P29="","",$AT$3)</f>
        <v>Ð</v>
      </c>
      <c r="T29" s="780">
        <f>(IF($L$23="","",IF($L$23=AN7,AP7,IF($L$23=AN8,AP8,IF($L$23=AN9,AP9,IF($L$23=AN10,AP10,IF($L$23=AN11,AP11,IF($L$23=AN12,AP12,IF($L$23=AN13,AP13,IF($L$23=AN14,AP14,IF($L$23=AN15,AP15,IF($L$23=AN16,AP16))))))))))))</f>
        <v>12.2157</v>
      </c>
      <c r="U29" s="780"/>
      <c r="V29" s="772" t="str">
        <f>(IF($Q$23="","",IF($Q$23=AN7,AO7,IF($Q$23=AN8,AO8,IF($Q$23=AN9,AO9,IF($Q$23=AN10,AO10,IF($Q$23=AN11,AO11,IF($Q$23=AN12,AO12,IF($Q$23=AN13,AO13,IF($Q$23=AN14,AO14,IF($Q$23=AN15,AO15,IF($Q$23=AN16,AO16))))))))))))</f>
        <v/>
      </c>
      <c r="W29" s="772"/>
      <c r="X29" s="772"/>
      <c r="Y29" s="778" t="str">
        <f>IF(V29="","",$AT$3)</f>
        <v/>
      </c>
      <c r="Z29" s="781" t="str">
        <f>(IF($Q$23="","",IF($Q$23=AN7,AP7,IF($Q$23=AN8,AP8,IF($Q$23=AN9,AP9,IF($Q$23=AN10,AP10,IF($Q$23=AN11,AP11,IF($Q$23=AN12,AP12,IF($Q$23=AN13,AP13,IF($Q$23=AN14,AP14,IF($Q$23=AN15,AP15,IF($Q$23=AN16,AP16))))))))))))</f>
        <v/>
      </c>
      <c r="AA29" s="781"/>
      <c r="AB29" s="781"/>
      <c r="AC29" s="781"/>
      <c r="AD29" s="772" t="str">
        <f>(IF($V$23="","",IF($V$23=AN7,AO7,IF($V$23=AN8,AO8,IF($V$23=AN9,AO9,IF($V$23=AN10,AO10,IF($V$23=AN11,AO11,IF($V$23=AN12,AO12,IF($V$23=AN13,AO13,IF($V$23=AN14,AO14,IF($V$23=AN15,AO15,IF($V$23=AN16,AO16))))))))))))</f>
        <v/>
      </c>
      <c r="AE29" s="772"/>
      <c r="AF29" s="772"/>
      <c r="AG29" s="778" t="str">
        <f>IF(AD29="","",$AT$3)</f>
        <v/>
      </c>
      <c r="AH29" s="785" t="str">
        <f>(IF($V$23="","",IF($V$23=AN7,AP7,IF($V$23=AN8,AP8,IF($V$23=AN9,AP9,IF($V$23=AN10,AP10,IF($V$23=AN11,AP11,IF($V$23=AN12,AP12,IF($V$23=AN13,AP13,IF($V$23=AN14,AP14,IF($V$23=AN15,AP15,IF($V$23=AN16,AP16))))))))))))</f>
        <v/>
      </c>
      <c r="AI29" s="785"/>
      <c r="AJ29" s="785"/>
      <c r="AK29" s="777" t="s">
        <v>162</v>
      </c>
      <c r="AL29" s="65"/>
      <c r="AM29" s="65"/>
      <c r="AN29" s="159"/>
    </row>
    <row r="30" spans="1:42" s="158" customFormat="1" ht="9.9499999999999993" customHeight="1" x14ac:dyDescent="0.2">
      <c r="A30" s="810"/>
      <c r="B30" s="796"/>
      <c r="C30" s="796"/>
      <c r="D30" s="771"/>
      <c r="E30" s="769"/>
      <c r="F30" s="779"/>
      <c r="G30" s="765"/>
      <c r="H30" s="765"/>
      <c r="I30" s="765"/>
      <c r="J30" s="761"/>
      <c r="K30" s="761"/>
      <c r="L30" s="761"/>
      <c r="M30" s="779"/>
      <c r="N30" s="780"/>
      <c r="O30" s="780"/>
      <c r="P30" s="773"/>
      <c r="Q30" s="773"/>
      <c r="R30" s="773"/>
      <c r="S30" s="779"/>
      <c r="T30" s="780"/>
      <c r="U30" s="780"/>
      <c r="V30" s="773"/>
      <c r="W30" s="773"/>
      <c r="X30" s="773"/>
      <c r="Y30" s="779"/>
      <c r="Z30" s="782"/>
      <c r="AA30" s="782"/>
      <c r="AB30" s="782"/>
      <c r="AC30" s="782"/>
      <c r="AD30" s="773"/>
      <c r="AE30" s="773"/>
      <c r="AF30" s="773"/>
      <c r="AG30" s="779"/>
      <c r="AH30" s="786"/>
      <c r="AI30" s="786"/>
      <c r="AJ30" s="786"/>
      <c r="AK30" s="777"/>
      <c r="AL30" s="65"/>
      <c r="AM30" s="65"/>
      <c r="AN30" s="159"/>
    </row>
    <row r="32" spans="1:42" x14ac:dyDescent="0.25">
      <c r="B32" s="45" t="s">
        <v>104</v>
      </c>
      <c r="C32" s="763">
        <f>IF(J29="","",ROUND((B28/(SQRT(3)*AS12))*10^-3,2))</f>
        <v>12.71</v>
      </c>
      <c r="D32" s="763"/>
      <c r="E32" s="763"/>
      <c r="F32" s="45" t="s">
        <v>186</v>
      </c>
    </row>
    <row r="34" spans="1:41" x14ac:dyDescent="0.25">
      <c r="A34" s="430" t="s">
        <v>198</v>
      </c>
      <c r="B34" s="431"/>
      <c r="C34" s="431"/>
      <c r="D34" s="431"/>
      <c r="E34" s="431"/>
      <c r="F34" s="431"/>
      <c r="G34" s="431"/>
      <c r="H34" s="762" t="s">
        <v>196</v>
      </c>
      <c r="I34" s="762"/>
      <c r="J34" s="762"/>
      <c r="K34" s="762"/>
      <c r="L34" s="762"/>
      <c r="M34" s="762"/>
      <c r="N34" s="430"/>
      <c r="O34" s="430"/>
      <c r="P34" s="430"/>
      <c r="Q34" s="430"/>
      <c r="R34" s="430"/>
      <c r="S34" s="430"/>
      <c r="T34" s="430"/>
      <c r="U34" s="430"/>
      <c r="V34" s="430"/>
      <c r="W34" s="430"/>
      <c r="X34" s="430"/>
      <c r="Y34" s="430"/>
      <c r="Z34" s="430"/>
      <c r="AA34" s="430"/>
      <c r="AB34" s="430"/>
      <c r="AC34" s="430"/>
      <c r="AD34" s="430"/>
      <c r="AE34" s="430"/>
      <c r="AF34" s="430"/>
      <c r="AG34" s="430"/>
      <c r="AH34" s="430"/>
      <c r="AI34" s="430"/>
      <c r="AJ34" s="430"/>
    </row>
    <row r="35" spans="1:41" s="433" customFormat="1" x14ac:dyDescent="0.25">
      <c r="A35" s="730" t="s">
        <v>374</v>
      </c>
      <c r="B35" s="730"/>
      <c r="C35" s="730"/>
      <c r="D35" s="730"/>
      <c r="E35" s="730"/>
      <c r="F35" s="730"/>
      <c r="G35" s="730"/>
      <c r="H35" s="730"/>
      <c r="I35" s="730"/>
      <c r="J35" s="730"/>
      <c r="K35" s="730"/>
      <c r="L35" s="730"/>
      <c r="M35" s="730"/>
      <c r="N35" s="730"/>
      <c r="O35" s="730"/>
      <c r="P35" s="730"/>
      <c r="Q35" s="730"/>
      <c r="R35" s="730"/>
      <c r="S35" s="730"/>
      <c r="T35" s="730"/>
      <c r="U35" s="730"/>
      <c r="V35" s="730"/>
      <c r="W35" s="730"/>
      <c r="X35" s="730"/>
      <c r="Y35" s="730"/>
      <c r="Z35" s="730"/>
      <c r="AA35" s="730"/>
      <c r="AB35" s="730"/>
      <c r="AC35" s="730"/>
      <c r="AD35" s="730"/>
      <c r="AE35" s="730"/>
      <c r="AF35" s="730"/>
      <c r="AG35" s="730"/>
      <c r="AH35" s="730"/>
      <c r="AI35" s="730"/>
      <c r="AJ35" s="730"/>
      <c r="AK35" s="730"/>
    </row>
    <row r="36" spans="1:41" ht="18" x14ac:dyDescent="0.35">
      <c r="B36" s="731" t="s">
        <v>375</v>
      </c>
      <c r="C36" s="731"/>
      <c r="D36" s="731"/>
      <c r="E36" s="731"/>
      <c r="F36" s="432" t="s">
        <v>376</v>
      </c>
    </row>
    <row r="37" spans="1:41" ht="15" customHeight="1" x14ac:dyDescent="0.25">
      <c r="A37" s="433" t="s">
        <v>377</v>
      </c>
      <c r="B37" s="382"/>
      <c r="G37" s="385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</row>
    <row r="38" spans="1:41" s="381" customFormat="1" ht="15" customHeight="1" x14ac:dyDescent="0.25">
      <c r="B38" s="434" t="s">
        <v>378</v>
      </c>
    </row>
    <row r="39" spans="1:41" ht="15.75" thickBot="1" x14ac:dyDescent="0.3">
      <c r="F39" s="429"/>
      <c r="G39" s="429"/>
    </row>
    <row r="40" spans="1:41" ht="15.75" thickBot="1" x14ac:dyDescent="0.3">
      <c r="B40" s="732" t="s">
        <v>379</v>
      </c>
      <c r="C40" s="733"/>
      <c r="D40" s="733"/>
      <c r="E40" s="733"/>
      <c r="F40" s="733"/>
      <c r="G40" s="733"/>
      <c r="H40" s="734"/>
      <c r="I40" s="735" t="s">
        <v>157</v>
      </c>
      <c r="J40" s="733"/>
      <c r="K40" s="733"/>
      <c r="L40" s="733"/>
      <c r="M40" s="733"/>
      <c r="N40" s="733"/>
      <c r="O40" s="733"/>
      <c r="P40" s="733"/>
      <c r="Q40" s="445"/>
      <c r="R40" s="735" t="s">
        <v>380</v>
      </c>
      <c r="S40" s="733"/>
      <c r="T40" s="736"/>
      <c r="U40" s="439"/>
      <c r="V40" s="733" t="s">
        <v>381</v>
      </c>
      <c r="W40" s="733"/>
      <c r="X40" s="733"/>
      <c r="Y40" s="733"/>
      <c r="Z40" s="733"/>
      <c r="AA40" s="733"/>
      <c r="AB40" s="733"/>
      <c r="AC40" s="733"/>
      <c r="AD40" s="736"/>
      <c r="AE40" s="437"/>
      <c r="AF40" s="437"/>
      <c r="AG40" s="437"/>
      <c r="AH40" s="437"/>
      <c r="AI40" s="437"/>
      <c r="AJ40" s="437"/>
      <c r="AK40" s="174"/>
      <c r="AO40" s="178"/>
    </row>
    <row r="41" spans="1:41" x14ac:dyDescent="0.25">
      <c r="B41" s="787" t="s">
        <v>157</v>
      </c>
      <c r="C41" s="788"/>
      <c r="D41" s="783" t="s">
        <v>366</v>
      </c>
      <c r="E41" s="783"/>
      <c r="F41" s="815"/>
      <c r="G41" s="815"/>
      <c r="H41" s="440"/>
      <c r="I41" s="784">
        <f t="shared" ref="I41:I50" si="11">(IF(D41="","",IF(D41=$AN$7,$AQ$7,IF(D41=$AN$8,$AQ$8,IF(D41=$AN$9,$AQ$9,IF(D41=$AN$10,$AQ$10,IF(D41=$AN$11,$AQ$11,IF(D41=$AN$12,$AQ$12,IF(D41=$AN$13,$AQ$13,IF(D41=$AN$14,$AQ$14,IF(D41=$AN$15,$AQ$15,IF(D41=$AN$16,$AQ$16,))))))))))))</f>
        <v>8.8000000000000005E-3</v>
      </c>
      <c r="J41" s="784"/>
      <c r="K41" s="784"/>
      <c r="L41" s="784"/>
      <c r="M41" s="422" t="s">
        <v>140</v>
      </c>
      <c r="N41" s="697">
        <f t="shared" ref="N41:N50" si="12">(IF(D41="","",IF(D41=$AN$7,$AR$7,IF(D41=$AN$8,$AR$8,IF(D41=$AN$9,$AR$9,IF(D41=$AN$10,$AR$10,IF(D41=$AN$11,$AR$11,IF(D41=$AN$12,$AR$12,IF(D41=$AN$13,$AR$616,IF(D41=$AN$14,$AR$14,IF(D41=$AN$15,$AR$15,IF(D41=$AN$16,$AR$16,))))))))))))</f>
        <v>8.2127999999999997</v>
      </c>
      <c r="O41" s="697"/>
      <c r="P41" s="697"/>
      <c r="Q41" s="419" t="s">
        <v>134</v>
      </c>
      <c r="R41" s="775">
        <v>2</v>
      </c>
      <c r="S41" s="775"/>
      <c r="T41" s="775"/>
      <c r="U41" s="419" t="s">
        <v>104</v>
      </c>
      <c r="V41" s="784">
        <f t="shared" ref="V41:V50" si="13">IF(D41="","",IF(D41&gt;0,R41*I41))</f>
        <v>1.7600000000000001E-2</v>
      </c>
      <c r="W41" s="784"/>
      <c r="X41" s="784"/>
      <c r="Y41" s="422" t="s">
        <v>140</v>
      </c>
      <c r="Z41" s="697">
        <f t="shared" ref="Z41:Z50" si="14">N41</f>
        <v>8.2127999999999997</v>
      </c>
      <c r="AA41" s="697"/>
      <c r="AB41" s="697"/>
      <c r="AC41" s="697"/>
      <c r="AD41" s="423"/>
      <c r="AO41" s="389"/>
    </row>
    <row r="42" spans="1:41" x14ac:dyDescent="0.25">
      <c r="B42" s="789" t="s">
        <v>157</v>
      </c>
      <c r="C42" s="790"/>
      <c r="D42" s="757" t="s">
        <v>420</v>
      </c>
      <c r="E42" s="757"/>
      <c r="F42" s="800"/>
      <c r="G42" s="800"/>
      <c r="H42" s="442"/>
      <c r="I42" s="774">
        <f t="shared" si="11"/>
        <v>3.4541858664524701E-2</v>
      </c>
      <c r="J42" s="774"/>
      <c r="K42" s="774"/>
      <c r="L42" s="774"/>
      <c r="M42" s="417" t="s">
        <v>140</v>
      </c>
      <c r="N42" s="753">
        <f t="shared" si="12"/>
        <v>2.8209885935155139</v>
      </c>
      <c r="O42" s="753"/>
      <c r="P42" s="753"/>
      <c r="Q42" s="416" t="s">
        <v>134</v>
      </c>
      <c r="R42" s="776">
        <v>2</v>
      </c>
      <c r="S42" s="776"/>
      <c r="T42" s="776"/>
      <c r="U42" s="416" t="s">
        <v>104</v>
      </c>
      <c r="V42" s="774">
        <f t="shared" si="13"/>
        <v>6.9083717329049402E-2</v>
      </c>
      <c r="W42" s="774"/>
      <c r="X42" s="774"/>
      <c r="Y42" s="417" t="s">
        <v>140</v>
      </c>
      <c r="Z42" s="753">
        <f t="shared" si="14"/>
        <v>2.8209885935155139</v>
      </c>
      <c r="AA42" s="753"/>
      <c r="AB42" s="753"/>
      <c r="AC42" s="753"/>
      <c r="AD42" s="424"/>
      <c r="AO42" s="389"/>
    </row>
    <row r="43" spans="1:41" x14ac:dyDescent="0.25">
      <c r="B43" s="789" t="s">
        <v>157</v>
      </c>
      <c r="C43" s="790"/>
      <c r="D43" s="757" t="s">
        <v>439</v>
      </c>
      <c r="E43" s="757"/>
      <c r="F43" s="800"/>
      <c r="G43" s="800"/>
      <c r="H43" s="442"/>
      <c r="I43" s="774">
        <f t="shared" si="11"/>
        <v>9.2420363556956431E-2</v>
      </c>
      <c r="J43" s="774"/>
      <c r="K43" s="774"/>
      <c r="L43" s="774"/>
      <c r="M43" s="417" t="s">
        <v>140</v>
      </c>
      <c r="N43" s="753">
        <f t="shared" si="12"/>
        <v>1.202786620123433</v>
      </c>
      <c r="O43" s="753"/>
      <c r="P43" s="753"/>
      <c r="Q43" s="416" t="s">
        <v>134</v>
      </c>
      <c r="R43" s="776">
        <v>2</v>
      </c>
      <c r="S43" s="776"/>
      <c r="T43" s="776"/>
      <c r="U43" s="416" t="s">
        <v>104</v>
      </c>
      <c r="V43" s="774">
        <f t="shared" si="13"/>
        <v>0.18484072711391286</v>
      </c>
      <c r="W43" s="774"/>
      <c r="X43" s="774"/>
      <c r="Y43" s="417" t="s">
        <v>140</v>
      </c>
      <c r="Z43" s="753">
        <f t="shared" si="14"/>
        <v>1.202786620123433</v>
      </c>
      <c r="AA43" s="753"/>
      <c r="AB43" s="753"/>
      <c r="AC43" s="753"/>
      <c r="AD43" s="424"/>
      <c r="AO43" s="389"/>
    </row>
    <row r="44" spans="1:41" x14ac:dyDescent="0.25">
      <c r="B44" s="789" t="s">
        <v>157</v>
      </c>
      <c r="C44" s="790"/>
      <c r="D44" s="757"/>
      <c r="E44" s="757"/>
      <c r="F44" s="800"/>
      <c r="G44" s="800"/>
      <c r="H44" s="442"/>
      <c r="I44" s="774" t="str">
        <f t="shared" si="11"/>
        <v/>
      </c>
      <c r="J44" s="774"/>
      <c r="K44" s="774"/>
      <c r="L44" s="774"/>
      <c r="M44" s="417" t="s">
        <v>140</v>
      </c>
      <c r="N44" s="753" t="str">
        <f t="shared" si="12"/>
        <v/>
      </c>
      <c r="O44" s="753"/>
      <c r="P44" s="753"/>
      <c r="Q44" s="416" t="s">
        <v>134</v>
      </c>
      <c r="R44" s="776"/>
      <c r="S44" s="776"/>
      <c r="T44" s="776"/>
      <c r="U44" s="416" t="s">
        <v>104</v>
      </c>
      <c r="V44" s="774" t="str">
        <f t="shared" si="13"/>
        <v/>
      </c>
      <c r="W44" s="774"/>
      <c r="X44" s="774"/>
      <c r="Y44" s="417" t="s">
        <v>140</v>
      </c>
      <c r="Z44" s="753" t="str">
        <f t="shared" si="14"/>
        <v/>
      </c>
      <c r="AA44" s="753"/>
      <c r="AB44" s="753"/>
      <c r="AC44" s="753"/>
      <c r="AD44" s="424"/>
      <c r="AO44" s="389"/>
    </row>
    <row r="45" spans="1:41" x14ac:dyDescent="0.25">
      <c r="B45" s="789" t="s">
        <v>157</v>
      </c>
      <c r="C45" s="790"/>
      <c r="D45" s="757"/>
      <c r="E45" s="757"/>
      <c r="F45" s="800"/>
      <c r="G45" s="800"/>
      <c r="H45" s="442"/>
      <c r="I45" s="774" t="str">
        <f t="shared" si="11"/>
        <v/>
      </c>
      <c r="J45" s="774"/>
      <c r="K45" s="774"/>
      <c r="L45" s="774"/>
      <c r="M45" s="417" t="s">
        <v>140</v>
      </c>
      <c r="N45" s="753" t="str">
        <f t="shared" si="12"/>
        <v/>
      </c>
      <c r="O45" s="753"/>
      <c r="P45" s="753"/>
      <c r="Q45" s="416" t="s">
        <v>134</v>
      </c>
      <c r="R45" s="776"/>
      <c r="S45" s="776"/>
      <c r="T45" s="776"/>
      <c r="U45" s="416" t="s">
        <v>104</v>
      </c>
      <c r="V45" s="774" t="str">
        <f t="shared" si="13"/>
        <v/>
      </c>
      <c r="W45" s="774"/>
      <c r="X45" s="774"/>
      <c r="Y45" s="417" t="s">
        <v>140</v>
      </c>
      <c r="Z45" s="753" t="str">
        <f t="shared" si="14"/>
        <v/>
      </c>
      <c r="AA45" s="753"/>
      <c r="AB45" s="753"/>
      <c r="AC45" s="753"/>
      <c r="AD45" s="424"/>
      <c r="AO45" s="389"/>
    </row>
    <row r="46" spans="1:41" x14ac:dyDescent="0.25">
      <c r="B46" s="789" t="s">
        <v>157</v>
      </c>
      <c r="C46" s="790"/>
      <c r="D46" s="757"/>
      <c r="E46" s="757"/>
      <c r="F46" s="800"/>
      <c r="G46" s="800"/>
      <c r="H46" s="442"/>
      <c r="I46" s="774" t="str">
        <f t="shared" si="11"/>
        <v/>
      </c>
      <c r="J46" s="774"/>
      <c r="K46" s="774"/>
      <c r="L46" s="774"/>
      <c r="M46" s="417" t="s">
        <v>140</v>
      </c>
      <c r="N46" s="753" t="str">
        <f t="shared" si="12"/>
        <v/>
      </c>
      <c r="O46" s="753"/>
      <c r="P46" s="753"/>
      <c r="Q46" s="416" t="s">
        <v>134</v>
      </c>
      <c r="R46" s="776"/>
      <c r="S46" s="776"/>
      <c r="T46" s="776"/>
      <c r="U46" s="416" t="s">
        <v>104</v>
      </c>
      <c r="V46" s="774" t="str">
        <f t="shared" si="13"/>
        <v/>
      </c>
      <c r="W46" s="774"/>
      <c r="X46" s="774"/>
      <c r="Y46" s="417" t="s">
        <v>140</v>
      </c>
      <c r="Z46" s="753" t="str">
        <f t="shared" si="14"/>
        <v/>
      </c>
      <c r="AA46" s="753"/>
      <c r="AB46" s="753"/>
      <c r="AC46" s="753"/>
      <c r="AD46" s="424"/>
      <c r="AO46" s="389"/>
    </row>
    <row r="47" spans="1:41" x14ac:dyDescent="0.25">
      <c r="B47" s="789" t="s">
        <v>157</v>
      </c>
      <c r="C47" s="790"/>
      <c r="D47" s="757"/>
      <c r="E47" s="757"/>
      <c r="F47" s="800"/>
      <c r="G47" s="800"/>
      <c r="H47" s="442"/>
      <c r="I47" s="774" t="str">
        <f t="shared" si="11"/>
        <v/>
      </c>
      <c r="J47" s="774"/>
      <c r="K47" s="774"/>
      <c r="L47" s="774"/>
      <c r="M47" s="417" t="s">
        <v>140</v>
      </c>
      <c r="N47" s="753" t="str">
        <f t="shared" si="12"/>
        <v/>
      </c>
      <c r="O47" s="753"/>
      <c r="P47" s="753"/>
      <c r="Q47" s="416" t="s">
        <v>134</v>
      </c>
      <c r="R47" s="776"/>
      <c r="S47" s="776"/>
      <c r="T47" s="776"/>
      <c r="U47" s="416" t="s">
        <v>104</v>
      </c>
      <c r="V47" s="774" t="str">
        <f t="shared" si="13"/>
        <v/>
      </c>
      <c r="W47" s="774"/>
      <c r="X47" s="774"/>
      <c r="Y47" s="417" t="s">
        <v>140</v>
      </c>
      <c r="Z47" s="753" t="str">
        <f t="shared" si="14"/>
        <v/>
      </c>
      <c r="AA47" s="753"/>
      <c r="AB47" s="753"/>
      <c r="AC47" s="753"/>
      <c r="AD47" s="424"/>
      <c r="AO47" s="389"/>
    </row>
    <row r="48" spans="1:41" x14ac:dyDescent="0.25">
      <c r="B48" s="789" t="s">
        <v>157</v>
      </c>
      <c r="C48" s="790"/>
      <c r="D48" s="757"/>
      <c r="E48" s="757"/>
      <c r="F48" s="800"/>
      <c r="G48" s="800"/>
      <c r="H48" s="442"/>
      <c r="I48" s="774" t="str">
        <f t="shared" si="11"/>
        <v/>
      </c>
      <c r="J48" s="774"/>
      <c r="K48" s="774"/>
      <c r="L48" s="774"/>
      <c r="M48" s="417" t="s">
        <v>140</v>
      </c>
      <c r="N48" s="753" t="str">
        <f t="shared" si="12"/>
        <v/>
      </c>
      <c r="O48" s="753"/>
      <c r="P48" s="753"/>
      <c r="Q48" s="416" t="s">
        <v>134</v>
      </c>
      <c r="R48" s="776"/>
      <c r="S48" s="776"/>
      <c r="T48" s="776"/>
      <c r="U48" s="416" t="s">
        <v>104</v>
      </c>
      <c r="V48" s="774" t="str">
        <f t="shared" si="13"/>
        <v/>
      </c>
      <c r="W48" s="774"/>
      <c r="X48" s="774"/>
      <c r="Y48" s="417" t="s">
        <v>140</v>
      </c>
      <c r="Z48" s="753" t="str">
        <f t="shared" si="14"/>
        <v/>
      </c>
      <c r="AA48" s="753"/>
      <c r="AB48" s="753"/>
      <c r="AC48" s="753"/>
      <c r="AD48" s="424"/>
      <c r="AE48" s="389"/>
      <c r="AO48" s="389"/>
    </row>
    <row r="49" spans="1:41" x14ac:dyDescent="0.25">
      <c r="B49" s="789" t="s">
        <v>157</v>
      </c>
      <c r="C49" s="790"/>
      <c r="D49" s="757"/>
      <c r="E49" s="757"/>
      <c r="F49" s="800"/>
      <c r="G49" s="800"/>
      <c r="H49" s="442"/>
      <c r="I49" s="774" t="str">
        <f t="shared" si="11"/>
        <v/>
      </c>
      <c r="J49" s="774"/>
      <c r="K49" s="774"/>
      <c r="L49" s="774"/>
      <c r="M49" s="417" t="s">
        <v>140</v>
      </c>
      <c r="N49" s="753" t="str">
        <f t="shared" si="12"/>
        <v/>
      </c>
      <c r="O49" s="753"/>
      <c r="P49" s="753"/>
      <c r="Q49" s="416" t="s">
        <v>134</v>
      </c>
      <c r="R49" s="776"/>
      <c r="S49" s="776"/>
      <c r="T49" s="776"/>
      <c r="U49" s="416" t="s">
        <v>104</v>
      </c>
      <c r="V49" s="774" t="str">
        <f t="shared" si="13"/>
        <v/>
      </c>
      <c r="W49" s="774"/>
      <c r="X49" s="774"/>
      <c r="Y49" s="417" t="s">
        <v>140</v>
      </c>
      <c r="Z49" s="753" t="str">
        <f t="shared" si="14"/>
        <v/>
      </c>
      <c r="AA49" s="753"/>
      <c r="AB49" s="753"/>
      <c r="AC49" s="753"/>
      <c r="AD49" s="424"/>
      <c r="AO49" s="389"/>
    </row>
    <row r="50" spans="1:41" s="45" customFormat="1" ht="15.75" thickBot="1" x14ac:dyDescent="0.3">
      <c r="B50" s="806" t="s">
        <v>157</v>
      </c>
      <c r="C50" s="807"/>
      <c r="D50" s="731"/>
      <c r="E50" s="731"/>
      <c r="F50" s="814"/>
      <c r="G50" s="814"/>
      <c r="H50" s="443"/>
      <c r="I50" s="803" t="str">
        <f t="shared" si="11"/>
        <v/>
      </c>
      <c r="J50" s="803"/>
      <c r="K50" s="803"/>
      <c r="L50" s="803"/>
      <c r="M50" s="412" t="s">
        <v>140</v>
      </c>
      <c r="N50" s="802" t="str">
        <f t="shared" si="12"/>
        <v/>
      </c>
      <c r="O50" s="802"/>
      <c r="P50" s="802"/>
      <c r="Q50" s="420" t="s">
        <v>134</v>
      </c>
      <c r="R50" s="776"/>
      <c r="S50" s="776"/>
      <c r="T50" s="776"/>
      <c r="U50" s="420" t="s">
        <v>104</v>
      </c>
      <c r="V50" s="803" t="str">
        <f t="shared" si="13"/>
        <v/>
      </c>
      <c r="W50" s="803"/>
      <c r="X50" s="803"/>
      <c r="Y50" s="412" t="s">
        <v>140</v>
      </c>
      <c r="Z50" s="802" t="str">
        <f t="shared" si="14"/>
        <v/>
      </c>
      <c r="AA50" s="802"/>
      <c r="AB50" s="802"/>
      <c r="AC50" s="802"/>
      <c r="AD50" s="425"/>
      <c r="AO50" s="389"/>
    </row>
    <row r="51" spans="1:41" ht="18.75" thickBot="1" x14ac:dyDescent="0.4">
      <c r="B51" s="411"/>
      <c r="C51" s="395"/>
      <c r="D51" s="395"/>
      <c r="E51" s="395"/>
      <c r="F51" s="395"/>
      <c r="G51" s="395"/>
      <c r="H51" s="395"/>
      <c r="I51" s="395"/>
      <c r="J51" s="395"/>
      <c r="K51" s="395"/>
      <c r="L51" s="421"/>
      <c r="M51" s="421"/>
      <c r="N51" s="421"/>
      <c r="O51" s="813" t="s">
        <v>382</v>
      </c>
      <c r="P51" s="813"/>
      <c r="Q51" s="813"/>
      <c r="R51" s="813"/>
      <c r="S51" s="813"/>
      <c r="T51" s="813"/>
      <c r="U51" s="418" t="s">
        <v>104</v>
      </c>
      <c r="V51" s="804">
        <f>SQRT(SUM($BA$7:BA16)^2+SUM($BB$7:BB16)^2)</f>
        <v>0.27139628405730087</v>
      </c>
      <c r="W51" s="804"/>
      <c r="X51" s="804"/>
      <c r="Y51" s="415" t="s">
        <v>140</v>
      </c>
      <c r="Z51" s="811">
        <f>IF(V51=0,0,DEGREES(ATAN(SUM($BB$7:BB16)/SUM($BA$7:BA16))))</f>
        <v>2.0681416438520976</v>
      </c>
      <c r="AA51" s="811"/>
      <c r="AB51" s="811"/>
      <c r="AC51" s="811"/>
      <c r="AD51" s="812"/>
      <c r="AK51" s="182"/>
    </row>
    <row r="53" spans="1:41" s="45" customFormat="1" ht="21" customHeight="1" thickBot="1" x14ac:dyDescent="0.3">
      <c r="A53" s="11"/>
      <c r="B53" s="706" t="s">
        <v>209</v>
      </c>
      <c r="C53" s="706"/>
      <c r="D53" s="706"/>
      <c r="E53" s="706"/>
      <c r="F53" s="681" t="s">
        <v>104</v>
      </c>
      <c r="H53" s="11"/>
      <c r="I53" s="11"/>
      <c r="J53" s="627" t="s">
        <v>197</v>
      </c>
      <c r="K53" s="627"/>
      <c r="L53" s="627"/>
      <c r="M53" s="627"/>
      <c r="N53" s="627"/>
      <c r="O53" s="627"/>
      <c r="P53" s="627"/>
      <c r="Q53" s="627"/>
      <c r="R53" s="627"/>
      <c r="S53" s="627"/>
      <c r="T53" s="627"/>
      <c r="U53" s="627"/>
      <c r="V53" s="627"/>
      <c r="W53" s="12"/>
      <c r="X53" s="11"/>
      <c r="Y53" s="11"/>
      <c r="Z53" s="11"/>
    </row>
    <row r="54" spans="1:41" s="45" customFormat="1" ht="12" customHeight="1" x14ac:dyDescent="0.25">
      <c r="A54" s="694"/>
      <c r="B54" s="706"/>
      <c r="C54" s="706"/>
      <c r="D54" s="706"/>
      <c r="E54" s="706"/>
      <c r="F54" s="681"/>
      <c r="H54" s="154"/>
      <c r="I54" s="11"/>
      <c r="J54" s="623" t="s">
        <v>183</v>
      </c>
      <c r="K54" s="623"/>
      <c r="L54" s="623" t="s">
        <v>134</v>
      </c>
      <c r="M54" s="801" t="s">
        <v>161</v>
      </c>
      <c r="N54" s="623" t="str">
        <f>IF(H34="Transformer", "Z̅T", IF(H34="Beregnet","",))</f>
        <v/>
      </c>
      <c r="O54" s="623"/>
      <c r="P54" s="623" t="str">
        <f>IF(N54="","",AR3)</f>
        <v/>
      </c>
      <c r="Q54" s="623" t="s">
        <v>199</v>
      </c>
      <c r="R54" s="623"/>
      <c r="S54" s="756" t="s">
        <v>185</v>
      </c>
      <c r="T54" s="805" t="s">
        <v>205</v>
      </c>
      <c r="U54" s="798" t="s">
        <v>357</v>
      </c>
      <c r="V54" s="798"/>
      <c r="W54" s="798"/>
      <c r="X54" s="754" t="s">
        <v>162</v>
      </c>
      <c r="Y54" s="380"/>
      <c r="AB54" s="157"/>
      <c r="AC54" s="161"/>
      <c r="AD54" s="161"/>
      <c r="AE54" s="161"/>
      <c r="AG54" s="160"/>
      <c r="AH54" s="157"/>
      <c r="AI54" s="157"/>
      <c r="AJ54" s="157"/>
      <c r="AK54" s="176"/>
      <c r="AL54" s="157"/>
      <c r="AM54" s="293"/>
      <c r="AN54" s="157"/>
    </row>
    <row r="55" spans="1:41" s="45" customFormat="1" ht="8.1" customHeight="1" x14ac:dyDescent="0.25">
      <c r="A55" s="694"/>
      <c r="B55" s="706"/>
      <c r="C55" s="706"/>
      <c r="D55" s="706"/>
      <c r="E55" s="706"/>
      <c r="F55" s="681"/>
      <c r="H55" s="154"/>
      <c r="I55" s="11"/>
      <c r="J55" s="623"/>
      <c r="K55" s="623"/>
      <c r="L55" s="623"/>
      <c r="M55" s="801"/>
      <c r="N55" s="623"/>
      <c r="O55" s="623"/>
      <c r="P55" s="623"/>
      <c r="Q55" s="623"/>
      <c r="R55" s="623"/>
      <c r="S55" s="756"/>
      <c r="T55" s="805"/>
      <c r="U55" s="799"/>
      <c r="V55" s="799"/>
      <c r="W55" s="799"/>
      <c r="X55" s="754"/>
      <c r="Y55" s="380"/>
      <c r="AB55" s="157"/>
      <c r="AC55" s="161"/>
      <c r="AD55" s="161"/>
      <c r="AE55" s="161"/>
      <c r="AG55" s="160"/>
      <c r="AH55" s="157"/>
      <c r="AI55" s="157"/>
      <c r="AJ55" s="157"/>
      <c r="AK55" s="176"/>
      <c r="AL55" s="157"/>
      <c r="AM55" s="293"/>
      <c r="AN55" s="157"/>
    </row>
    <row r="56" spans="1:41" x14ac:dyDescent="0.25">
      <c r="H56" s="11"/>
      <c r="I56" s="11"/>
      <c r="L56" s="11"/>
      <c r="S56" s="11"/>
      <c r="T56" s="11"/>
    </row>
    <row r="57" spans="1:41" x14ac:dyDescent="0.25">
      <c r="B57" s="695" t="s">
        <v>184</v>
      </c>
      <c r="C57" s="695"/>
      <c r="D57" s="695"/>
      <c r="G57" s="155"/>
      <c r="K57" s="155"/>
      <c r="L57" s="161"/>
      <c r="N57" s="155"/>
      <c r="O57" s="155"/>
      <c r="R57" s="145"/>
    </row>
    <row r="58" spans="1:41" s="164" customFormat="1" x14ac:dyDescent="0.25">
      <c r="K58" s="45" t="s">
        <v>235</v>
      </c>
    </row>
    <row r="59" spans="1:41" s="164" customFormat="1" ht="15.75" thickBot="1" x14ac:dyDescent="0.3">
      <c r="B59" s="738">
        <v>400</v>
      </c>
      <c r="C59" s="738"/>
      <c r="D59" s="738"/>
      <c r="E59" s="738"/>
      <c r="F59" s="738"/>
      <c r="G59" s="738"/>
      <c r="H59" s="738"/>
      <c r="I59" s="738"/>
      <c r="J59" s="738"/>
      <c r="K59" s="738"/>
      <c r="L59" s="738"/>
      <c r="M59" s="738"/>
      <c r="N59" s="738"/>
      <c r="O59" s="738"/>
      <c r="P59" s="738"/>
      <c r="Q59" s="738"/>
      <c r="R59" s="738"/>
      <c r="S59" s="738"/>
      <c r="T59" s="738"/>
      <c r="U59" s="738"/>
      <c r="V59" s="738"/>
      <c r="W59" s="738"/>
      <c r="X59" s="738"/>
      <c r="Y59" s="738"/>
      <c r="Z59" s="738"/>
      <c r="AA59" s="738"/>
      <c r="AB59" s="738"/>
      <c r="AC59" s="189"/>
      <c r="AD59" s="188"/>
      <c r="AF59" s="681" t="s">
        <v>104</v>
      </c>
      <c r="AG59" s="797">
        <f>IF(M60="","",ROUND($B$59/(SQRT(3)*$AS$16),0))</f>
        <v>517</v>
      </c>
      <c r="AH59" s="797"/>
      <c r="AI59" s="797"/>
      <c r="AJ59" s="797"/>
      <c r="AK59" s="177"/>
      <c r="AO59" s="187"/>
    </row>
    <row r="60" spans="1:41" s="164" customFormat="1" ht="12" customHeight="1" x14ac:dyDescent="0.25">
      <c r="A60" s="741"/>
      <c r="B60" s="742" t="s">
        <v>183</v>
      </c>
      <c r="C60" s="743" t="s">
        <v>134</v>
      </c>
      <c r="D60" s="744" t="s">
        <v>161</v>
      </c>
      <c r="E60" s="743" t="str">
        <f>IF($H$34="Transformer",$BC$7,IF($H$34="Beregnet",""))</f>
        <v/>
      </c>
      <c r="F60" s="743"/>
      <c r="G60" s="745" t="str">
        <f>IF($N$54="","",AT3)</f>
        <v/>
      </c>
      <c r="H60" s="743" t="str">
        <f>IF($H$34="Transformer",$BD$7,IF($H$34="Beregnet",""))</f>
        <v/>
      </c>
      <c r="I60" s="743"/>
      <c r="J60" s="743"/>
      <c r="K60" s="743"/>
      <c r="L60" s="745" t="str">
        <f>IF($N$54="","",AR3)</f>
        <v/>
      </c>
      <c r="M60" s="747">
        <f>(IF($H$34="Transformer",$BE$7,IF($H$34="beregnet",$BE$10,)))</f>
        <v>0.18479999999999999</v>
      </c>
      <c r="N60" s="747"/>
      <c r="O60" s="747"/>
      <c r="P60" s="745" t="str">
        <f>IF($Q$54="","",AT3)</f>
        <v>Ð</v>
      </c>
      <c r="Q60" s="743">
        <f>IF(M60="","",IF($H$34="Transformer",$BF$7)+IF($H$34="Beregnet",$BF$10))</f>
        <v>25.841899999999999</v>
      </c>
      <c r="R60" s="743"/>
      <c r="S60" s="743"/>
      <c r="T60" s="749" t="str">
        <f>IF(U60="","",$AR$3)</f>
        <v>+</v>
      </c>
      <c r="U60" s="743">
        <f>IF($V$51=0,"",$V$51)</f>
        <v>0.27139628405730087</v>
      </c>
      <c r="V60" s="743"/>
      <c r="W60" s="743"/>
      <c r="X60" s="745" t="str">
        <f>IF(U60="","",$AT$3)</f>
        <v>Ð</v>
      </c>
      <c r="Y60" s="751">
        <f>IF($Z$51=0,"",$Z$51)</f>
        <v>2.0681416438520976</v>
      </c>
      <c r="Z60" s="751"/>
      <c r="AA60" s="751"/>
      <c r="AB60" s="751"/>
      <c r="AC60" s="751"/>
      <c r="AD60" s="752"/>
      <c r="AF60" s="739"/>
      <c r="AG60" s="797"/>
      <c r="AH60" s="797"/>
      <c r="AI60" s="797"/>
      <c r="AJ60" s="797"/>
      <c r="AK60" s="177"/>
      <c r="AL60" s="165"/>
      <c r="AM60" s="292"/>
      <c r="AN60" s="187"/>
      <c r="AO60" s="187"/>
    </row>
    <row r="61" spans="1:41" s="164" customFormat="1" ht="8.1" customHeight="1" x14ac:dyDescent="0.25">
      <c r="A61" s="741"/>
      <c r="B61" s="742"/>
      <c r="C61" s="739"/>
      <c r="D61" s="706"/>
      <c r="E61" s="739"/>
      <c r="F61" s="739"/>
      <c r="G61" s="746"/>
      <c r="H61" s="742"/>
      <c r="I61" s="742"/>
      <c r="J61" s="742"/>
      <c r="K61" s="742"/>
      <c r="L61" s="746"/>
      <c r="M61" s="748"/>
      <c r="N61" s="748"/>
      <c r="O61" s="748"/>
      <c r="P61" s="746"/>
      <c r="Q61" s="742"/>
      <c r="R61" s="742"/>
      <c r="S61" s="742"/>
      <c r="T61" s="750"/>
      <c r="U61" s="742"/>
      <c r="V61" s="742"/>
      <c r="W61" s="742"/>
      <c r="X61" s="746"/>
      <c r="Y61" s="751"/>
      <c r="Z61" s="751"/>
      <c r="AA61" s="751"/>
      <c r="AB61" s="751"/>
      <c r="AC61" s="751"/>
      <c r="AD61" s="752"/>
      <c r="AF61" s="739"/>
      <c r="AG61" s="797"/>
      <c r="AH61" s="797"/>
      <c r="AI61" s="797"/>
      <c r="AJ61" s="797"/>
      <c r="AK61" s="177"/>
      <c r="AL61" s="165"/>
      <c r="AM61" s="292"/>
      <c r="AN61" s="187"/>
      <c r="AO61" s="187"/>
    </row>
    <row r="63" spans="1:41" s="164" customFormat="1" ht="15.75" hidden="1" thickBot="1" x14ac:dyDescent="0.3">
      <c r="B63" s="738">
        <v>400</v>
      </c>
      <c r="C63" s="738"/>
      <c r="D63" s="738"/>
      <c r="E63" s="738"/>
      <c r="F63" s="738"/>
      <c r="G63" s="738"/>
      <c r="H63" s="738"/>
      <c r="I63" s="738"/>
      <c r="J63" s="738"/>
      <c r="K63" s="738"/>
      <c r="L63" s="738"/>
      <c r="M63" s="738"/>
      <c r="N63" s="738"/>
      <c r="O63" s="738"/>
      <c r="P63" s="738"/>
      <c r="Q63" s="738"/>
      <c r="R63" s="738"/>
      <c r="S63" s="738"/>
      <c r="T63" s="738"/>
      <c r="U63" s="738"/>
      <c r="V63" s="738"/>
      <c r="W63" s="738"/>
      <c r="X63" s="738"/>
      <c r="Y63" s="738"/>
      <c r="Z63" s="738"/>
      <c r="AA63" s="738"/>
      <c r="AB63" s="738"/>
      <c r="AC63" s="189"/>
      <c r="AD63" s="188"/>
      <c r="AF63" s="681" t="s">
        <v>104</v>
      </c>
      <c r="AG63" s="740">
        <f>IF(M64="","",ROUND($B$59/(SQRT(3)*$AS$16),2)*10^-3)</f>
        <v>0.51690999999999998</v>
      </c>
      <c r="AH63" s="740"/>
      <c r="AI63" s="740"/>
      <c r="AJ63" s="740"/>
      <c r="AK63" s="177"/>
      <c r="AO63" s="187"/>
    </row>
    <row r="64" spans="1:41" s="164" customFormat="1" ht="12" hidden="1" customHeight="1" x14ac:dyDescent="0.25">
      <c r="A64" s="741"/>
      <c r="B64" s="742" t="s">
        <v>183</v>
      </c>
      <c r="C64" s="743" t="s">
        <v>134</v>
      </c>
      <c r="D64" s="744" t="s">
        <v>161</v>
      </c>
      <c r="E64" s="743" t="str">
        <f>IF($H$34="Transformer",$BC$7,IF($H$34="Beregnet",""))</f>
        <v/>
      </c>
      <c r="F64" s="743"/>
      <c r="G64" s="745" t="str">
        <f>IF($N$54="","",AT3)</f>
        <v/>
      </c>
      <c r="H64" s="743" t="str">
        <f>IF($H$34="Transformer",$BD$7,IF($H$34="Beregnet",""))</f>
        <v/>
      </c>
      <c r="I64" s="743"/>
      <c r="J64" s="743"/>
      <c r="K64" s="743"/>
      <c r="L64" s="745" t="str">
        <f>IF($N$54="","",AR3)</f>
        <v/>
      </c>
      <c r="M64" s="747">
        <f>(IF($H$34="Transformer",$BE$7,IF($H$34="beregnet",$BE$10,)))</f>
        <v>0.18479999999999999</v>
      </c>
      <c r="N64" s="747"/>
      <c r="O64" s="747"/>
      <c r="P64" s="745" t="str">
        <f>IF($Q$54="","",AT3)</f>
        <v>Ð</v>
      </c>
      <c r="Q64" s="743">
        <f>IF(M64="","",IF($H$34="Transformer",$BF$7)+IF($H$34="Beregnet",$BF$10))</f>
        <v>25.841899999999999</v>
      </c>
      <c r="R64" s="743"/>
      <c r="S64" s="743"/>
      <c r="T64" s="749" t="str">
        <f>IF(U64="","",$AR$3)</f>
        <v>+</v>
      </c>
      <c r="U64" s="743">
        <f>IF($V$51=0,"",$V$51)</f>
        <v>0.27139628405730087</v>
      </c>
      <c r="V64" s="743"/>
      <c r="W64" s="743"/>
      <c r="X64" s="745" t="str">
        <f>IF(U64="","",$AT$3)</f>
        <v>Ð</v>
      </c>
      <c r="Y64" s="751">
        <f>IF($Z$51=0,"",$Z$51)</f>
        <v>2.0681416438520976</v>
      </c>
      <c r="Z64" s="751"/>
      <c r="AA64" s="751"/>
      <c r="AB64" s="751"/>
      <c r="AC64" s="751"/>
      <c r="AD64" s="752"/>
      <c r="AF64" s="739"/>
      <c r="AG64" s="740"/>
      <c r="AH64" s="740"/>
      <c r="AI64" s="740"/>
      <c r="AJ64" s="740"/>
      <c r="AK64" s="177"/>
      <c r="AL64" s="201"/>
      <c r="AM64" s="292"/>
      <c r="AN64" s="187"/>
      <c r="AO64" s="187"/>
    </row>
    <row r="65" spans="1:41" s="164" customFormat="1" ht="8.1" hidden="1" customHeight="1" x14ac:dyDescent="0.25">
      <c r="A65" s="741"/>
      <c r="B65" s="742"/>
      <c r="C65" s="739"/>
      <c r="D65" s="706"/>
      <c r="E65" s="739"/>
      <c r="F65" s="739"/>
      <c r="G65" s="746"/>
      <c r="H65" s="742"/>
      <c r="I65" s="742"/>
      <c r="J65" s="742"/>
      <c r="K65" s="742"/>
      <c r="L65" s="746"/>
      <c r="M65" s="748"/>
      <c r="N65" s="748"/>
      <c r="O65" s="748"/>
      <c r="P65" s="746"/>
      <c r="Q65" s="742"/>
      <c r="R65" s="742"/>
      <c r="S65" s="742"/>
      <c r="T65" s="750"/>
      <c r="U65" s="742"/>
      <c r="V65" s="742"/>
      <c r="W65" s="742"/>
      <c r="X65" s="746"/>
      <c r="Y65" s="751"/>
      <c r="Z65" s="751"/>
      <c r="AA65" s="751"/>
      <c r="AB65" s="751"/>
      <c r="AC65" s="751"/>
      <c r="AD65" s="752"/>
      <c r="AF65" s="739"/>
      <c r="AG65" s="740"/>
      <c r="AH65" s="740"/>
      <c r="AI65" s="740"/>
      <c r="AJ65" s="740"/>
      <c r="AK65" s="177"/>
      <c r="AL65" s="201"/>
      <c r="AM65" s="292"/>
      <c r="AN65" s="187"/>
      <c r="AO65" s="187"/>
    </row>
  </sheetData>
  <mergeCells count="182">
    <mergeCell ref="Z48:AC48"/>
    <mergeCell ref="Z49:AC49"/>
    <mergeCell ref="Z50:AC50"/>
    <mergeCell ref="Z51:AD51"/>
    <mergeCell ref="O51:T51"/>
    <mergeCell ref="F50:G50"/>
    <mergeCell ref="I41:L41"/>
    <mergeCell ref="I42:L42"/>
    <mergeCell ref="I43:L43"/>
    <mergeCell ref="I44:L44"/>
    <mergeCell ref="I45:L45"/>
    <mergeCell ref="I46:L46"/>
    <mergeCell ref="I47:L47"/>
    <mergeCell ref="I48:L48"/>
    <mergeCell ref="I49:L49"/>
    <mergeCell ref="I50:L50"/>
    <mergeCell ref="F41:G41"/>
    <mergeCell ref="F42:G42"/>
    <mergeCell ref="F43:G43"/>
    <mergeCell ref="F44:G44"/>
    <mergeCell ref="F45:G45"/>
    <mergeCell ref="F46:G46"/>
    <mergeCell ref="E23:E24"/>
    <mergeCell ref="L23:N24"/>
    <mergeCell ref="Q23:S24"/>
    <mergeCell ref="A26:B26"/>
    <mergeCell ref="A29:A30"/>
    <mergeCell ref="D44:E44"/>
    <mergeCell ref="D45:E45"/>
    <mergeCell ref="Z46:AC46"/>
    <mergeCell ref="Z47:AC47"/>
    <mergeCell ref="Z42:AC42"/>
    <mergeCell ref="Z43:AC43"/>
    <mergeCell ref="V43:X43"/>
    <mergeCell ref="B43:C43"/>
    <mergeCell ref="B44:C44"/>
    <mergeCell ref="B45:C45"/>
    <mergeCell ref="B57:D57"/>
    <mergeCell ref="Q60:S61"/>
    <mergeCell ref="U60:W61"/>
    <mergeCell ref="U54:W55"/>
    <mergeCell ref="J54:K55"/>
    <mergeCell ref="N54:O55"/>
    <mergeCell ref="F47:G47"/>
    <mergeCell ref="F48:G48"/>
    <mergeCell ref="F49:G49"/>
    <mergeCell ref="V47:X47"/>
    <mergeCell ref="N47:P47"/>
    <mergeCell ref="J53:V53"/>
    <mergeCell ref="L54:L55"/>
    <mergeCell ref="M54:M55"/>
    <mergeCell ref="V48:X48"/>
    <mergeCell ref="V49:X49"/>
    <mergeCell ref="N50:P50"/>
    <mergeCell ref="V50:X50"/>
    <mergeCell ref="N48:P48"/>
    <mergeCell ref="N49:P49"/>
    <mergeCell ref="V51:X51"/>
    <mergeCell ref="Q54:R55"/>
    <mergeCell ref="T54:T55"/>
    <mergeCell ref="B50:C50"/>
    <mergeCell ref="AG59:AJ61"/>
    <mergeCell ref="A60:A61"/>
    <mergeCell ref="B60:B61"/>
    <mergeCell ref="C60:C61"/>
    <mergeCell ref="D60:D61"/>
    <mergeCell ref="L60:L61"/>
    <mergeCell ref="M60:O61"/>
    <mergeCell ref="P60:P61"/>
    <mergeCell ref="T60:T61"/>
    <mergeCell ref="X60:X61"/>
    <mergeCell ref="Y60:AC61"/>
    <mergeCell ref="AD60:AD61"/>
    <mergeCell ref="AF59:AF61"/>
    <mergeCell ref="B59:AB59"/>
    <mergeCell ref="E60:F61"/>
    <mergeCell ref="G60:G61"/>
    <mergeCell ref="H60:K61"/>
    <mergeCell ref="H18:M18"/>
    <mergeCell ref="A54:A55"/>
    <mergeCell ref="S54:S55"/>
    <mergeCell ref="P54:P55"/>
    <mergeCell ref="X54:X55"/>
    <mergeCell ref="B46:C46"/>
    <mergeCell ref="B47:C47"/>
    <mergeCell ref="B48:C48"/>
    <mergeCell ref="B49:C49"/>
    <mergeCell ref="D46:E46"/>
    <mergeCell ref="D47:E47"/>
    <mergeCell ref="D48:E48"/>
    <mergeCell ref="D49:E49"/>
    <mergeCell ref="B22:X22"/>
    <mergeCell ref="F29:F30"/>
    <mergeCell ref="M29:M30"/>
    <mergeCell ref="A23:A24"/>
    <mergeCell ref="D23:D24"/>
    <mergeCell ref="F23:F24"/>
    <mergeCell ref="F53:F55"/>
    <mergeCell ref="B53:E55"/>
    <mergeCell ref="B23:C24"/>
    <mergeCell ref="B29:C30"/>
    <mergeCell ref="V46:X46"/>
    <mergeCell ref="AK29:AK30"/>
    <mergeCell ref="B28:AJ28"/>
    <mergeCell ref="AG29:AG30"/>
    <mergeCell ref="Y29:Y30"/>
    <mergeCell ref="S29:S30"/>
    <mergeCell ref="T29:U30"/>
    <mergeCell ref="Z29:AC30"/>
    <mergeCell ref="D41:E41"/>
    <mergeCell ref="D42:E42"/>
    <mergeCell ref="V41:X41"/>
    <mergeCell ref="V42:X42"/>
    <mergeCell ref="AH29:AJ30"/>
    <mergeCell ref="AD29:AF30"/>
    <mergeCell ref="B41:C41"/>
    <mergeCell ref="B42:C42"/>
    <mergeCell ref="N29:O30"/>
    <mergeCell ref="D50:E50"/>
    <mergeCell ref="R41:T41"/>
    <mergeCell ref="R42:T42"/>
    <mergeCell ref="R43:T43"/>
    <mergeCell ref="R44:T44"/>
    <mergeCell ref="R45:T45"/>
    <mergeCell ref="R46:T46"/>
    <mergeCell ref="R47:T47"/>
    <mergeCell ref="R48:T48"/>
    <mergeCell ref="R49:T49"/>
    <mergeCell ref="R50:T50"/>
    <mergeCell ref="N44:P44"/>
    <mergeCell ref="N45:P45"/>
    <mergeCell ref="N41:P41"/>
    <mergeCell ref="N42:P42"/>
    <mergeCell ref="N46:P46"/>
    <mergeCell ref="X64:X65"/>
    <mergeCell ref="Y64:AC65"/>
    <mergeCell ref="AD64:AD65"/>
    <mergeCell ref="Z44:AC44"/>
    <mergeCell ref="Z45:AC45"/>
    <mergeCell ref="Y23:Y24"/>
    <mergeCell ref="G23:H24"/>
    <mergeCell ref="N43:P43"/>
    <mergeCell ref="D43:E43"/>
    <mergeCell ref="V23:X24"/>
    <mergeCell ref="J29:L30"/>
    <mergeCell ref="H34:M34"/>
    <mergeCell ref="C32:E32"/>
    <mergeCell ref="G29:I30"/>
    <mergeCell ref="J23:K24"/>
    <mergeCell ref="O23:P24"/>
    <mergeCell ref="T23:U24"/>
    <mergeCell ref="E29:E30"/>
    <mergeCell ref="D29:D30"/>
    <mergeCell ref="P29:R30"/>
    <mergeCell ref="V29:X30"/>
    <mergeCell ref="V44:X44"/>
    <mergeCell ref="V45:X45"/>
    <mergeCell ref="Z41:AC41"/>
    <mergeCell ref="A1:AK1"/>
    <mergeCell ref="A35:AK35"/>
    <mergeCell ref="B36:E36"/>
    <mergeCell ref="B40:H40"/>
    <mergeCell ref="I40:P40"/>
    <mergeCell ref="V40:AD40"/>
    <mergeCell ref="R40:T40"/>
    <mergeCell ref="B20:E20"/>
    <mergeCell ref="B63:AB63"/>
    <mergeCell ref="AF63:AF65"/>
    <mergeCell ref="AG63:AJ65"/>
    <mergeCell ref="A64:A65"/>
    <mergeCell ref="B64:B65"/>
    <mergeCell ref="C64:C65"/>
    <mergeCell ref="D64:D65"/>
    <mergeCell ref="E64:F65"/>
    <mergeCell ref="G64:G65"/>
    <mergeCell ref="H64:K65"/>
    <mergeCell ref="L64:L65"/>
    <mergeCell ref="M64:O65"/>
    <mergeCell ref="P64:P65"/>
    <mergeCell ref="Q64:S65"/>
    <mergeCell ref="T64:T65"/>
    <mergeCell ref="U64:W65"/>
  </mergeCells>
  <dataValidations count="2">
    <dataValidation type="list" allowBlank="1" showInputMessage="1" showErrorMessage="1" sqref="Q23 L23 V23 D41:D50" xr:uid="{00000000-0002-0000-0300-000000000000}">
      <formula1>$AN$6:$AN$16</formula1>
    </dataValidation>
    <dataValidation type="list" allowBlank="1" showInputMessage="1" showErrorMessage="1" sqref="H18:I18 H34:I34" xr:uid="{00000000-0002-0000-0300-000001000000}">
      <formula1>$AN$3:$AN$4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6"/>
  <dimension ref="A1:AC41"/>
  <sheetViews>
    <sheetView workbookViewId="0">
      <selection activeCell="B9" sqref="B9"/>
    </sheetView>
  </sheetViews>
  <sheetFormatPr defaultRowHeight="15" x14ac:dyDescent="0.25"/>
  <cols>
    <col min="4" max="4" width="12" bestFit="1" customWidth="1"/>
  </cols>
  <sheetData>
    <row r="1" spans="1:13" x14ac:dyDescent="0.25">
      <c r="B1" s="816" t="s">
        <v>93</v>
      </c>
      <c r="C1" s="816"/>
      <c r="D1" s="816"/>
      <c r="E1" s="816"/>
      <c r="F1" s="816" t="s">
        <v>94</v>
      </c>
      <c r="G1" s="816"/>
      <c r="H1" s="816"/>
      <c r="I1" s="816"/>
      <c r="J1" s="695"/>
      <c r="K1" s="695"/>
      <c r="L1" s="695"/>
      <c r="M1" s="695"/>
    </row>
    <row r="2" spans="1:13" x14ac:dyDescent="0.25">
      <c r="A2" t="s">
        <v>49</v>
      </c>
      <c r="B2" s="13" t="s">
        <v>83</v>
      </c>
      <c r="C2" s="13" t="s">
        <v>84</v>
      </c>
      <c r="D2" s="13" t="s">
        <v>85</v>
      </c>
      <c r="E2" s="13" t="s">
        <v>86</v>
      </c>
      <c r="F2" s="14" t="s">
        <v>87</v>
      </c>
      <c r="G2" s="13" t="s">
        <v>88</v>
      </c>
      <c r="H2" s="13" t="s">
        <v>89</v>
      </c>
      <c r="I2" s="13" t="s">
        <v>90</v>
      </c>
    </row>
    <row r="3" spans="1:13" x14ac:dyDescent="0.25">
      <c r="B3" s="13" t="e">
        <f>Transformer!#REF!</f>
        <v>#REF!</v>
      </c>
      <c r="C3" s="13" t="e">
        <f>Transformer!#REF!</f>
        <v>#REF!</v>
      </c>
      <c r="D3" s="13" t="e">
        <f>B3*COS(RADIANS(C3))</f>
        <v>#REF!</v>
      </c>
      <c r="E3" s="13" t="e">
        <f>B3*SIN(RADIANS(C3))</f>
        <v>#REF!</v>
      </c>
      <c r="F3" s="14" t="e">
        <f>Transformer!#REF!</f>
        <v>#REF!</v>
      </c>
      <c r="G3" s="13" t="e">
        <f>Transformer!#REF!</f>
        <v>#REF!</v>
      </c>
      <c r="H3" s="13" t="e">
        <f>F3*COS(RADIANS(G3))</f>
        <v>#REF!</v>
      </c>
      <c r="I3" s="13" t="e">
        <f>F3*SIN(RADIANS(G3))</f>
        <v>#REF!</v>
      </c>
    </row>
    <row r="4" spans="1:13" x14ac:dyDescent="0.25">
      <c r="B4" s="816" t="s">
        <v>95</v>
      </c>
      <c r="C4" s="816"/>
      <c r="D4" s="816"/>
      <c r="E4" s="816"/>
      <c r="F4" s="816" t="s">
        <v>91</v>
      </c>
      <c r="G4" s="816"/>
      <c r="H4" s="816"/>
      <c r="I4" s="816"/>
      <c r="J4" s="816" t="s">
        <v>92</v>
      </c>
      <c r="K4" s="816"/>
      <c r="L4" s="816"/>
      <c r="M4" s="816"/>
    </row>
    <row r="5" spans="1:13" x14ac:dyDescent="0.25">
      <c r="A5" t="s">
        <v>52</v>
      </c>
      <c r="B5" s="13" t="s">
        <v>52</v>
      </c>
      <c r="C5" s="13" t="s">
        <v>50</v>
      </c>
      <c r="D5" s="13" t="s">
        <v>59</v>
      </c>
      <c r="E5" s="13" t="s">
        <v>60</v>
      </c>
      <c r="F5" s="14" t="s">
        <v>87</v>
      </c>
      <c r="G5" s="13" t="s">
        <v>88</v>
      </c>
      <c r="H5" s="13" t="s">
        <v>89</v>
      </c>
      <c r="I5" s="13" t="s">
        <v>90</v>
      </c>
      <c r="J5" s="14" t="s">
        <v>87</v>
      </c>
      <c r="K5" s="13" t="s">
        <v>88</v>
      </c>
      <c r="L5" s="13" t="s">
        <v>89</v>
      </c>
      <c r="M5" s="13" t="s">
        <v>90</v>
      </c>
    </row>
    <row r="6" spans="1:13" x14ac:dyDescent="0.25">
      <c r="B6" s="13" t="e">
        <f>Transformer!#REF!</f>
        <v>#REF!</v>
      </c>
      <c r="C6" s="13" t="e">
        <f>Transformer!#REF!</f>
        <v>#REF!</v>
      </c>
      <c r="D6" s="13">
        <f>Transformer!U24</f>
        <v>0</v>
      </c>
      <c r="E6" s="13" t="e">
        <f>B6*SIN(RADIANS(C6))</f>
        <v>#REF!</v>
      </c>
      <c r="F6" s="14" t="e">
        <f>Transformer!#REF!</f>
        <v>#REF!</v>
      </c>
      <c r="G6" s="13" t="e">
        <f>Transformer!#REF!</f>
        <v>#REF!</v>
      </c>
      <c r="H6" s="13" t="e">
        <f>F6*COS(RADIANS(G6))</f>
        <v>#REF!</v>
      </c>
      <c r="I6" s="13" t="e">
        <f>F6*SIN(RADIANS(G6))</f>
        <v>#REF!</v>
      </c>
      <c r="J6" s="14" t="e">
        <f>Transformer!#REF!</f>
        <v>#REF!</v>
      </c>
      <c r="K6" s="13" t="e">
        <f>Transformer!#REF!</f>
        <v>#REF!</v>
      </c>
      <c r="L6" s="13" t="e">
        <f>J6*COS(RADIANS(K6))</f>
        <v>#REF!</v>
      </c>
      <c r="M6" s="13" t="e">
        <f>J6*SIN(RADIANS(K6))</f>
        <v>#REF!</v>
      </c>
    </row>
    <row r="8" spans="1:13" x14ac:dyDescent="0.25">
      <c r="A8" t="s">
        <v>53</v>
      </c>
      <c r="B8" t="s">
        <v>57</v>
      </c>
      <c r="C8" t="s">
        <v>4</v>
      </c>
      <c r="D8" t="s">
        <v>58</v>
      </c>
      <c r="E8" t="s">
        <v>4</v>
      </c>
    </row>
    <row r="9" spans="1:13" x14ac:dyDescent="0.25">
      <c r="B9" t="e">
        <f>(VLOOKUP(KabelData!B4,Kabel!$C$5:$K$74,2,))*10^-3*KabelData!B7/KabelData!B8</f>
        <v>#N/A</v>
      </c>
      <c r="C9" t="e">
        <f>(VLOOKUP(KabelData!B4,Kabel!$C$5:$K$74,3,))*10^-3*KabelData!B7/KabelData!B8</f>
        <v>#N/A</v>
      </c>
      <c r="D9" t="e">
        <f>(VLOOKUP(KabelData!B4,Kabel!$C$5:$K$74,8,))*10^-3*KabelData!B7/KabelData!B8</f>
        <v>#N/A</v>
      </c>
      <c r="E9" t="e">
        <f>(VLOOKUP(KabelData!B4,Kabel!$C$5:$K$74,9,))*10^-3*KabelData!B7/KabelData!B8</f>
        <v>#N/A</v>
      </c>
    </row>
    <row r="10" spans="1:13" x14ac:dyDescent="0.25">
      <c r="H10" t="e">
        <f>(VLOOKUP(KabelData!B4,Kabel!$C$5:$K$46,5,))</f>
        <v>#N/A</v>
      </c>
    </row>
    <row r="11" spans="1:13" x14ac:dyDescent="0.25">
      <c r="A11" t="s">
        <v>54</v>
      </c>
      <c r="H11" t="e">
        <f>(VLOOKUP(KabelData!B4,Kabel!$C$5:$K$46,7,))</f>
        <v>#N/A</v>
      </c>
    </row>
    <row r="12" spans="1:13" x14ac:dyDescent="0.25">
      <c r="B12" t="e">
        <f>(VLOOKUP(KabelData!$F$4,Kabel!$C$5:$K$74,2,))*10^-3*KabelData!$F$7/KabelData!$F$8</f>
        <v>#N/A</v>
      </c>
      <c r="C12" t="e">
        <f>(VLOOKUP(KabelData!$F$4,Kabel!$C$5:$K$74,3,))*10^-3*KabelData!$F$7/KabelData!$F$8</f>
        <v>#N/A</v>
      </c>
      <c r="D12" t="e">
        <f>(VLOOKUP(KabelData!$F$4,Kabel!$C$5:$K$74,8,))*10^-3*KabelData!$F$7/KabelData!$F$8</f>
        <v>#N/A</v>
      </c>
      <c r="E12" t="e">
        <f>(VLOOKUP(KabelData!$F$4,Kabel!$C$5:$K$74,9,))*10^-3*KabelData!$F$7/KabelData!$F$8</f>
        <v>#N/A</v>
      </c>
    </row>
    <row r="14" spans="1:13" x14ac:dyDescent="0.25">
      <c r="A14" t="s">
        <v>55</v>
      </c>
    </row>
    <row r="15" spans="1:13" x14ac:dyDescent="0.25">
      <c r="B15" t="e">
        <f>(VLOOKUP(KabelData!$J$4,Kabel!$C$5:$K$74,2,))*10^-3*KabelData!$J$7/KabelData!$J$8</f>
        <v>#N/A</v>
      </c>
      <c r="C15" t="e">
        <f>(VLOOKUP(KabelData!$J$4,Kabel!$C$5:$K$74,3,))*10^-3*KabelData!$J$7/KabelData!$J$8</f>
        <v>#N/A</v>
      </c>
      <c r="D15" t="e">
        <f>(VLOOKUP(KabelData!$J$4,Kabel!$C$5:$K$74,8,))*10^-3*KabelData!$J$7/KabelData!$J$8</f>
        <v>#N/A</v>
      </c>
      <c r="E15" t="e">
        <f>(VLOOKUP(KabelData!$J$4,Kabel!$C$5:$K$74,9,))*10^-3*KabelData!$J$7/KabelData!$J$8</f>
        <v>#N/A</v>
      </c>
    </row>
    <row r="17" spans="1:29" x14ac:dyDescent="0.25">
      <c r="A17" t="s">
        <v>56</v>
      </c>
    </row>
    <row r="18" spans="1:29" x14ac:dyDescent="0.25">
      <c r="B18" t="e">
        <f>(VLOOKUP(KabelData!$N$4,Kabel!$C$5:$K$74,2,))*10^-3*KabelData!$N$7/KabelData!$N$8</f>
        <v>#N/A</v>
      </c>
      <c r="C18" t="e">
        <f>(VLOOKUP(KabelData!$N$4,Kabel!$C$5:$K$74,3,))*10^-3*KabelData!$N$7/KabelData!$N$8</f>
        <v>#N/A</v>
      </c>
      <c r="D18" t="e">
        <f>(VLOOKUP(KabelData!$N$4,Kabel!$C$5:$K$74,8,))*10^-3*KabelData!$N$7/KabelData!$N$8</f>
        <v>#N/A</v>
      </c>
      <c r="E18" t="e">
        <f>(VLOOKUP(KabelData!$N$4,Kabel!$C$5:$K$74,9,))*10^-3*KabelData!$N$7/KabelData!$N$8</f>
        <v>#N/A</v>
      </c>
    </row>
    <row r="19" spans="1:29" ht="15.75" thickBot="1" x14ac:dyDescent="0.3">
      <c r="A19" s="627" t="s">
        <v>72</v>
      </c>
      <c r="B19" s="627"/>
      <c r="C19" s="627"/>
      <c r="D19" s="627"/>
      <c r="E19" s="627"/>
      <c r="G19" s="627" t="s">
        <v>71</v>
      </c>
      <c r="H19" s="627"/>
      <c r="I19" s="627"/>
      <c r="J19" s="627"/>
      <c r="K19" s="627"/>
      <c r="M19" s="627" t="s">
        <v>70</v>
      </c>
      <c r="N19" s="627"/>
      <c r="O19" s="627"/>
      <c r="P19" s="627"/>
      <c r="Q19" s="627"/>
      <c r="S19" s="627" t="s">
        <v>101</v>
      </c>
      <c r="T19" s="627"/>
      <c r="U19" s="627"/>
      <c r="V19" s="627"/>
      <c r="W19" s="627"/>
      <c r="Y19" s="694"/>
      <c r="Z19" s="694"/>
      <c r="AA19" s="694"/>
      <c r="AB19" s="694"/>
      <c r="AC19" s="694"/>
    </row>
    <row r="20" spans="1:29" x14ac:dyDescent="0.25">
      <c r="A20" s="17"/>
      <c r="B20" s="18" t="s">
        <v>57</v>
      </c>
      <c r="C20" s="18" t="s">
        <v>4</v>
      </c>
      <c r="D20" s="18" t="s">
        <v>58</v>
      </c>
      <c r="E20" s="19" t="s">
        <v>4</v>
      </c>
      <c r="G20" s="17"/>
      <c r="H20" s="18" t="s">
        <v>57</v>
      </c>
      <c r="I20" s="18" t="s">
        <v>4</v>
      </c>
      <c r="J20" s="18" t="s">
        <v>58</v>
      </c>
      <c r="K20" s="19" t="s">
        <v>4</v>
      </c>
      <c r="M20" s="17"/>
      <c r="N20" s="18" t="s">
        <v>57</v>
      </c>
      <c r="O20" s="18" t="s">
        <v>4</v>
      </c>
      <c r="P20" s="18" t="s">
        <v>58</v>
      </c>
      <c r="Q20" s="19" t="s">
        <v>4</v>
      </c>
      <c r="S20" s="17"/>
      <c r="T20" s="18" t="s">
        <v>57</v>
      </c>
      <c r="U20" s="18" t="s">
        <v>4</v>
      </c>
      <c r="V20" s="18" t="s">
        <v>58</v>
      </c>
      <c r="W20" s="19" t="s">
        <v>4</v>
      </c>
      <c r="Y20" s="11"/>
      <c r="Z20" s="11"/>
      <c r="AA20" s="11"/>
      <c r="AB20" s="11"/>
      <c r="AC20" s="11"/>
    </row>
    <row r="21" spans="1:29" x14ac:dyDescent="0.25">
      <c r="A21" s="20" t="s">
        <v>61</v>
      </c>
      <c r="B21" s="10" t="e">
        <f>$D$3+$D$6+$B$9+$B$12+$B$15+$B$18+$B$26+$B$29+$B$32+$B$35+$B$38+$B$41</f>
        <v>#REF!</v>
      </c>
      <c r="C21" s="10" t="e">
        <f>$E$3+$E$6+$C$9+$C$12+$C$15+$C$18+$C$26+$C$29+$C$32+$C$35+$C$38+$C$41</f>
        <v>#REF!</v>
      </c>
      <c r="D21" s="10" t="e">
        <f>$H$3+$D$6+$D$9+$D$12+$D$15+$D$18+$D$26+$D$29+$D$32+$D$35+$D$38+$D$41</f>
        <v>#REF!</v>
      </c>
      <c r="E21" s="21" t="e">
        <f>$I$3+$E$6+$E$9+$E$12+$E$15+$E$18+$E$26+$E$29+$E$32+$E$35+$E$38+$E$41</f>
        <v>#REF!</v>
      </c>
      <c r="G21" s="20" t="s">
        <v>61</v>
      </c>
      <c r="H21" s="10" t="e">
        <f>$D$6+$B$9+$B$12+$B$15+$B$18+$B$26+$B$29+$B$32+$B$35+$B$38+$B$41</f>
        <v>#N/A</v>
      </c>
      <c r="I21" s="10" t="e">
        <f>$E$6+$C$9+$C$12+$C$15+$C$18+$C$26+$C$29+$C$32+$C$35+$C$38+$C$41</f>
        <v>#REF!</v>
      </c>
      <c r="J21" s="10" t="e">
        <f>$D$6+$D$9+$D$12+$D$15+$D$18+$D$26+$D$29+$D$32+$D$35+$D$38+$D$41</f>
        <v>#N/A</v>
      </c>
      <c r="K21" s="21" t="e">
        <f>$E$6+$E$9+$E$12+$E$15+$E$18+$E$26+$E$29+$E$32+$E$35+$E$38+$E$41</f>
        <v>#REF!</v>
      </c>
      <c r="M21" s="20" t="s">
        <v>61</v>
      </c>
      <c r="N21" s="10" t="e">
        <f>$D$9+$B$12+$B$15+$B$18+$B$26+$B$29+$B$32+$B$35+$B$38+$B$41</f>
        <v>#N/A</v>
      </c>
      <c r="O21" s="10" t="e">
        <f>$E$9+$C$12+$C$15+$C$18+$C$26+$C$29+$C$32+$C$35+$C$38+$C$41</f>
        <v>#N/A</v>
      </c>
      <c r="P21" s="10" t="e">
        <f>$D$9+$D$12+$D$15+$D$18+$D$26+$D$29+$D$32+$D$35+$D$38+$D$41</f>
        <v>#N/A</v>
      </c>
      <c r="Q21" s="21" t="e">
        <f>$E$9+$E$12+$E$15+$E$18+$E$26+$E$29+$E$32+$E$35+$E$38+$E$41</f>
        <v>#N/A</v>
      </c>
      <c r="S21" s="20" t="s">
        <v>61</v>
      </c>
      <c r="T21" s="10" t="e">
        <f>$H$6+$B$9+$B$12+$B$15+$B$18+$B$26+$B$29+$B$32+$B$35+$B$38+$B$41</f>
        <v>#REF!</v>
      </c>
      <c r="U21" s="10" t="e">
        <f>$I$6+$C$9+$C$12+$C$15+$C$18+$C$26+$C$29+$C$32+$C$35+$C$38+$C$41</f>
        <v>#REF!</v>
      </c>
      <c r="V21" s="10" t="e">
        <f>$L$6+$D$9+$D$12+$D$15+$D$18+$D$26+$D$29+$D$32+$D$35+$D$38+$D$41</f>
        <v>#REF!</v>
      </c>
      <c r="W21" s="21" t="e">
        <f>$M$6+$E$9+$E$12+$E$15+$E$18+$E$26+$E$29+$E$32+$E$35+$E$38+$E$41</f>
        <v>#REF!</v>
      </c>
      <c r="Y21" s="11"/>
      <c r="Z21" s="11"/>
      <c r="AA21" s="11"/>
      <c r="AB21" s="11"/>
      <c r="AC21" s="11"/>
    </row>
    <row r="22" spans="1:29" x14ac:dyDescent="0.25">
      <c r="A22" s="20"/>
      <c r="B22" s="10" t="s">
        <v>62</v>
      </c>
      <c r="C22" s="10" t="s">
        <v>50</v>
      </c>
      <c r="D22" s="10" t="s">
        <v>63</v>
      </c>
      <c r="E22" s="21" t="s">
        <v>50</v>
      </c>
      <c r="G22" s="20"/>
      <c r="H22" s="10" t="s">
        <v>62</v>
      </c>
      <c r="I22" s="10" t="s">
        <v>50</v>
      </c>
      <c r="J22" s="10" t="s">
        <v>63</v>
      </c>
      <c r="K22" s="21" t="s">
        <v>50</v>
      </c>
      <c r="M22" s="20"/>
      <c r="N22" s="10" t="s">
        <v>62</v>
      </c>
      <c r="O22" s="10" t="s">
        <v>50</v>
      </c>
      <c r="P22" s="10" t="s">
        <v>63</v>
      </c>
      <c r="Q22" s="21" t="s">
        <v>50</v>
      </c>
      <c r="S22" s="20"/>
      <c r="T22" s="10" t="s">
        <v>62</v>
      </c>
      <c r="U22" s="10" t="s">
        <v>50</v>
      </c>
      <c r="V22" s="10" t="s">
        <v>63</v>
      </c>
      <c r="W22" s="21" t="s">
        <v>50</v>
      </c>
      <c r="Y22" s="11"/>
      <c r="Z22" s="11"/>
      <c r="AA22" s="11"/>
      <c r="AB22" s="11"/>
      <c r="AC22" s="11"/>
    </row>
    <row r="23" spans="1:29" ht="15.75" thickBot="1" x14ac:dyDescent="0.3">
      <c r="A23" s="22"/>
      <c r="B23" s="23" t="e">
        <f>SQRT($B$21^2+$C$21^2)</f>
        <v>#REF!</v>
      </c>
      <c r="C23" s="23" t="e">
        <f>DEGREES(ACOS($B$21/$B$23))</f>
        <v>#REF!</v>
      </c>
      <c r="D23" s="23" t="e">
        <f>SQRT($D$21^2+$E$21^2)</f>
        <v>#REF!</v>
      </c>
      <c r="E23" s="24" t="e">
        <f>DEGREES(ACOS($D$21/$D$23))</f>
        <v>#REF!</v>
      </c>
      <c r="G23" s="22"/>
      <c r="H23" s="23" t="e">
        <f>SQRT($H$21^2+$I$21^2)</f>
        <v>#N/A</v>
      </c>
      <c r="I23" s="23" t="e">
        <f>DEGREES(ACOS($H$21/$H$23))</f>
        <v>#N/A</v>
      </c>
      <c r="J23" s="23" t="e">
        <f>SQRT($J$21^2+$K$21^2)</f>
        <v>#N/A</v>
      </c>
      <c r="K23" s="24" t="e">
        <f>DEGREES(ACOS($J$21/$J$23))</f>
        <v>#N/A</v>
      </c>
      <c r="M23" s="22"/>
      <c r="N23" s="23" t="e">
        <f>SQRT($N$21^2+$O$21^2)</f>
        <v>#N/A</v>
      </c>
      <c r="O23" s="23" t="e">
        <f>DEGREES(ACOS($N$21/$N$23))</f>
        <v>#N/A</v>
      </c>
      <c r="P23" s="23" t="e">
        <f>SQRT($P$21^2+$Q$21^2)</f>
        <v>#N/A</v>
      </c>
      <c r="Q23" s="24" t="e">
        <f>DEGREES(ACOS($P$21/$P$23))</f>
        <v>#N/A</v>
      </c>
      <c r="S23" s="22"/>
      <c r="T23" s="23" t="e">
        <f>SQRT($T$21^2+$U$21^2)</f>
        <v>#REF!</v>
      </c>
      <c r="U23" s="23" t="e">
        <f>DEGREES(ACOS($T$21/$T$23))</f>
        <v>#REF!</v>
      </c>
      <c r="V23" s="23" t="e">
        <f>SQRT($V$21^2+$W$21^2)</f>
        <v>#REF!</v>
      </c>
      <c r="W23" s="24" t="e">
        <f>DEGREES(ACOS($V$21/$V$23))</f>
        <v>#REF!</v>
      </c>
      <c r="Y23" s="11"/>
      <c r="Z23" s="11"/>
      <c r="AA23" s="11"/>
      <c r="AB23" s="11"/>
      <c r="AC23" s="11"/>
    </row>
    <row r="25" spans="1:29" x14ac:dyDescent="0.25">
      <c r="A25" t="s">
        <v>66</v>
      </c>
    </row>
    <row r="26" spans="1:29" x14ac:dyDescent="0.25">
      <c r="B26" t="e">
        <f>(VLOOKUP(KabelData!$R$4,Kabel!$C$5:$K$74,2,))*10^-3*KabelData!$R$7/KabelData!$R$8</f>
        <v>#N/A</v>
      </c>
      <c r="C26" t="e">
        <f>(VLOOKUP(KabelData!$R$4,Kabel!$C$5:$K$74,3,))*10^-3*KabelData!$R$7/KabelData!$R$8</f>
        <v>#N/A</v>
      </c>
      <c r="D26" t="e">
        <f>(VLOOKUP(KabelData!$R$4,Kabel!$C$5:$K$74,8,))*10^-3*KabelData!$R$7/KabelData!$R$8</f>
        <v>#N/A</v>
      </c>
      <c r="E26" t="e">
        <f>(VLOOKUP(KabelData!$R$4,Kabel!$C$5:$K$74,9,))*10^-3*KabelData!$R$7/KabelData!$R$8</f>
        <v>#N/A</v>
      </c>
    </row>
    <row r="28" spans="1:29" x14ac:dyDescent="0.25">
      <c r="A28" t="s">
        <v>96</v>
      </c>
    </row>
    <row r="29" spans="1:29" x14ac:dyDescent="0.25">
      <c r="B29" t="e">
        <f>(VLOOKUP(KabelData!$B$19,Kabel!$C$5:$K$74,2,))*10^-3*KabelData!$B$22/KabelData!$B$23</f>
        <v>#N/A</v>
      </c>
      <c r="C29" t="e">
        <f>(VLOOKUP(KabelData!$B$19,Kabel!$C$5:$K$74,3,))*10^-3*KabelData!$B$22/KabelData!$B$23</f>
        <v>#N/A</v>
      </c>
      <c r="D29" t="e">
        <f>(VLOOKUP(KabelData!$B$19,Kabel!$C$5:$K$74,8,))*10^-3*KabelData!$B$22/KabelData!$B$23</f>
        <v>#N/A</v>
      </c>
      <c r="E29" t="e">
        <f>(VLOOKUP(KabelData!$B$19,Kabel!$C$5:$K$74,9,))*10^-3*KabelData!$B$22/KabelData!$B$23</f>
        <v>#N/A</v>
      </c>
    </row>
    <row r="31" spans="1:29" x14ac:dyDescent="0.25">
      <c r="A31" t="s">
        <v>97</v>
      </c>
    </row>
    <row r="32" spans="1:29" x14ac:dyDescent="0.25">
      <c r="B32" t="e">
        <f>(VLOOKUP(KabelData!$F$19,Kabel!$C$5:$K$74,2,))*10^-3*KabelData!$F$22/KabelData!$F$23</f>
        <v>#N/A</v>
      </c>
      <c r="C32" t="e">
        <f>(VLOOKUP(KabelData!$F$19,Kabel!$C$5:$K$74,3,))*10^-3*KabelData!$F$22/KabelData!$F$23</f>
        <v>#N/A</v>
      </c>
      <c r="D32" t="e">
        <f>(VLOOKUP(KabelData!$F$19,Kabel!$C$5:$K$74,8,))*10^-3*KabelData!$F$22/KabelData!$F$23</f>
        <v>#N/A</v>
      </c>
      <c r="E32" t="e">
        <f>(VLOOKUP(KabelData!$F$19,Kabel!$C$5:$K$74,9,))*10^-3*KabelData!$F$22/KabelData!$F$23</f>
        <v>#N/A</v>
      </c>
    </row>
    <row r="34" spans="1:5" x14ac:dyDescent="0.25">
      <c r="A34" t="s">
        <v>98</v>
      </c>
    </row>
    <row r="35" spans="1:5" x14ac:dyDescent="0.25">
      <c r="B35" t="e">
        <f>(VLOOKUP(KabelData!$J$19,Kabel!$C$5:$K$74,2,))*10^-3*KabelData!$J$22/KabelData!$J$23</f>
        <v>#N/A</v>
      </c>
      <c r="C35" t="e">
        <f>(VLOOKUP(KabelData!$J$19,Kabel!$C$5:$K$74,3,))*10^-3*KabelData!$J$22/KabelData!$J$23</f>
        <v>#N/A</v>
      </c>
      <c r="D35" t="e">
        <f>(VLOOKUP(KabelData!$J$19,Kabel!$C$5:$K$74,8,))*10^-3*KabelData!$J$22/KabelData!$J$23</f>
        <v>#N/A</v>
      </c>
      <c r="E35" t="e">
        <f>(VLOOKUP(KabelData!$J$19,Kabel!$C$5:$K$74,9,))*10^-3*KabelData!$J$22/KabelData!$J$23</f>
        <v>#N/A</v>
      </c>
    </row>
    <row r="37" spans="1:5" x14ac:dyDescent="0.25">
      <c r="A37" t="s">
        <v>99</v>
      </c>
    </row>
    <row r="38" spans="1:5" x14ac:dyDescent="0.25">
      <c r="B38" t="e">
        <f>(VLOOKUP(KabelData!$N$19,'Kabel gummi'!C5:K53,2,))*10^-3*KabelData!$N$22/KabelData!$N$23</f>
        <v>#N/A</v>
      </c>
      <c r="C38" t="e">
        <f>(VLOOKUP(KabelData!$N$19,'Kabel gummi'!C5:K53,3,))*10^-3*KabelData!$N$22/KabelData!$N$23</f>
        <v>#N/A</v>
      </c>
      <c r="D38" t="e">
        <f>(VLOOKUP(KabelData!$N$19,'Kabel gummi'!C5:K53,8,))*10^-3*KabelData!$N$22/KabelData!$N$23</f>
        <v>#N/A</v>
      </c>
      <c r="E38" t="e">
        <f>(VLOOKUP(KabelData!$N$19,'Kabel gummi'!C5:K53,9,))*10^-3*KabelData!$N$22/KabelData!$N$23</f>
        <v>#N/A</v>
      </c>
    </row>
    <row r="40" spans="1:5" x14ac:dyDescent="0.25">
      <c r="A40" t="s">
        <v>100</v>
      </c>
    </row>
    <row r="41" spans="1:5" x14ac:dyDescent="0.25">
      <c r="B41" t="e">
        <f>(VLOOKUP(KabelData!$R$19,'Kabel gummi'!C5:K53,2,))*10^-3*KabelData!$R$22/KabelData!$R$23</f>
        <v>#N/A</v>
      </c>
      <c r="C41" t="e">
        <f>(VLOOKUP(KabelData!$R$19,'Kabel gummi'!C5:K53,3,))*10^-3*KabelData!$R$22/KabelData!$R$23</f>
        <v>#N/A</v>
      </c>
      <c r="D41" t="e">
        <f>(VLOOKUP(KabelData!$R$19,'Kabel gummi'!C5:K53,8,))*10^-3*KabelData!$R$22/KabelData!$R$23</f>
        <v>#N/A</v>
      </c>
      <c r="E41" t="e">
        <f>(VLOOKUP(KabelData!$R$19,'Kabel gummi'!C5:K53,9,))*10^-3*KabelData!$R$22/KabelData!$R$23</f>
        <v>#N/A</v>
      </c>
    </row>
  </sheetData>
  <mergeCells count="11">
    <mergeCell ref="B1:E1"/>
    <mergeCell ref="F1:I1"/>
    <mergeCell ref="J1:M1"/>
    <mergeCell ref="B4:E4"/>
    <mergeCell ref="F4:I4"/>
    <mergeCell ref="J4:M4"/>
    <mergeCell ref="S19:W19"/>
    <mergeCell ref="Y19:AC19"/>
    <mergeCell ref="G19:K19"/>
    <mergeCell ref="M19:Q19"/>
    <mergeCell ref="A19:E1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7"/>
  <dimension ref="A1:P123"/>
  <sheetViews>
    <sheetView topLeftCell="A46" zoomScale="70" zoomScaleNormal="70" workbookViewId="0">
      <selection activeCell="C64" sqref="C64"/>
    </sheetView>
  </sheetViews>
  <sheetFormatPr defaultRowHeight="15" x14ac:dyDescent="0.25"/>
  <cols>
    <col min="3" max="3" width="10.85546875" bestFit="1" customWidth="1"/>
    <col min="6" max="6" width="9.28515625" bestFit="1" customWidth="1"/>
    <col min="8" max="8" width="9.28515625" bestFit="1" customWidth="1"/>
    <col min="15" max="15" width="10.28515625" bestFit="1" customWidth="1"/>
  </cols>
  <sheetData>
    <row r="1" spans="1:16" x14ac:dyDescent="0.25">
      <c r="A1" s="817" t="s">
        <v>109</v>
      </c>
      <c r="B1" s="818"/>
      <c r="C1" s="818"/>
      <c r="D1" s="818"/>
      <c r="E1" s="818"/>
      <c r="F1" s="818"/>
      <c r="G1" s="818"/>
      <c r="H1" s="818"/>
      <c r="I1" s="818"/>
      <c r="J1" s="818"/>
      <c r="K1" s="819"/>
      <c r="N1" s="45" t="s">
        <v>138</v>
      </c>
      <c r="O1" s="43" t="s">
        <v>43</v>
      </c>
      <c r="P1">
        <v>1</v>
      </c>
    </row>
    <row r="2" spans="1:16" ht="15.75" thickBot="1" x14ac:dyDescent="0.3">
      <c r="A2" s="820"/>
      <c r="B2" s="821"/>
      <c r="C2" s="821"/>
      <c r="D2" s="821"/>
      <c r="E2" s="821"/>
      <c r="F2" s="821"/>
      <c r="G2" s="821"/>
      <c r="H2" s="821"/>
      <c r="I2" s="821"/>
      <c r="J2" s="821"/>
      <c r="K2" s="822"/>
      <c r="N2" s="45" t="s">
        <v>4</v>
      </c>
      <c r="O2" s="43" t="s">
        <v>9</v>
      </c>
      <c r="P2">
        <v>2</v>
      </c>
    </row>
    <row r="3" spans="1:16" ht="15.75" thickBot="1" x14ac:dyDescent="0.3">
      <c r="B3" s="1"/>
      <c r="C3" s="1"/>
      <c r="D3" s="732" t="s">
        <v>0</v>
      </c>
      <c r="E3" s="733"/>
      <c r="F3" s="733"/>
      <c r="G3" s="736"/>
      <c r="H3" s="732" t="s">
        <v>1</v>
      </c>
      <c r="I3" s="733"/>
      <c r="J3" s="733"/>
      <c r="K3" s="736"/>
      <c r="O3" s="43" t="s">
        <v>125</v>
      </c>
      <c r="P3">
        <v>3</v>
      </c>
    </row>
    <row r="4" spans="1:16" ht="15.75" thickBot="1" x14ac:dyDescent="0.3">
      <c r="A4" s="2" t="s">
        <v>45</v>
      </c>
      <c r="B4" s="2" t="s">
        <v>2</v>
      </c>
      <c r="C4" s="2" t="s">
        <v>46</v>
      </c>
      <c r="D4" s="3" t="s">
        <v>3</v>
      </c>
      <c r="E4" s="4" t="s">
        <v>4</v>
      </c>
      <c r="F4" s="5" t="s">
        <v>5</v>
      </c>
      <c r="G4" s="5" t="s">
        <v>6</v>
      </c>
      <c r="H4" s="2" t="s">
        <v>7</v>
      </c>
      <c r="I4" s="2" t="s">
        <v>8</v>
      </c>
      <c r="J4" s="6" t="s">
        <v>3</v>
      </c>
      <c r="K4" s="2" t="s">
        <v>4</v>
      </c>
      <c r="P4">
        <v>4</v>
      </c>
    </row>
    <row r="5" spans="1:16" x14ac:dyDescent="0.25">
      <c r="A5" s="823" t="s">
        <v>127</v>
      </c>
      <c r="B5" s="7" t="s">
        <v>10</v>
      </c>
      <c r="C5" s="7">
        <v>1.5</v>
      </c>
      <c r="D5" s="7">
        <v>12.1</v>
      </c>
      <c r="E5" s="7">
        <v>0.10299999999999999</v>
      </c>
      <c r="F5" s="51">
        <f>IMABS(COMPLEX(D5,E5,"i"))</f>
        <v>12.100438380488534</v>
      </c>
      <c r="G5" s="7">
        <f>DEGREES(ACOS((D5/F5)))</f>
        <v>0.48771262431497786</v>
      </c>
      <c r="H5" s="7">
        <f>IMABS(COMPLEX(J5,K5,"i"))</f>
        <v>18.150292256600164</v>
      </c>
      <c r="I5" s="7">
        <f>DEGREES(ACOS((J5/H5)))</f>
        <v>0.32514611234865137</v>
      </c>
      <c r="J5" s="8">
        <v>18.149999999999999</v>
      </c>
      <c r="K5" s="8">
        <v>0.10299999999999999</v>
      </c>
      <c r="P5">
        <v>5</v>
      </c>
    </row>
    <row r="6" spans="1:16" x14ac:dyDescent="0.25">
      <c r="A6" s="824"/>
      <c r="B6" s="9" t="s">
        <v>10</v>
      </c>
      <c r="C6" s="9">
        <v>2.5</v>
      </c>
      <c r="D6" s="9">
        <v>7.41</v>
      </c>
      <c r="E6" s="9">
        <v>9.5000000000000001E-2</v>
      </c>
      <c r="F6" s="10">
        <f t="shared" ref="F6:F74" si="0">IMABS(COMPLEX(D6,E6,"i"))</f>
        <v>7.410608949337429</v>
      </c>
      <c r="G6" s="9">
        <f t="shared" ref="G6:G74" si="1">DEGREES(ACOS((D6/F6)))</f>
        <v>0.73452103425444082</v>
      </c>
      <c r="H6" s="9">
        <f t="shared" ref="H6:H64" si="2">IMABS(COMPLEX(J6,K6,"i"))</f>
        <v>11.115405975491855</v>
      </c>
      <c r="I6" s="9">
        <f t="shared" ref="I6:I64" si="3">DEGREES(ACOS((J6/H6)))</f>
        <v>0.48969559313057182</v>
      </c>
      <c r="J6" s="10">
        <v>11.115</v>
      </c>
      <c r="K6" s="10">
        <v>9.5000000000000001E-2</v>
      </c>
    </row>
    <row r="7" spans="1:16" x14ac:dyDescent="0.25">
      <c r="A7" s="824"/>
      <c r="B7" s="9" t="s">
        <v>10</v>
      </c>
      <c r="C7" s="9">
        <v>4</v>
      </c>
      <c r="D7" s="9">
        <v>4.6100000000000003</v>
      </c>
      <c r="E7" s="9">
        <v>8.8999999999999996E-2</v>
      </c>
      <c r="F7" s="10">
        <f t="shared" si="0"/>
        <v>4.6108590305928887</v>
      </c>
      <c r="G7" s="9">
        <f t="shared" si="1"/>
        <v>1.1060067212266032</v>
      </c>
      <c r="H7" s="9">
        <f t="shared" si="2"/>
        <v>6.915572716702501</v>
      </c>
      <c r="I7" s="9">
        <f t="shared" si="3"/>
        <v>0.73738869620083258</v>
      </c>
      <c r="J7" s="10">
        <v>6.915</v>
      </c>
      <c r="K7" s="10">
        <v>8.8999999999999996E-2</v>
      </c>
    </row>
    <row r="8" spans="1:16" x14ac:dyDescent="0.25">
      <c r="A8" s="824"/>
      <c r="B8" s="9" t="s">
        <v>10</v>
      </c>
      <c r="C8" s="9">
        <v>6</v>
      </c>
      <c r="D8" s="9">
        <v>3.08</v>
      </c>
      <c r="E8" s="9">
        <v>8.6999999999999994E-2</v>
      </c>
      <c r="F8" s="10">
        <f t="shared" si="0"/>
        <v>3.0812284887687249</v>
      </c>
      <c r="G8" s="9">
        <f t="shared" si="1"/>
        <v>1.6179895175164751</v>
      </c>
      <c r="H8" s="9">
        <f t="shared" si="2"/>
        <v>4.6208190832362179</v>
      </c>
      <c r="I8" s="9">
        <f t="shared" si="3"/>
        <v>1.0788189883306551</v>
      </c>
      <c r="J8" s="10">
        <v>4.62</v>
      </c>
      <c r="K8" s="10">
        <v>8.6999999999999994E-2</v>
      </c>
    </row>
    <row r="9" spans="1:16" x14ac:dyDescent="0.25">
      <c r="A9" s="824"/>
      <c r="B9" s="9" t="s">
        <v>10</v>
      </c>
      <c r="C9" s="9">
        <v>10</v>
      </c>
      <c r="D9" s="9">
        <v>1.83</v>
      </c>
      <c r="E9" s="9">
        <v>8.2000000000000003E-2</v>
      </c>
      <c r="F9" s="10">
        <f t="shared" si="0"/>
        <v>1.831836237222094</v>
      </c>
      <c r="G9" s="9">
        <f t="shared" si="1"/>
        <v>2.5656356728015202</v>
      </c>
      <c r="H9" s="9">
        <f t="shared" si="2"/>
        <v>2.7462244991988549</v>
      </c>
      <c r="I9" s="9">
        <f t="shared" si="3"/>
        <v>1.7110590700165116</v>
      </c>
      <c r="J9" s="10">
        <v>2.7450000000000001</v>
      </c>
      <c r="K9" s="10">
        <v>8.2000000000000003E-2</v>
      </c>
    </row>
    <row r="10" spans="1:16" x14ac:dyDescent="0.25">
      <c r="A10" s="824"/>
      <c r="B10" s="9" t="s">
        <v>10</v>
      </c>
      <c r="C10" s="9">
        <v>16</v>
      </c>
      <c r="D10" s="9">
        <v>1.1499999999999999</v>
      </c>
      <c r="E10" s="9">
        <v>7.8E-2</v>
      </c>
      <c r="F10" s="10">
        <f t="shared" si="0"/>
        <v>1.1526421821189783</v>
      </c>
      <c r="G10" s="9">
        <f t="shared" si="1"/>
        <v>3.8802056677048968</v>
      </c>
      <c r="H10" s="9">
        <f t="shared" si="2"/>
        <v>1.7267625777737945</v>
      </c>
      <c r="I10" s="9">
        <f t="shared" si="3"/>
        <v>2.589002141334463</v>
      </c>
      <c r="J10" s="10">
        <v>1.7250000000000001</v>
      </c>
      <c r="K10" s="10">
        <v>7.8E-2</v>
      </c>
    </row>
    <row r="11" spans="1:16" x14ac:dyDescent="0.25">
      <c r="A11" s="824"/>
      <c r="B11" s="9" t="s">
        <v>10</v>
      </c>
      <c r="C11" s="9">
        <v>25</v>
      </c>
      <c r="D11" s="9">
        <v>0.72699999999999998</v>
      </c>
      <c r="E11" s="9">
        <v>7.9000000000000001E-2</v>
      </c>
      <c r="F11" s="10">
        <f t="shared" si="0"/>
        <v>0.7312797002515522</v>
      </c>
      <c r="G11" s="9">
        <f t="shared" si="1"/>
        <v>6.2017546138857522</v>
      </c>
      <c r="H11" s="9">
        <f t="shared" si="2"/>
        <v>1.0933577868200328</v>
      </c>
      <c r="I11" s="9">
        <f t="shared" si="3"/>
        <v>4.1434875137462255</v>
      </c>
      <c r="J11" s="10">
        <v>1.0905</v>
      </c>
      <c r="K11" s="10">
        <v>7.9000000000000001E-2</v>
      </c>
    </row>
    <row r="12" spans="1:16" x14ac:dyDescent="0.25">
      <c r="A12" s="824"/>
      <c r="B12" s="9" t="s">
        <v>10</v>
      </c>
      <c r="C12" s="9">
        <v>35</v>
      </c>
      <c r="D12" s="9">
        <v>0.52500000000000002</v>
      </c>
      <c r="E12" s="9">
        <v>0.74</v>
      </c>
      <c r="F12" s="10">
        <f t="shared" si="0"/>
        <v>0.90731747475731994</v>
      </c>
      <c r="G12" s="9">
        <f t="shared" si="1"/>
        <v>54.645844256611966</v>
      </c>
      <c r="H12" s="9">
        <f t="shared" si="2"/>
        <v>0.7909691839762153</v>
      </c>
      <c r="I12" s="9">
        <f t="shared" si="3"/>
        <v>5.36822087254619</v>
      </c>
      <c r="J12" s="10">
        <v>0.78749999999999998</v>
      </c>
      <c r="K12" s="10">
        <v>7.3999999999999996E-2</v>
      </c>
    </row>
    <row r="13" spans="1:16" x14ac:dyDescent="0.25">
      <c r="A13" s="824"/>
      <c r="B13" s="9" t="s">
        <v>19</v>
      </c>
      <c r="C13" s="9">
        <v>1.5</v>
      </c>
      <c r="D13" s="9">
        <v>12.1</v>
      </c>
      <c r="E13" s="9">
        <v>0.11</v>
      </c>
      <c r="F13" s="52">
        <f t="shared" si="0"/>
        <v>12.100499989669849</v>
      </c>
      <c r="G13" s="9">
        <f t="shared" si="1"/>
        <v>0.52085637450281397</v>
      </c>
      <c r="H13" s="9">
        <f t="shared" si="2"/>
        <v>18.150333330272474</v>
      </c>
      <c r="I13" s="9">
        <f t="shared" si="3"/>
        <v>0.34724289708432948</v>
      </c>
      <c r="J13" s="10">
        <v>18.149999999999999</v>
      </c>
      <c r="K13" s="10">
        <v>0.11</v>
      </c>
    </row>
    <row r="14" spans="1:16" x14ac:dyDescent="0.25">
      <c r="A14" s="824"/>
      <c r="B14" s="9" t="s">
        <v>19</v>
      </c>
      <c r="C14" s="9">
        <v>2.5</v>
      </c>
      <c r="D14" s="9">
        <v>7.41</v>
      </c>
      <c r="E14" s="9">
        <v>0.10199999999999999</v>
      </c>
      <c r="F14" s="10">
        <f t="shared" si="0"/>
        <v>7.4107019910397147</v>
      </c>
      <c r="G14" s="9">
        <f t="shared" si="1"/>
        <v>0.78863703563770204</v>
      </c>
      <c r="H14" s="9">
        <f t="shared" si="2"/>
        <v>11.115468006341434</v>
      </c>
      <c r="I14" s="9">
        <f t="shared" si="3"/>
        <v>0.52577647018330198</v>
      </c>
      <c r="J14" s="10">
        <v>11.115</v>
      </c>
      <c r="K14" s="10">
        <v>0.10199999999999999</v>
      </c>
    </row>
    <row r="15" spans="1:16" x14ac:dyDescent="0.25">
      <c r="A15" s="824"/>
      <c r="B15" s="9" t="s">
        <v>19</v>
      </c>
      <c r="C15" s="9">
        <v>4</v>
      </c>
      <c r="D15" s="9">
        <v>4.6100000000000003</v>
      </c>
      <c r="E15" s="9">
        <v>9.6000000000000002E-2</v>
      </c>
      <c r="F15" s="10">
        <f t="shared" si="0"/>
        <v>4.6109994578182292</v>
      </c>
      <c r="G15" s="9">
        <f t="shared" si="1"/>
        <v>1.1929717908192679</v>
      </c>
      <c r="H15" s="9">
        <f t="shared" si="2"/>
        <v>6.9156663453350609</v>
      </c>
      <c r="I15" s="9">
        <f t="shared" si="3"/>
        <v>0.79537838080620382</v>
      </c>
      <c r="J15" s="10">
        <v>6.915</v>
      </c>
      <c r="K15" s="10">
        <v>9.6000000000000002E-2</v>
      </c>
    </row>
    <row r="16" spans="1:16" x14ac:dyDescent="0.25">
      <c r="A16" s="824"/>
      <c r="B16" s="9" t="s">
        <v>19</v>
      </c>
      <c r="C16" s="9">
        <v>6</v>
      </c>
      <c r="D16" s="9">
        <v>3.08</v>
      </c>
      <c r="E16" s="9">
        <v>9.4E-2</v>
      </c>
      <c r="F16" s="10">
        <f t="shared" si="0"/>
        <v>3.0814340817223402</v>
      </c>
      <c r="G16" s="9">
        <f t="shared" si="1"/>
        <v>1.748094813726927</v>
      </c>
      <c r="H16" s="9">
        <f t="shared" si="2"/>
        <v>4.6209561781085959</v>
      </c>
      <c r="I16" s="9">
        <f t="shared" si="3"/>
        <v>1.1655974603545514</v>
      </c>
      <c r="J16" s="10">
        <v>4.62</v>
      </c>
      <c r="K16" s="10">
        <v>9.4E-2</v>
      </c>
    </row>
    <row r="17" spans="1:11" x14ac:dyDescent="0.25">
      <c r="A17" s="824"/>
      <c r="B17" s="9" t="s">
        <v>19</v>
      </c>
      <c r="C17" s="9">
        <v>10</v>
      </c>
      <c r="D17" s="9">
        <v>1.83</v>
      </c>
      <c r="E17" s="9">
        <v>8.8999999999999996E-2</v>
      </c>
      <c r="F17" s="10">
        <f t="shared" si="0"/>
        <v>1.832162929436135</v>
      </c>
      <c r="G17" s="9">
        <f t="shared" si="1"/>
        <v>2.784322225699484</v>
      </c>
      <c r="H17" s="9">
        <f t="shared" si="2"/>
        <v>2.7464424261214724</v>
      </c>
      <c r="I17" s="9">
        <f t="shared" si="3"/>
        <v>1.8570268337297728</v>
      </c>
      <c r="J17" s="10">
        <v>2.7450000000000001</v>
      </c>
      <c r="K17" s="10">
        <v>8.8999999999999996E-2</v>
      </c>
    </row>
    <row r="18" spans="1:11" x14ac:dyDescent="0.25">
      <c r="A18" s="824"/>
      <c r="B18" s="9" t="s">
        <v>19</v>
      </c>
      <c r="C18" s="9">
        <v>16</v>
      </c>
      <c r="D18" s="9">
        <v>1.1499999999999999</v>
      </c>
      <c r="E18" s="9">
        <v>8.5000000000000006E-2</v>
      </c>
      <c r="F18" s="10">
        <f t="shared" si="0"/>
        <v>1.1531370256825506</v>
      </c>
      <c r="G18" s="9">
        <f t="shared" si="1"/>
        <v>4.2272186653265917</v>
      </c>
      <c r="H18" s="9">
        <f t="shared" si="2"/>
        <v>1.727092933226235</v>
      </c>
      <c r="I18" s="9">
        <f t="shared" si="3"/>
        <v>2.8209885935155139</v>
      </c>
      <c r="J18" s="10">
        <v>1.7250000000000001</v>
      </c>
      <c r="K18" s="10">
        <v>8.5000000000000006E-2</v>
      </c>
    </row>
    <row r="19" spans="1:11" x14ac:dyDescent="0.25">
      <c r="A19" s="824"/>
      <c r="B19" s="9" t="s">
        <v>19</v>
      </c>
      <c r="C19" s="9">
        <v>25</v>
      </c>
      <c r="D19" s="9">
        <v>0.72699999999999998</v>
      </c>
      <c r="E19" s="9">
        <v>8.5999999999999993E-2</v>
      </c>
      <c r="F19" s="10">
        <f t="shared" si="0"/>
        <v>0.73206898582032554</v>
      </c>
      <c r="G19" s="9">
        <f t="shared" si="1"/>
        <v>6.7464153867875067</v>
      </c>
      <c r="H19" s="9">
        <f t="shared" si="2"/>
        <v>1.0938858487063448</v>
      </c>
      <c r="I19" s="9">
        <f t="shared" si="3"/>
        <v>4.5091791137360984</v>
      </c>
      <c r="J19" s="10">
        <v>1.0905</v>
      </c>
      <c r="K19" s="10">
        <v>8.5999999999999993E-2</v>
      </c>
    </row>
    <row r="20" spans="1:11" x14ac:dyDescent="0.25">
      <c r="A20" s="824"/>
      <c r="B20" s="9" t="s">
        <v>19</v>
      </c>
      <c r="C20" s="9">
        <v>35</v>
      </c>
      <c r="D20" s="9">
        <v>0.52500000000000002</v>
      </c>
      <c r="E20" s="9">
        <v>8.2000000000000003E-2</v>
      </c>
      <c r="F20" s="10">
        <f t="shared" si="0"/>
        <v>0.53136522279878273</v>
      </c>
      <c r="G20" s="9">
        <f t="shared" si="1"/>
        <v>8.8773299361420541</v>
      </c>
      <c r="H20" s="9">
        <f t="shared" si="2"/>
        <v>0.79175769652084849</v>
      </c>
      <c r="I20" s="9">
        <f t="shared" si="3"/>
        <v>5.9446138085083309</v>
      </c>
      <c r="J20" s="10">
        <v>0.78749999999999998</v>
      </c>
      <c r="K20" s="10">
        <v>8.2000000000000003E-2</v>
      </c>
    </row>
    <row r="21" spans="1:11" x14ac:dyDescent="0.25">
      <c r="A21" s="824"/>
      <c r="B21" s="9" t="s">
        <v>19</v>
      </c>
      <c r="C21" s="9">
        <v>50</v>
      </c>
      <c r="D21" s="9">
        <v>0.38800000000000001</v>
      </c>
      <c r="E21" s="9">
        <v>8.4000000000000005E-2</v>
      </c>
      <c r="F21" s="10">
        <f t="shared" si="0"/>
        <v>0.39698866482558415</v>
      </c>
      <c r="G21" s="9">
        <f t="shared" si="1"/>
        <v>12.215719134130845</v>
      </c>
      <c r="H21" s="9">
        <f t="shared" si="2"/>
        <v>0.58803061144807767</v>
      </c>
      <c r="I21" s="9">
        <f t="shared" si="3"/>
        <v>8.2127801892859527</v>
      </c>
      <c r="J21" s="10">
        <v>0.58199999999999996</v>
      </c>
      <c r="K21" s="10">
        <v>8.4000000000000005E-2</v>
      </c>
    </row>
    <row r="22" spans="1:11" x14ac:dyDescent="0.25">
      <c r="A22" s="824"/>
      <c r="B22" s="9" t="s">
        <v>19</v>
      </c>
      <c r="C22" s="9">
        <v>70</v>
      </c>
      <c r="D22" s="9">
        <v>0.26900000000000002</v>
      </c>
      <c r="E22" s="9">
        <v>8.1000000000000003E-2</v>
      </c>
      <c r="F22" s="10">
        <f t="shared" si="0"/>
        <v>0.28093059641128448</v>
      </c>
      <c r="G22" s="9">
        <f t="shared" si="1"/>
        <v>16.757848829491717</v>
      </c>
      <c r="H22" s="9">
        <f t="shared" si="2"/>
        <v>0.41154981472477908</v>
      </c>
      <c r="I22" s="9">
        <f t="shared" si="3"/>
        <v>11.350887277276053</v>
      </c>
      <c r="J22" s="10">
        <v>0.40350000000000003</v>
      </c>
      <c r="K22" s="10">
        <v>8.1000000000000003E-2</v>
      </c>
    </row>
    <row r="23" spans="1:11" x14ac:dyDescent="0.25">
      <c r="A23" s="824"/>
      <c r="B23" s="9" t="s">
        <v>19</v>
      </c>
      <c r="C23" s="9">
        <v>95</v>
      </c>
      <c r="D23" s="9">
        <v>0.19400000000000001</v>
      </c>
      <c r="E23" s="9">
        <v>8.2000000000000003E-2</v>
      </c>
      <c r="F23" s="10">
        <f t="shared" si="0"/>
        <v>0.21061813787041228</v>
      </c>
      <c r="G23" s="9">
        <f t="shared" si="1"/>
        <v>22.912828396771637</v>
      </c>
      <c r="H23" s="9">
        <f t="shared" si="2"/>
        <v>0.30233259830855153</v>
      </c>
      <c r="I23" s="9">
        <f t="shared" si="3"/>
        <v>15.737143189605677</v>
      </c>
      <c r="J23" s="10">
        <v>0.29099999999999998</v>
      </c>
      <c r="K23" s="10">
        <v>8.2000000000000003E-2</v>
      </c>
    </row>
    <row r="24" spans="1:11" x14ac:dyDescent="0.25">
      <c r="A24" s="824"/>
      <c r="B24" s="9" t="s">
        <v>19</v>
      </c>
      <c r="C24" s="9">
        <v>120</v>
      </c>
      <c r="D24" s="9">
        <v>0.155</v>
      </c>
      <c r="E24" s="9">
        <v>8.2000000000000003E-2</v>
      </c>
      <c r="F24" s="10">
        <f t="shared" si="0"/>
        <v>0.17535392781457734</v>
      </c>
      <c r="G24" s="9">
        <f t="shared" si="1"/>
        <v>27.880284438052758</v>
      </c>
      <c r="H24" s="9">
        <f t="shared" si="2"/>
        <v>0.24653650845260222</v>
      </c>
      <c r="I24" s="9">
        <f t="shared" si="3"/>
        <v>19.427143439145649</v>
      </c>
      <c r="J24" s="10">
        <v>0.23250000000000001</v>
      </c>
      <c r="K24" s="10">
        <v>8.2000000000000003E-2</v>
      </c>
    </row>
    <row r="25" spans="1:11" x14ac:dyDescent="0.25">
      <c r="A25" s="824"/>
      <c r="B25" s="9" t="s">
        <v>19</v>
      </c>
      <c r="C25" s="9">
        <v>150</v>
      </c>
      <c r="D25" s="9">
        <v>0.126</v>
      </c>
      <c r="E25" s="9">
        <v>8.4000000000000005E-2</v>
      </c>
      <c r="F25" s="10">
        <f t="shared" si="0"/>
        <v>0.15143315356948756</v>
      </c>
      <c r="G25" s="9">
        <f t="shared" si="1"/>
        <v>33.690067525979792</v>
      </c>
      <c r="H25" s="9">
        <f t="shared" si="2"/>
        <v>0.2068260138377182</v>
      </c>
      <c r="I25" s="9">
        <f t="shared" si="3"/>
        <v>23.962488974578175</v>
      </c>
      <c r="J25" s="10">
        <v>0.189</v>
      </c>
      <c r="K25" s="10">
        <v>8.4000000000000005E-2</v>
      </c>
    </row>
    <row r="26" spans="1:11" x14ac:dyDescent="0.25">
      <c r="A26" s="824"/>
      <c r="B26" s="9" t="s">
        <v>19</v>
      </c>
      <c r="C26" s="9">
        <v>185</v>
      </c>
      <c r="D26" s="9">
        <v>0.1017</v>
      </c>
      <c r="E26" s="9">
        <v>8.2000000000000003E-2</v>
      </c>
      <c r="F26" s="10">
        <f t="shared" si="0"/>
        <v>0.13064030771549798</v>
      </c>
      <c r="G26" s="9">
        <f t="shared" si="1"/>
        <v>38.878990083229581</v>
      </c>
      <c r="H26" s="9">
        <f t="shared" si="2"/>
        <v>0.17323613941669333</v>
      </c>
      <c r="I26" s="9">
        <f t="shared" si="3"/>
        <v>28.251474866856782</v>
      </c>
      <c r="J26" s="10">
        <v>0.15260000000000001</v>
      </c>
      <c r="K26" s="10">
        <v>8.2000000000000003E-2</v>
      </c>
    </row>
    <row r="27" spans="1:11" x14ac:dyDescent="0.25">
      <c r="A27" s="824"/>
      <c r="B27" s="9" t="s">
        <v>19</v>
      </c>
      <c r="C27" s="9">
        <v>240</v>
      </c>
      <c r="D27" s="9">
        <v>7.8700000000000006E-2</v>
      </c>
      <c r="E27" s="9">
        <v>8.3000000000000004E-2</v>
      </c>
      <c r="F27" s="10">
        <f t="shared" si="0"/>
        <v>0.11437958733969975</v>
      </c>
      <c r="G27" s="9">
        <f t="shared" si="1"/>
        <v>46.523276449417281</v>
      </c>
      <c r="H27" s="9">
        <f t="shared" si="2"/>
        <v>0.14434891755742404</v>
      </c>
      <c r="I27" s="9">
        <f t="shared" si="3"/>
        <v>35.099327719173218</v>
      </c>
      <c r="J27" s="10">
        <v>0.1181</v>
      </c>
      <c r="K27" s="10">
        <v>8.3000000000000004E-2</v>
      </c>
    </row>
    <row r="28" spans="1:11" x14ac:dyDescent="0.25">
      <c r="A28" s="824"/>
      <c r="B28" s="9" t="s">
        <v>35</v>
      </c>
      <c r="C28" s="9">
        <v>1.5</v>
      </c>
      <c r="D28" s="9">
        <v>12.1</v>
      </c>
      <c r="E28" s="9">
        <v>0.113</v>
      </c>
      <c r="F28" s="10">
        <f>IMABS(COMPLEX(D28,E28,"i"))</f>
        <v>12.100527633124102</v>
      </c>
      <c r="G28" s="9">
        <f>DEGREES(ACOS((D28/F28)))</f>
        <v>0.53506073344968808</v>
      </c>
      <c r="H28" s="9">
        <f>IMABS(COMPLEX(J28,K28,"i"))</f>
        <v>18.150351759676724</v>
      </c>
      <c r="I28" s="9">
        <f>DEGREES(ACOS((J28/H28)))</f>
        <v>0.35671291644931769</v>
      </c>
      <c r="J28" s="10">
        <v>18.149999999999999</v>
      </c>
      <c r="K28" s="10">
        <v>0.113</v>
      </c>
    </row>
    <row r="29" spans="1:11" x14ac:dyDescent="0.25">
      <c r="A29" s="824"/>
      <c r="B29" s="9" t="s">
        <v>35</v>
      </c>
      <c r="C29" s="9">
        <v>2.5</v>
      </c>
      <c r="D29" s="9">
        <v>7.41</v>
      </c>
      <c r="E29" s="9">
        <v>0.105</v>
      </c>
      <c r="F29" s="10">
        <f>IMABS(COMPLEX(D29,E29,"i"))</f>
        <v>7.410743889785965</v>
      </c>
      <c r="G29" s="9">
        <f>DEGREES(ACOS((D29/F29)))</f>
        <v>0.81182918253696279</v>
      </c>
      <c r="H29" s="9">
        <f>IMABS(COMPLEX(J29,K29,"i"))</f>
        <v>11.115495940352819</v>
      </c>
      <c r="I29" s="9">
        <f>DEGREES(ACOS((J29/H29)))</f>
        <v>0.54123957721731053</v>
      </c>
      <c r="J29" s="10">
        <v>11.115</v>
      </c>
      <c r="K29" s="10">
        <v>0.105</v>
      </c>
    </row>
    <row r="30" spans="1:11" x14ac:dyDescent="0.25">
      <c r="A30" s="824"/>
      <c r="B30" s="9" t="s">
        <v>35</v>
      </c>
      <c r="C30" s="9">
        <v>4</v>
      </c>
      <c r="D30" s="9">
        <v>4.6100000000000003</v>
      </c>
      <c r="E30" s="9">
        <v>9.9000000000000005E-2</v>
      </c>
      <c r="F30" s="10">
        <f t="shared" si="0"/>
        <v>4.6110628926528427</v>
      </c>
      <c r="G30" s="9">
        <f t="shared" si="1"/>
        <v>1.2302408754521361</v>
      </c>
      <c r="H30" s="9">
        <f t="shared" si="2"/>
        <v>6.9157086404792967</v>
      </c>
      <c r="I30" s="9">
        <f t="shared" si="3"/>
        <v>0.82023061085224924</v>
      </c>
      <c r="J30" s="10">
        <v>6.915</v>
      </c>
      <c r="K30" s="10">
        <v>9.9000000000000005E-2</v>
      </c>
    </row>
    <row r="31" spans="1:11" x14ac:dyDescent="0.25">
      <c r="A31" s="824"/>
      <c r="B31" s="9" t="s">
        <v>35</v>
      </c>
      <c r="C31" s="9">
        <v>6</v>
      </c>
      <c r="D31" s="9">
        <v>3.08</v>
      </c>
      <c r="E31" s="9">
        <v>9.7000000000000003E-2</v>
      </c>
      <c r="F31" s="10">
        <f t="shared" si="0"/>
        <v>3.0815270565094832</v>
      </c>
      <c r="G31" s="9">
        <f t="shared" si="1"/>
        <v>1.803848784768499</v>
      </c>
      <c r="H31" s="9">
        <f t="shared" si="2"/>
        <v>4.6210181778478212</v>
      </c>
      <c r="I31" s="9">
        <f t="shared" si="3"/>
        <v>1.202786620123433</v>
      </c>
      <c r="J31" s="10">
        <v>4.62</v>
      </c>
      <c r="K31" s="10">
        <v>9.7000000000000003E-2</v>
      </c>
    </row>
    <row r="32" spans="1:11" x14ac:dyDescent="0.25">
      <c r="A32" s="824"/>
      <c r="B32" s="9" t="s">
        <v>35</v>
      </c>
      <c r="C32" s="9">
        <v>10</v>
      </c>
      <c r="D32" s="9">
        <v>1.83</v>
      </c>
      <c r="E32" s="9">
        <v>9.1999999999999998E-2</v>
      </c>
      <c r="F32" s="10">
        <f t="shared" si="0"/>
        <v>1.8323111089550266</v>
      </c>
      <c r="G32" s="9">
        <f t="shared" si="1"/>
        <v>2.8780205586349084</v>
      </c>
      <c r="H32" s="9">
        <f t="shared" si="2"/>
        <v>2.7465412795004558</v>
      </c>
      <c r="I32" s="9">
        <f t="shared" si="3"/>
        <v>1.9195771762487348</v>
      </c>
      <c r="J32" s="10">
        <v>2.7450000000000001</v>
      </c>
      <c r="K32" s="10">
        <v>9.1999999999999998E-2</v>
      </c>
    </row>
    <row r="33" spans="1:13" x14ac:dyDescent="0.25">
      <c r="A33" s="824"/>
      <c r="B33" s="9" t="s">
        <v>35</v>
      </c>
      <c r="C33" s="9">
        <v>16</v>
      </c>
      <c r="D33" s="9">
        <v>1.1499999999999999</v>
      </c>
      <c r="E33" s="9">
        <v>8.7999999999999995E-2</v>
      </c>
      <c r="F33" s="10">
        <f t="shared" si="0"/>
        <v>1.1533620420319024</v>
      </c>
      <c r="G33" s="9">
        <f t="shared" si="1"/>
        <v>4.375844957413686</v>
      </c>
      <c r="H33" s="9">
        <f t="shared" si="2"/>
        <v>1.7272431791731009</v>
      </c>
      <c r="I33" s="9">
        <f t="shared" si="3"/>
        <v>2.9203834728588629</v>
      </c>
      <c r="J33" s="10">
        <v>1.7250000000000001</v>
      </c>
      <c r="K33" s="10">
        <v>8.7999999999999995E-2</v>
      </c>
    </row>
    <row r="34" spans="1:13" x14ac:dyDescent="0.25">
      <c r="A34" s="824"/>
      <c r="B34" s="9" t="s">
        <v>35</v>
      </c>
      <c r="C34" s="9">
        <v>25</v>
      </c>
      <c r="D34" s="9">
        <v>0.72699999999999998</v>
      </c>
      <c r="E34" s="9">
        <v>8.8999999999999996E-2</v>
      </c>
      <c r="F34" s="10">
        <f t="shared" si="0"/>
        <v>0.73242747081195692</v>
      </c>
      <c r="G34" s="9">
        <f t="shared" si="1"/>
        <v>6.9794727681844719</v>
      </c>
      <c r="H34" s="9">
        <f t="shared" si="2"/>
        <v>1.0941257925851122</v>
      </c>
      <c r="I34" s="9">
        <f t="shared" si="3"/>
        <v>4.6657932060379306</v>
      </c>
      <c r="J34" s="10">
        <v>1.0905</v>
      </c>
      <c r="K34" s="10">
        <v>8.8999999999999996E-2</v>
      </c>
    </row>
    <row r="35" spans="1:13" x14ac:dyDescent="0.25">
      <c r="A35" s="825"/>
      <c r="B35" s="9" t="s">
        <v>35</v>
      </c>
      <c r="C35" s="9">
        <v>35</v>
      </c>
      <c r="D35" s="9">
        <v>0.52500000000000002</v>
      </c>
      <c r="E35" s="9">
        <v>8.5000000000000006E-2</v>
      </c>
      <c r="F35" s="10">
        <f t="shared" si="0"/>
        <v>0.53183644102298966</v>
      </c>
      <c r="G35" s="9">
        <f t="shared" si="1"/>
        <v>9.1966558916288808</v>
      </c>
      <c r="H35" s="9">
        <f t="shared" si="2"/>
        <v>0.79207401800589317</v>
      </c>
      <c r="I35" s="9">
        <f t="shared" si="3"/>
        <v>6.1604565335906241</v>
      </c>
      <c r="J35" s="10">
        <v>0.78749999999999998</v>
      </c>
      <c r="K35" s="10">
        <v>8.5000000000000006E-2</v>
      </c>
    </row>
    <row r="36" spans="1:13" x14ac:dyDescent="0.25">
      <c r="A36" s="827" t="s">
        <v>126</v>
      </c>
      <c r="B36" s="9" t="s">
        <v>19</v>
      </c>
      <c r="C36" s="9">
        <v>16</v>
      </c>
      <c r="D36" s="9">
        <v>1.91</v>
      </c>
      <c r="E36" s="9">
        <v>6.9000000000000006E-2</v>
      </c>
      <c r="F36" s="10">
        <f t="shared" si="0"/>
        <v>1.9112459287072401</v>
      </c>
      <c r="G36" s="9">
        <f t="shared" si="1"/>
        <v>2.0689478094792522</v>
      </c>
      <c r="H36" s="9">
        <f t="shared" si="2"/>
        <v>2.8658307696024208</v>
      </c>
      <c r="I36" s="9">
        <f t="shared" si="3"/>
        <v>1.3796316543666149</v>
      </c>
      <c r="J36" s="10">
        <v>2.8650000000000002</v>
      </c>
      <c r="K36" s="10">
        <v>6.9000000000000006E-2</v>
      </c>
    </row>
    <row r="37" spans="1:13" x14ac:dyDescent="0.25">
      <c r="A37" s="824"/>
      <c r="B37" s="9" t="s">
        <v>19</v>
      </c>
      <c r="C37" s="9">
        <v>25</v>
      </c>
      <c r="D37" s="9">
        <v>1.2</v>
      </c>
      <c r="E37" s="9">
        <v>8.4000000000000005E-2</v>
      </c>
      <c r="F37" s="10">
        <f t="shared" si="0"/>
        <v>1.2029364072967448</v>
      </c>
      <c r="G37" s="9">
        <f t="shared" si="1"/>
        <v>4.0041729407093891</v>
      </c>
      <c r="H37" s="9">
        <f t="shared" si="2"/>
        <v>1.8019589340492752</v>
      </c>
      <c r="I37" s="9">
        <f t="shared" si="3"/>
        <v>2.6718645932725447</v>
      </c>
      <c r="J37" s="10">
        <v>1.8</v>
      </c>
      <c r="K37" s="10">
        <v>8.4000000000000005E-2</v>
      </c>
    </row>
    <row r="38" spans="1:13" x14ac:dyDescent="0.25">
      <c r="A38" s="824"/>
      <c r="B38" s="9" t="s">
        <v>19</v>
      </c>
      <c r="C38" s="9">
        <v>35</v>
      </c>
      <c r="D38" s="9">
        <v>0.86799999999999999</v>
      </c>
      <c r="E38" s="9">
        <v>8.2000000000000003E-2</v>
      </c>
      <c r="F38" s="10">
        <f t="shared" si="0"/>
        <v>0.87186466839756738</v>
      </c>
      <c r="G38" s="9">
        <f t="shared" si="1"/>
        <v>5.3967184621573878</v>
      </c>
      <c r="H38" s="9">
        <f t="shared" si="2"/>
        <v>1.304579625779891</v>
      </c>
      <c r="I38" s="9">
        <f t="shared" si="3"/>
        <v>3.6037302701617047</v>
      </c>
      <c r="J38" s="10">
        <v>1.302</v>
      </c>
      <c r="K38" s="10">
        <v>8.2000000000000003E-2</v>
      </c>
    </row>
    <row r="39" spans="1:13" x14ac:dyDescent="0.25">
      <c r="A39" s="824"/>
      <c r="B39" s="9" t="s">
        <v>19</v>
      </c>
      <c r="C39" s="9">
        <v>50</v>
      </c>
      <c r="D39" s="9">
        <v>0.64100000000000001</v>
      </c>
      <c r="E39" s="9">
        <v>8.1000000000000003E-2</v>
      </c>
      <c r="F39" s="10">
        <f t="shared" si="0"/>
        <v>0.64609751585964181</v>
      </c>
      <c r="G39" s="9">
        <f t="shared" si="1"/>
        <v>7.2020119747732796</v>
      </c>
      <c r="H39" s="9">
        <f t="shared" si="2"/>
        <v>0.96490582442018669</v>
      </c>
      <c r="I39" s="9">
        <f t="shared" si="3"/>
        <v>4.8154194272885871</v>
      </c>
      <c r="J39" s="10">
        <v>0.96150000000000002</v>
      </c>
      <c r="K39" s="10">
        <v>8.1000000000000003E-2</v>
      </c>
    </row>
    <row r="40" spans="1:13" x14ac:dyDescent="0.25">
      <c r="A40" s="824"/>
      <c r="B40" s="9" t="s">
        <v>19</v>
      </c>
      <c r="C40" s="9">
        <v>70</v>
      </c>
      <c r="D40" s="9">
        <v>0.44400000000000001</v>
      </c>
      <c r="E40" s="9">
        <v>0.08</v>
      </c>
      <c r="F40" s="10">
        <f t="shared" si="0"/>
        <v>0.45114964257993156</v>
      </c>
      <c r="G40" s="9">
        <f t="shared" si="1"/>
        <v>10.2139729850705</v>
      </c>
      <c r="H40" s="9">
        <f t="shared" si="2"/>
        <v>0.67078759678455602</v>
      </c>
      <c r="I40" s="9">
        <f t="shared" si="3"/>
        <v>6.8495579927666066</v>
      </c>
      <c r="J40" s="10">
        <v>0.66600000000000004</v>
      </c>
      <c r="K40" s="10">
        <v>0.08</v>
      </c>
    </row>
    <row r="41" spans="1:13" x14ac:dyDescent="0.25">
      <c r="A41" s="824"/>
      <c r="B41" s="9" t="s">
        <v>19</v>
      </c>
      <c r="C41" s="9">
        <v>95</v>
      </c>
      <c r="D41" s="9">
        <v>0.32100000000000001</v>
      </c>
      <c r="E41" s="9">
        <v>7.8E-2</v>
      </c>
      <c r="F41" s="10">
        <f t="shared" si="0"/>
        <v>0.33034073318317864</v>
      </c>
      <c r="G41" s="9">
        <f t="shared" si="1"/>
        <v>13.657642505812165</v>
      </c>
      <c r="H41" s="9">
        <f t="shared" si="2"/>
        <v>0.4877768444688616</v>
      </c>
      <c r="I41" s="9">
        <f t="shared" si="3"/>
        <v>9.2016253136448416</v>
      </c>
      <c r="J41" s="10">
        <v>0.48149999999999998</v>
      </c>
      <c r="K41" s="10">
        <v>7.8E-2</v>
      </c>
    </row>
    <row r="42" spans="1:13" x14ac:dyDescent="0.25">
      <c r="A42" s="824"/>
      <c r="B42" s="9" t="s">
        <v>19</v>
      </c>
      <c r="C42" s="9">
        <v>120</v>
      </c>
      <c r="D42" s="9">
        <v>0.254</v>
      </c>
      <c r="E42" s="9">
        <v>7.6999999999999999E-2</v>
      </c>
      <c r="F42" s="10">
        <f t="shared" si="0"/>
        <v>0.26541476974727685</v>
      </c>
      <c r="G42" s="9">
        <f t="shared" si="1"/>
        <v>16.864659233132173</v>
      </c>
      <c r="H42" s="9">
        <f t="shared" si="2"/>
        <v>0.38870297143191479</v>
      </c>
      <c r="I42" s="9">
        <f t="shared" si="3"/>
        <v>11.42556456630073</v>
      </c>
      <c r="J42" s="10">
        <v>0.38100000000000001</v>
      </c>
      <c r="K42" s="10">
        <v>7.6999999999999999E-2</v>
      </c>
    </row>
    <row r="43" spans="1:13" x14ac:dyDescent="0.25">
      <c r="A43" s="824"/>
      <c r="B43" s="9" t="s">
        <v>19</v>
      </c>
      <c r="C43" s="9">
        <v>150</v>
      </c>
      <c r="D43" s="9">
        <v>0.20699999999999999</v>
      </c>
      <c r="E43" s="9">
        <v>7.8E-2</v>
      </c>
      <c r="F43" s="10">
        <f t="shared" si="0"/>
        <v>0.22120804686990933</v>
      </c>
      <c r="G43" s="9">
        <f t="shared" si="1"/>
        <v>20.646990824970384</v>
      </c>
      <c r="H43" s="9">
        <f t="shared" si="2"/>
        <v>0.32014723175439136</v>
      </c>
      <c r="I43" s="9">
        <f t="shared" si="3"/>
        <v>14.101352280256743</v>
      </c>
      <c r="J43" s="10">
        <v>0.3105</v>
      </c>
      <c r="K43" s="10">
        <v>7.8E-2</v>
      </c>
    </row>
    <row r="44" spans="1:13" x14ac:dyDescent="0.25">
      <c r="A44" s="824"/>
      <c r="B44" s="9" t="s">
        <v>19</v>
      </c>
      <c r="C44" s="9">
        <v>185</v>
      </c>
      <c r="D44" s="9">
        <v>0.16600000000000001</v>
      </c>
      <c r="E44" s="9">
        <v>7.8E-2</v>
      </c>
      <c r="F44" s="10">
        <f t="shared" si="0"/>
        <v>0.18341210428976598</v>
      </c>
      <c r="G44" s="9">
        <f t="shared" si="1"/>
        <v>25.167870149781592</v>
      </c>
      <c r="H44" s="9">
        <f t="shared" si="2"/>
        <v>0.26093102536877444</v>
      </c>
      <c r="I44" s="9">
        <f t="shared" si="3"/>
        <v>17.393322146912052</v>
      </c>
      <c r="J44" s="10">
        <v>0.249</v>
      </c>
      <c r="K44" s="10">
        <v>7.8E-2</v>
      </c>
    </row>
    <row r="45" spans="1:13" x14ac:dyDescent="0.25">
      <c r="A45" s="824"/>
      <c r="B45" s="9" t="s">
        <v>19</v>
      </c>
      <c r="C45" s="9">
        <v>240</v>
      </c>
      <c r="D45" s="9">
        <v>0.127</v>
      </c>
      <c r="E45" s="9">
        <v>7.6999999999999999E-2</v>
      </c>
      <c r="F45" s="10">
        <f t="shared" si="0"/>
        <v>0.14851935900750449</v>
      </c>
      <c r="G45" s="9">
        <f t="shared" si="1"/>
        <v>31.22840028291759</v>
      </c>
      <c r="H45" s="9">
        <f t="shared" si="2"/>
        <v>0.20547323426665579</v>
      </c>
      <c r="I45" s="9">
        <f t="shared" si="3"/>
        <v>22.008532956500986</v>
      </c>
      <c r="J45" s="10">
        <v>0.1905</v>
      </c>
      <c r="K45" s="10">
        <v>7.6999999999999999E-2</v>
      </c>
    </row>
    <row r="46" spans="1:13" x14ac:dyDescent="0.25">
      <c r="A46" s="824"/>
      <c r="B46" s="9" t="s">
        <v>19</v>
      </c>
      <c r="C46" s="9">
        <v>300</v>
      </c>
      <c r="D46" s="9">
        <v>0.10299999999999999</v>
      </c>
      <c r="E46" s="9">
        <v>7.6999999999999999E-2</v>
      </c>
      <c r="F46" s="10">
        <f t="shared" si="0"/>
        <v>0.12860015552090129</v>
      </c>
      <c r="G46" s="9">
        <f t="shared" si="1"/>
        <v>36.780790751100938</v>
      </c>
      <c r="H46" s="9">
        <f t="shared" si="2"/>
        <v>0.17262459268597855</v>
      </c>
      <c r="I46" s="9">
        <f t="shared" si="3"/>
        <v>26.490833887612133</v>
      </c>
      <c r="J46" s="10">
        <v>0.1545</v>
      </c>
      <c r="K46" s="10">
        <v>7.6999999999999999E-2</v>
      </c>
    </row>
    <row r="47" spans="1:13" x14ac:dyDescent="0.25">
      <c r="A47" s="824"/>
      <c r="B47" s="9" t="s">
        <v>35</v>
      </c>
      <c r="C47" s="9">
        <v>16</v>
      </c>
      <c r="D47" s="9">
        <v>1.91</v>
      </c>
      <c r="E47" s="9">
        <v>7.1999999999999995E-2</v>
      </c>
      <c r="F47" s="10">
        <f t="shared" ref="F47:F48" si="4">IMABS(COMPLEX(D47,E47,"i"))</f>
        <v>1.9113565863019908</v>
      </c>
      <c r="G47" s="9">
        <f t="shared" ref="G47:G48" si="5">DEGREES(ACOS((D47/F47)))</f>
        <v>2.1588187200024436</v>
      </c>
      <c r="H47" s="9">
        <f t="shared" ref="H47:H48" si="6">IMABS(COMPLEX(J47,K47,"i"))</f>
        <v>2.865904569241621</v>
      </c>
      <c r="I47" s="9">
        <f t="shared" ref="I47:I48" si="7">DEGREES(ACOS((J47/H47)))</f>
        <v>1.4395909229655515</v>
      </c>
      <c r="J47" s="10">
        <v>2.8650000000000002</v>
      </c>
      <c r="K47" s="10">
        <v>7.1999999999999995E-2</v>
      </c>
      <c r="M47" s="13"/>
    </row>
    <row r="48" spans="1:13" x14ac:dyDescent="0.25">
      <c r="A48" s="825"/>
      <c r="B48" s="9" t="s">
        <v>35</v>
      </c>
      <c r="C48" s="9">
        <v>25</v>
      </c>
      <c r="D48" s="9">
        <v>1.2</v>
      </c>
      <c r="E48" s="9">
        <v>8.6999999999999994E-2</v>
      </c>
      <c r="F48" s="10">
        <f t="shared" si="4"/>
        <v>1.2031496166312816</v>
      </c>
      <c r="G48" s="9">
        <f t="shared" si="5"/>
        <v>4.1466888259660228</v>
      </c>
      <c r="H48" s="9">
        <f t="shared" si="6"/>
        <v>1.8021012735137834</v>
      </c>
      <c r="I48" s="9">
        <f t="shared" si="7"/>
        <v>2.7671425663444413</v>
      </c>
      <c r="J48" s="10">
        <v>1.8</v>
      </c>
      <c r="K48" s="10">
        <v>8.6999999999999994E-2</v>
      </c>
      <c r="M48" s="13"/>
    </row>
    <row r="49" spans="1:11" ht="15" customHeight="1" x14ac:dyDescent="0.25">
      <c r="A49" s="828" t="s">
        <v>64</v>
      </c>
      <c r="B49" s="48"/>
      <c r="C49" s="9">
        <v>1.5</v>
      </c>
      <c r="D49" s="9">
        <v>12.1</v>
      </c>
      <c r="E49" s="15">
        <v>0.11</v>
      </c>
      <c r="F49" s="16">
        <f t="shared" si="0"/>
        <v>12.100499989669849</v>
      </c>
      <c r="G49" s="15">
        <f t="shared" si="1"/>
        <v>0.52085637450281397</v>
      </c>
      <c r="H49" s="9">
        <f t="shared" si="2"/>
        <v>18.150333330272474</v>
      </c>
      <c r="I49" s="9">
        <f t="shared" si="3"/>
        <v>0.34724289708432948</v>
      </c>
      <c r="J49" s="10">
        <v>18.149999999999999</v>
      </c>
      <c r="K49" s="16">
        <v>0.11</v>
      </c>
    </row>
    <row r="50" spans="1:11" x14ac:dyDescent="0.25">
      <c r="A50" s="829"/>
      <c r="B50" s="49"/>
      <c r="C50" s="9">
        <v>2.5</v>
      </c>
      <c r="D50" s="9">
        <v>7.41</v>
      </c>
      <c r="E50" s="15">
        <v>0.10199999999999999</v>
      </c>
      <c r="F50" s="16">
        <f t="shared" si="0"/>
        <v>7.4107019910397147</v>
      </c>
      <c r="G50" s="15">
        <f t="shared" si="1"/>
        <v>0.78863703563770204</v>
      </c>
      <c r="H50" s="9">
        <f t="shared" si="2"/>
        <v>11.115468006341434</v>
      </c>
      <c r="I50" s="9">
        <f t="shared" si="3"/>
        <v>0.52577647018330198</v>
      </c>
      <c r="J50" s="10">
        <v>11.115</v>
      </c>
      <c r="K50" s="16">
        <v>0.10199999999999999</v>
      </c>
    </row>
    <row r="51" spans="1:11" x14ac:dyDescent="0.25">
      <c r="A51" s="829"/>
      <c r="B51" s="49"/>
      <c r="C51" s="9">
        <v>4</v>
      </c>
      <c r="D51" s="9">
        <v>4.6100000000000003</v>
      </c>
      <c r="E51" s="15">
        <v>9.6000000000000002E-2</v>
      </c>
      <c r="F51" s="16">
        <f t="shared" si="0"/>
        <v>4.6109994578182292</v>
      </c>
      <c r="G51" s="15">
        <f t="shared" si="1"/>
        <v>1.1929717908192679</v>
      </c>
      <c r="H51" s="9">
        <f t="shared" si="2"/>
        <v>6.9156663453350609</v>
      </c>
      <c r="I51" s="9">
        <f t="shared" si="3"/>
        <v>0.79537838080620382</v>
      </c>
      <c r="J51" s="10">
        <v>6.915</v>
      </c>
      <c r="K51" s="16">
        <v>9.6000000000000002E-2</v>
      </c>
    </row>
    <row r="52" spans="1:11" x14ac:dyDescent="0.25">
      <c r="A52" s="829"/>
      <c r="B52" s="49"/>
      <c r="C52" s="9">
        <v>6</v>
      </c>
      <c r="D52" s="9">
        <v>3.08</v>
      </c>
      <c r="E52" s="15">
        <v>9.4E-2</v>
      </c>
      <c r="F52" s="16">
        <f t="shared" si="0"/>
        <v>3.0814340817223402</v>
      </c>
      <c r="G52" s="15">
        <f t="shared" si="1"/>
        <v>1.748094813726927</v>
      </c>
      <c r="H52" s="9">
        <f t="shared" si="2"/>
        <v>4.6209561781085959</v>
      </c>
      <c r="I52" s="9">
        <f t="shared" si="3"/>
        <v>1.1655974603545514</v>
      </c>
      <c r="J52" s="10">
        <v>4.62</v>
      </c>
      <c r="K52" s="16">
        <v>9.4E-2</v>
      </c>
    </row>
    <row r="53" spans="1:11" x14ac:dyDescent="0.25">
      <c r="A53" s="829"/>
      <c r="B53" s="49"/>
      <c r="C53" s="9">
        <v>10</v>
      </c>
      <c r="D53" s="9">
        <v>1.83</v>
      </c>
      <c r="E53" s="15">
        <v>8.8999999999999996E-2</v>
      </c>
      <c r="F53" s="16">
        <f t="shared" si="0"/>
        <v>1.832162929436135</v>
      </c>
      <c r="G53" s="15">
        <f t="shared" si="1"/>
        <v>2.784322225699484</v>
      </c>
      <c r="H53" s="9">
        <f t="shared" si="2"/>
        <v>2.7464424261214724</v>
      </c>
      <c r="I53" s="9">
        <f t="shared" si="3"/>
        <v>1.8570268337297728</v>
      </c>
      <c r="J53" s="10">
        <v>2.7450000000000001</v>
      </c>
      <c r="K53" s="16">
        <v>8.8999999999999996E-2</v>
      </c>
    </row>
    <row r="54" spans="1:11" x14ac:dyDescent="0.25">
      <c r="A54" s="829"/>
      <c r="B54" s="49"/>
      <c r="C54" s="9">
        <v>16</v>
      </c>
      <c r="D54" s="9">
        <v>1.1499999999999999</v>
      </c>
      <c r="E54" s="15">
        <v>8.5000000000000006E-2</v>
      </c>
      <c r="F54" s="16">
        <f t="shared" si="0"/>
        <v>1.1531370256825506</v>
      </c>
      <c r="G54" s="15">
        <f t="shared" si="1"/>
        <v>4.2272186653265917</v>
      </c>
      <c r="H54" s="9">
        <f t="shared" si="2"/>
        <v>1.727092933226235</v>
      </c>
      <c r="I54" s="9">
        <f t="shared" si="3"/>
        <v>2.8209885935155139</v>
      </c>
      <c r="J54" s="10">
        <v>1.7250000000000001</v>
      </c>
      <c r="K54" s="16">
        <v>8.5000000000000006E-2</v>
      </c>
    </row>
    <row r="55" spans="1:11" x14ac:dyDescent="0.25">
      <c r="A55" s="829"/>
      <c r="B55" s="49"/>
      <c r="C55" s="9">
        <v>25</v>
      </c>
      <c r="D55" s="9">
        <v>0.72699999999999998</v>
      </c>
      <c r="E55" s="15">
        <v>8.5999999999999993E-2</v>
      </c>
      <c r="F55" s="16">
        <f t="shared" si="0"/>
        <v>0.73206898582032554</v>
      </c>
      <c r="G55" s="15">
        <f t="shared" si="1"/>
        <v>6.7464153867875067</v>
      </c>
      <c r="H55" s="9">
        <f t="shared" si="2"/>
        <v>1.0938858487063448</v>
      </c>
      <c r="I55" s="9">
        <f t="shared" si="3"/>
        <v>4.5091791137360984</v>
      </c>
      <c r="J55" s="10">
        <v>1.0905</v>
      </c>
      <c r="K55" s="16">
        <v>8.5999999999999993E-2</v>
      </c>
    </row>
    <row r="56" spans="1:11" x14ac:dyDescent="0.25">
      <c r="A56" s="829"/>
      <c r="B56" s="49"/>
      <c r="C56" s="9">
        <v>35</v>
      </c>
      <c r="D56" s="9">
        <v>0.52500000000000002</v>
      </c>
      <c r="E56" s="15">
        <v>8.2000000000000003E-2</v>
      </c>
      <c r="F56" s="16">
        <f t="shared" si="0"/>
        <v>0.53136522279878273</v>
      </c>
      <c r="G56" s="15">
        <f t="shared" si="1"/>
        <v>8.8773299361420541</v>
      </c>
      <c r="H56" s="9">
        <f t="shared" si="2"/>
        <v>0.79175769652084849</v>
      </c>
      <c r="I56" s="9">
        <f t="shared" si="3"/>
        <v>5.9446138085083309</v>
      </c>
      <c r="J56" s="10">
        <v>0.78749999999999998</v>
      </c>
      <c r="K56" s="16">
        <v>8.2000000000000003E-2</v>
      </c>
    </row>
    <row r="57" spans="1:11" x14ac:dyDescent="0.25">
      <c r="A57" s="829"/>
      <c r="B57" s="49"/>
      <c r="C57" s="9">
        <v>50</v>
      </c>
      <c r="D57" s="9">
        <v>0.38800000000000001</v>
      </c>
      <c r="E57" s="15">
        <v>8.4000000000000005E-2</v>
      </c>
      <c r="F57" s="16">
        <f t="shared" si="0"/>
        <v>0.39698866482558415</v>
      </c>
      <c r="G57" s="15">
        <f t="shared" si="1"/>
        <v>12.215719134130845</v>
      </c>
      <c r="H57" s="9">
        <f t="shared" si="2"/>
        <v>0.58803061144807767</v>
      </c>
      <c r="I57" s="9">
        <f t="shared" si="3"/>
        <v>8.2127801892859527</v>
      </c>
      <c r="J57" s="10">
        <v>0.58199999999999996</v>
      </c>
      <c r="K57" s="16">
        <v>8.4000000000000005E-2</v>
      </c>
    </row>
    <row r="58" spans="1:11" x14ac:dyDescent="0.25">
      <c r="A58" s="829"/>
      <c r="B58" s="49"/>
      <c r="C58" s="9">
        <v>70</v>
      </c>
      <c r="D58" s="9">
        <v>0.26900000000000002</v>
      </c>
      <c r="E58" s="15">
        <v>8.1000000000000003E-2</v>
      </c>
      <c r="F58" s="16">
        <f t="shared" si="0"/>
        <v>0.28093059641128448</v>
      </c>
      <c r="G58" s="15">
        <f t="shared" si="1"/>
        <v>16.757848829491717</v>
      </c>
      <c r="H58" s="9">
        <f t="shared" si="2"/>
        <v>0.41154981472477908</v>
      </c>
      <c r="I58" s="9">
        <f t="shared" si="3"/>
        <v>11.350887277276053</v>
      </c>
      <c r="J58" s="10">
        <v>0.40350000000000003</v>
      </c>
      <c r="K58" s="16">
        <v>8.1000000000000003E-2</v>
      </c>
    </row>
    <row r="59" spans="1:11" x14ac:dyDescent="0.25">
      <c r="A59" s="829"/>
      <c r="B59" s="49"/>
      <c r="C59" s="9">
        <v>95</v>
      </c>
      <c r="D59" s="9">
        <v>0.19400000000000001</v>
      </c>
      <c r="E59" s="15">
        <v>8.2000000000000003E-2</v>
      </c>
      <c r="F59" s="16">
        <f t="shared" si="0"/>
        <v>0.21061813787041228</v>
      </c>
      <c r="G59" s="15">
        <f t="shared" si="1"/>
        <v>22.912828396771637</v>
      </c>
      <c r="H59" s="9">
        <f t="shared" si="2"/>
        <v>0.30233259830855153</v>
      </c>
      <c r="I59" s="9">
        <f t="shared" si="3"/>
        <v>15.737143189605677</v>
      </c>
      <c r="J59" s="10">
        <v>0.29099999999999998</v>
      </c>
      <c r="K59" s="16">
        <v>8.2000000000000003E-2</v>
      </c>
    </row>
    <row r="60" spans="1:11" x14ac:dyDescent="0.25">
      <c r="A60" s="829"/>
      <c r="B60" s="49"/>
      <c r="C60" s="9">
        <v>120</v>
      </c>
      <c r="D60" s="9">
        <v>0.155</v>
      </c>
      <c r="E60" s="15">
        <v>8.2000000000000003E-2</v>
      </c>
      <c r="F60" s="16">
        <f t="shared" si="0"/>
        <v>0.17535392781457734</v>
      </c>
      <c r="G60" s="15">
        <f t="shared" si="1"/>
        <v>27.880284438052758</v>
      </c>
      <c r="H60" s="9">
        <f t="shared" si="2"/>
        <v>0.24653650845260222</v>
      </c>
      <c r="I60" s="9">
        <f t="shared" si="3"/>
        <v>19.427143439145649</v>
      </c>
      <c r="J60" s="10">
        <v>0.23250000000000001</v>
      </c>
      <c r="K60" s="16">
        <v>8.2000000000000003E-2</v>
      </c>
    </row>
    <row r="61" spans="1:11" x14ac:dyDescent="0.25">
      <c r="A61" s="829"/>
      <c r="B61" s="49"/>
      <c r="C61" s="9">
        <v>150</v>
      </c>
      <c r="D61" s="9">
        <v>0.126</v>
      </c>
      <c r="E61" s="15">
        <v>8.4000000000000005E-2</v>
      </c>
      <c r="F61" s="16">
        <f t="shared" si="0"/>
        <v>0.15143315356948756</v>
      </c>
      <c r="G61" s="15">
        <f t="shared" si="1"/>
        <v>33.690067525979792</v>
      </c>
      <c r="H61" s="9">
        <f t="shared" si="2"/>
        <v>0.2068260138377182</v>
      </c>
      <c r="I61" s="9">
        <f t="shared" si="3"/>
        <v>23.962488974578175</v>
      </c>
      <c r="J61" s="10">
        <v>0.189</v>
      </c>
      <c r="K61" s="16">
        <v>8.4000000000000005E-2</v>
      </c>
    </row>
    <row r="62" spans="1:11" x14ac:dyDescent="0.25">
      <c r="A62" s="829"/>
      <c r="B62" s="49"/>
      <c r="C62" s="9">
        <v>185</v>
      </c>
      <c r="D62" s="9">
        <v>0.1017</v>
      </c>
      <c r="E62" s="15">
        <v>8.2000000000000003E-2</v>
      </c>
      <c r="F62" s="16">
        <f t="shared" si="0"/>
        <v>0.13064030771549798</v>
      </c>
      <c r="G62" s="15">
        <f t="shared" si="1"/>
        <v>38.878990083229581</v>
      </c>
      <c r="H62" s="9">
        <f t="shared" si="2"/>
        <v>0.17323613941669333</v>
      </c>
      <c r="I62" s="9">
        <f t="shared" si="3"/>
        <v>28.251474866856782</v>
      </c>
      <c r="J62" s="10">
        <v>0.15260000000000001</v>
      </c>
      <c r="K62" s="16">
        <v>8.2000000000000003E-2</v>
      </c>
    </row>
    <row r="63" spans="1:11" x14ac:dyDescent="0.25">
      <c r="A63" s="829"/>
      <c r="B63" s="49"/>
      <c r="C63" s="9">
        <v>240</v>
      </c>
      <c r="D63" s="9">
        <v>7.8700000000000006E-2</v>
      </c>
      <c r="E63" s="15">
        <v>8.3000000000000004E-2</v>
      </c>
      <c r="F63" s="16">
        <f t="shared" si="0"/>
        <v>0.11437958733969975</v>
      </c>
      <c r="G63" s="15">
        <f t="shared" si="1"/>
        <v>46.523276449417281</v>
      </c>
      <c r="H63" s="9">
        <f t="shared" si="2"/>
        <v>0.14434891755742404</v>
      </c>
      <c r="I63" s="9">
        <f t="shared" si="3"/>
        <v>35.099327719173218</v>
      </c>
      <c r="J63" s="10">
        <v>0.1181</v>
      </c>
      <c r="K63" s="16">
        <v>8.3000000000000004E-2</v>
      </c>
    </row>
    <row r="64" spans="1:11" x14ac:dyDescent="0.25">
      <c r="A64" s="829"/>
      <c r="B64" s="49"/>
      <c r="C64" s="9">
        <v>16</v>
      </c>
      <c r="D64" s="9">
        <v>1.91</v>
      </c>
      <c r="E64" s="15">
        <v>6.9000000000000006E-2</v>
      </c>
      <c r="F64" s="16">
        <f t="shared" si="0"/>
        <v>1.9112459287072401</v>
      </c>
      <c r="G64" s="15">
        <f t="shared" si="1"/>
        <v>2.0689478094792522</v>
      </c>
      <c r="H64" s="9">
        <f t="shared" si="2"/>
        <v>2.8658307696024208</v>
      </c>
      <c r="I64" s="9">
        <f t="shared" si="3"/>
        <v>1.3796316543666149</v>
      </c>
      <c r="J64" s="10">
        <v>2.8650000000000002</v>
      </c>
      <c r="K64" s="16">
        <v>6.9000000000000006E-2</v>
      </c>
    </row>
    <row r="65" spans="1:11" x14ac:dyDescent="0.25">
      <c r="A65" s="829"/>
      <c r="B65" s="49"/>
      <c r="C65" s="9">
        <v>25</v>
      </c>
      <c r="D65" s="9">
        <v>1.2</v>
      </c>
      <c r="E65" s="15">
        <v>8.4000000000000005E-2</v>
      </c>
      <c r="F65" s="16">
        <f t="shared" si="0"/>
        <v>1.2029364072967448</v>
      </c>
      <c r="G65" s="15">
        <f t="shared" si="1"/>
        <v>4.0041729407093891</v>
      </c>
      <c r="H65" s="9">
        <f t="shared" ref="H65:H74" si="8">IMABS(COMPLEX(J65,K65,"i"))</f>
        <v>1.8019589340492752</v>
      </c>
      <c r="I65" s="9">
        <f t="shared" ref="I65:I74" si="9">DEGREES(ACOS((J65/H65)))</f>
        <v>2.6718645932725447</v>
      </c>
      <c r="J65" s="10">
        <v>1.8</v>
      </c>
      <c r="K65" s="16">
        <v>8.4000000000000005E-2</v>
      </c>
    </row>
    <row r="66" spans="1:11" x14ac:dyDescent="0.25">
      <c r="A66" s="829"/>
      <c r="B66" s="49"/>
      <c r="C66" s="9">
        <v>35</v>
      </c>
      <c r="D66" s="9">
        <v>0.86799999999999999</v>
      </c>
      <c r="E66" s="15">
        <v>8.2000000000000003E-2</v>
      </c>
      <c r="F66" s="16">
        <f t="shared" si="0"/>
        <v>0.87186466839756738</v>
      </c>
      <c r="G66" s="15">
        <f t="shared" si="1"/>
        <v>5.3967184621573878</v>
      </c>
      <c r="H66" s="9">
        <f t="shared" si="8"/>
        <v>1.304579625779891</v>
      </c>
      <c r="I66" s="9">
        <f t="shared" si="9"/>
        <v>3.6037302701617047</v>
      </c>
      <c r="J66" s="10">
        <v>1.302</v>
      </c>
      <c r="K66" s="16">
        <v>8.2000000000000003E-2</v>
      </c>
    </row>
    <row r="67" spans="1:11" x14ac:dyDescent="0.25">
      <c r="A67" s="829"/>
      <c r="B67" s="49"/>
      <c r="C67" s="9">
        <v>50</v>
      </c>
      <c r="D67" s="9">
        <v>0.64100000000000001</v>
      </c>
      <c r="E67" s="15">
        <v>8.1000000000000003E-2</v>
      </c>
      <c r="F67" s="16">
        <f t="shared" si="0"/>
        <v>0.64609751585964181</v>
      </c>
      <c r="G67" s="15">
        <f t="shared" si="1"/>
        <v>7.2020119747732796</v>
      </c>
      <c r="H67" s="9">
        <f t="shared" si="8"/>
        <v>0.96490582442018669</v>
      </c>
      <c r="I67" s="9">
        <f t="shared" si="9"/>
        <v>4.8154194272885871</v>
      </c>
      <c r="J67" s="10">
        <v>0.96150000000000002</v>
      </c>
      <c r="K67" s="16">
        <v>8.1000000000000003E-2</v>
      </c>
    </row>
    <row r="68" spans="1:11" x14ac:dyDescent="0.25">
      <c r="A68" s="829"/>
      <c r="B68" s="49"/>
      <c r="C68" s="9">
        <v>70</v>
      </c>
      <c r="D68" s="9">
        <v>0.44400000000000001</v>
      </c>
      <c r="E68" s="15">
        <v>0.08</v>
      </c>
      <c r="F68" s="16">
        <f t="shared" si="0"/>
        <v>0.45114964257993156</v>
      </c>
      <c r="G68" s="15">
        <f t="shared" si="1"/>
        <v>10.2139729850705</v>
      </c>
      <c r="H68" s="9">
        <f t="shared" si="8"/>
        <v>0.67078759678455602</v>
      </c>
      <c r="I68" s="9">
        <f t="shared" si="9"/>
        <v>6.8495579927666066</v>
      </c>
      <c r="J68" s="10">
        <v>0.66600000000000004</v>
      </c>
      <c r="K68" s="16">
        <v>0.08</v>
      </c>
    </row>
    <row r="69" spans="1:11" x14ac:dyDescent="0.25">
      <c r="A69" s="829"/>
      <c r="B69" s="49"/>
      <c r="C69" s="9">
        <v>95</v>
      </c>
      <c r="D69" s="9">
        <v>0.32100000000000001</v>
      </c>
      <c r="E69" s="15">
        <v>7.8E-2</v>
      </c>
      <c r="F69" s="16">
        <f t="shared" si="0"/>
        <v>0.33034073318317864</v>
      </c>
      <c r="G69" s="15">
        <f t="shared" si="1"/>
        <v>13.657642505812165</v>
      </c>
      <c r="H69" s="9">
        <f t="shared" si="8"/>
        <v>0.4877768444688616</v>
      </c>
      <c r="I69" s="9">
        <f t="shared" si="9"/>
        <v>9.2016253136448416</v>
      </c>
      <c r="J69" s="10">
        <v>0.48149999999999998</v>
      </c>
      <c r="K69" s="16">
        <v>7.8E-2</v>
      </c>
    </row>
    <row r="70" spans="1:11" x14ac:dyDescent="0.25">
      <c r="A70" s="829"/>
      <c r="B70" s="49"/>
      <c r="C70" s="9">
        <v>120</v>
      </c>
      <c r="D70" s="9">
        <v>0.254</v>
      </c>
      <c r="E70" s="15">
        <v>7.6999999999999999E-2</v>
      </c>
      <c r="F70" s="16">
        <f t="shared" si="0"/>
        <v>0.26541476974727685</v>
      </c>
      <c r="G70" s="15">
        <f t="shared" si="1"/>
        <v>16.864659233132173</v>
      </c>
      <c r="H70" s="9">
        <f t="shared" si="8"/>
        <v>0.38870297143191479</v>
      </c>
      <c r="I70" s="9">
        <f t="shared" si="9"/>
        <v>11.42556456630073</v>
      </c>
      <c r="J70" s="10">
        <v>0.38100000000000001</v>
      </c>
      <c r="K70" s="16">
        <v>7.6999999999999999E-2</v>
      </c>
    </row>
    <row r="71" spans="1:11" x14ac:dyDescent="0.25">
      <c r="A71" s="829"/>
      <c r="B71" s="49"/>
      <c r="C71" s="9">
        <v>150</v>
      </c>
      <c r="D71" s="9">
        <v>0.20699999999999999</v>
      </c>
      <c r="E71" s="15">
        <v>7.8E-2</v>
      </c>
      <c r="F71" s="16">
        <f t="shared" si="0"/>
        <v>0.22120804686990933</v>
      </c>
      <c r="G71" s="15">
        <f t="shared" si="1"/>
        <v>20.646990824970384</v>
      </c>
      <c r="H71" s="9">
        <f t="shared" si="8"/>
        <v>0.32014723175439136</v>
      </c>
      <c r="I71" s="9">
        <f t="shared" si="9"/>
        <v>14.101352280256743</v>
      </c>
      <c r="J71" s="10">
        <v>0.3105</v>
      </c>
      <c r="K71" s="16">
        <v>7.8E-2</v>
      </c>
    </row>
    <row r="72" spans="1:11" x14ac:dyDescent="0.25">
      <c r="A72" s="829"/>
      <c r="B72" s="49"/>
      <c r="C72" s="9">
        <v>185</v>
      </c>
      <c r="D72" s="9">
        <v>0.16600000000000001</v>
      </c>
      <c r="E72" s="15">
        <v>7.8E-2</v>
      </c>
      <c r="F72" s="16">
        <f t="shared" si="0"/>
        <v>0.18341210428976598</v>
      </c>
      <c r="G72" s="15">
        <f t="shared" si="1"/>
        <v>25.167870149781592</v>
      </c>
      <c r="H72" s="9">
        <f t="shared" si="8"/>
        <v>0.26093102536877444</v>
      </c>
      <c r="I72" s="9">
        <f t="shared" si="9"/>
        <v>17.393322146912052</v>
      </c>
      <c r="J72" s="10">
        <v>0.249</v>
      </c>
      <c r="K72" s="16">
        <v>7.8E-2</v>
      </c>
    </row>
    <row r="73" spans="1:11" x14ac:dyDescent="0.25">
      <c r="A73" s="829"/>
      <c r="B73" s="49"/>
      <c r="C73" s="9">
        <v>240</v>
      </c>
      <c r="D73" s="9">
        <v>0.127</v>
      </c>
      <c r="E73" s="15">
        <v>7.6999999999999999E-2</v>
      </c>
      <c r="F73" s="16">
        <f t="shared" si="0"/>
        <v>0.14851935900750449</v>
      </c>
      <c r="G73" s="15">
        <f t="shared" si="1"/>
        <v>31.22840028291759</v>
      </c>
      <c r="H73" s="9">
        <f t="shared" si="8"/>
        <v>0.20547323426665579</v>
      </c>
      <c r="I73" s="9">
        <f t="shared" si="9"/>
        <v>22.008532956500986</v>
      </c>
      <c r="J73" s="10">
        <v>0.1905</v>
      </c>
      <c r="K73" s="16">
        <v>7.6999999999999999E-2</v>
      </c>
    </row>
    <row r="74" spans="1:11" x14ac:dyDescent="0.25">
      <c r="A74" s="830"/>
      <c r="B74" s="50"/>
      <c r="C74" s="9">
        <v>300</v>
      </c>
      <c r="D74" s="9">
        <v>0.10299999999999999</v>
      </c>
      <c r="E74" s="15">
        <v>7.6999999999999999E-2</v>
      </c>
      <c r="F74" s="16">
        <f t="shared" si="0"/>
        <v>0.12860015552090129</v>
      </c>
      <c r="G74" s="15">
        <f t="shared" si="1"/>
        <v>36.780790751100938</v>
      </c>
      <c r="H74" s="9">
        <f t="shared" si="8"/>
        <v>0.17262459268597855</v>
      </c>
      <c r="I74" s="9">
        <f t="shared" si="9"/>
        <v>26.490833887612133</v>
      </c>
      <c r="J74" s="10">
        <v>0.1545</v>
      </c>
      <c r="K74" s="16">
        <v>7.6999999999999999E-2</v>
      </c>
    </row>
    <row r="75" spans="1:11" ht="15" customHeight="1" x14ac:dyDescent="0.25">
      <c r="A75" s="826" t="s">
        <v>44</v>
      </c>
      <c r="B75" s="826"/>
      <c r="C75" s="826"/>
      <c r="D75" s="826"/>
      <c r="E75" s="826"/>
      <c r="F75" s="826"/>
      <c r="G75" s="826"/>
      <c r="H75" s="826"/>
      <c r="I75" s="826"/>
      <c r="J75" s="826"/>
      <c r="K75" s="826"/>
    </row>
    <row r="76" spans="1:11" x14ac:dyDescent="0.25">
      <c r="A76" s="826"/>
      <c r="B76" s="826"/>
      <c r="C76" s="826"/>
      <c r="D76" s="826"/>
      <c r="E76" s="826"/>
      <c r="F76" s="826"/>
      <c r="G76" s="826"/>
      <c r="H76" s="826"/>
      <c r="I76" s="826"/>
      <c r="J76" s="826"/>
      <c r="K76" s="826"/>
    </row>
    <row r="77" spans="1:11" ht="15" customHeight="1" x14ac:dyDescent="0.25">
      <c r="A77" s="826" t="s">
        <v>110</v>
      </c>
      <c r="B77" s="826"/>
      <c r="C77" s="826"/>
      <c r="D77" s="826"/>
      <c r="E77" s="826"/>
      <c r="F77" s="826"/>
      <c r="G77" s="826"/>
      <c r="H77" s="826"/>
      <c r="I77" s="826"/>
      <c r="J77" s="826"/>
      <c r="K77" s="826"/>
    </row>
    <row r="78" spans="1:11" ht="15.75" thickBot="1" x14ac:dyDescent="0.3">
      <c r="A78" s="826"/>
      <c r="B78" s="826"/>
      <c r="C78" s="826"/>
      <c r="D78" s="826"/>
      <c r="E78" s="826"/>
      <c r="F78" s="826"/>
      <c r="G78" s="826"/>
      <c r="H78" s="826"/>
      <c r="I78" s="826"/>
      <c r="J78" s="826"/>
      <c r="K78" s="826"/>
    </row>
    <row r="79" spans="1:11" x14ac:dyDescent="0.25">
      <c r="A79" s="817" t="s">
        <v>120</v>
      </c>
      <c r="B79" s="818"/>
      <c r="C79" s="818"/>
      <c r="D79" s="818"/>
      <c r="E79" s="818"/>
      <c r="F79" s="818"/>
      <c r="G79" s="818"/>
      <c r="H79" s="818"/>
      <c r="I79" s="818"/>
      <c r="J79" s="818"/>
      <c r="K79" s="819"/>
    </row>
    <row r="80" spans="1:11" ht="15.75" thickBot="1" x14ac:dyDescent="0.3">
      <c r="A80" s="820"/>
      <c r="B80" s="821"/>
      <c r="C80" s="821"/>
      <c r="D80" s="821"/>
      <c r="E80" s="821"/>
      <c r="F80" s="821"/>
      <c r="G80" s="821"/>
      <c r="H80" s="821"/>
      <c r="I80" s="821"/>
      <c r="J80" s="821"/>
      <c r="K80" s="822"/>
    </row>
    <row r="81" spans="1:11" ht="15.75" thickBot="1" x14ac:dyDescent="0.3">
      <c r="A81" s="43"/>
      <c r="B81" s="1"/>
      <c r="C81" s="1"/>
      <c r="D81" s="732" t="s">
        <v>0</v>
      </c>
      <c r="E81" s="733"/>
      <c r="F81" s="733"/>
      <c r="G81" s="736"/>
      <c r="H81" s="732" t="s">
        <v>1</v>
      </c>
      <c r="I81" s="733"/>
      <c r="J81" s="733"/>
      <c r="K81" s="736"/>
    </row>
    <row r="82" spans="1:11" ht="15.75" thickBot="1" x14ac:dyDescent="0.3">
      <c r="A82" s="2" t="s">
        <v>45</v>
      </c>
      <c r="B82" s="2" t="s">
        <v>2</v>
      </c>
      <c r="C82" s="2" t="s">
        <v>46</v>
      </c>
      <c r="D82" s="3" t="s">
        <v>3</v>
      </c>
      <c r="E82" s="4" t="s">
        <v>4</v>
      </c>
      <c r="F82" s="5" t="s">
        <v>5</v>
      </c>
      <c r="G82" s="5" t="s">
        <v>6</v>
      </c>
      <c r="H82" s="2" t="s">
        <v>7</v>
      </c>
      <c r="I82" s="2" t="s">
        <v>8</v>
      </c>
      <c r="J82" s="6" t="s">
        <v>3</v>
      </c>
      <c r="K82" s="2" t="s">
        <v>4</v>
      </c>
    </row>
    <row r="83" spans="1:11" ht="15" customHeight="1" x14ac:dyDescent="0.25">
      <c r="A83" s="823" t="s">
        <v>127</v>
      </c>
      <c r="B83" s="7" t="s">
        <v>111</v>
      </c>
      <c r="C83" s="7">
        <v>0.75</v>
      </c>
      <c r="D83" s="7">
        <v>26</v>
      </c>
      <c r="E83" s="7">
        <v>0.111</v>
      </c>
      <c r="F83" s="51">
        <f>IMABS(COMPLEX(D83,E83,"i"))</f>
        <v>26.000236941228057</v>
      </c>
      <c r="G83" s="7">
        <f>DEGREES(ACOS((D83/F83)))</f>
        <v>0.24460741875359343</v>
      </c>
      <c r="H83" s="53">
        <f>IMABS(COMPLEX(J83,K83,"i"))</f>
        <v>39.000157961218569</v>
      </c>
      <c r="I83" s="7">
        <f>DEGREES(ACOS((J83/H83)))</f>
        <v>0.16307216290395216</v>
      </c>
      <c r="J83" s="8">
        <v>39</v>
      </c>
      <c r="K83" s="8">
        <v>0.111</v>
      </c>
    </row>
    <row r="84" spans="1:11" x14ac:dyDescent="0.25">
      <c r="A84" s="824"/>
      <c r="B84" s="7" t="s">
        <v>111</v>
      </c>
      <c r="C84" s="7">
        <v>1</v>
      </c>
      <c r="D84" s="9">
        <v>19.5</v>
      </c>
      <c r="E84" s="9">
        <v>0.105</v>
      </c>
      <c r="F84" s="52">
        <f t="shared" ref="F84:F123" si="10">IMABS(COMPLEX(D84,E84,"i"))</f>
        <v>19.500282690258622</v>
      </c>
      <c r="G84" s="9">
        <f t="shared" ref="G84:G123" si="11">DEGREES(ACOS((D84/F84)))</f>
        <v>0.30851275418189195</v>
      </c>
      <c r="H84" s="54">
        <f t="shared" ref="H84:H123" si="12">IMABS(COMPLEX(J84,K84,"i"))</f>
        <v>29.250188460931323</v>
      </c>
      <c r="I84" s="9">
        <f t="shared" ref="I84:I123" si="13">DEGREES(ACOS((J84/H84)))</f>
        <v>0.20567627376348468</v>
      </c>
      <c r="J84" s="10">
        <v>29.25</v>
      </c>
      <c r="K84" s="10">
        <v>0.105</v>
      </c>
    </row>
    <row r="85" spans="1:11" x14ac:dyDescent="0.25">
      <c r="A85" s="824"/>
      <c r="B85" s="7" t="s">
        <v>111</v>
      </c>
      <c r="C85" s="7">
        <v>1.5</v>
      </c>
      <c r="D85" s="9">
        <v>13.3</v>
      </c>
      <c r="E85" s="9">
        <v>0.107</v>
      </c>
      <c r="F85" s="52">
        <f t="shared" si="10"/>
        <v>13.300430406569557</v>
      </c>
      <c r="G85" s="9">
        <f t="shared" si="11"/>
        <v>0.46094106365923715</v>
      </c>
      <c r="H85" s="54">
        <f t="shared" si="12"/>
        <v>19.950286940292361</v>
      </c>
      <c r="I85" s="9">
        <f t="shared" si="13"/>
        <v>0.30729772550625756</v>
      </c>
      <c r="J85" s="10">
        <v>19.95</v>
      </c>
      <c r="K85" s="10">
        <v>0.107</v>
      </c>
    </row>
    <row r="86" spans="1:11" x14ac:dyDescent="0.25">
      <c r="A86" s="824"/>
      <c r="B86" s="7" t="s">
        <v>111</v>
      </c>
      <c r="C86" s="7">
        <v>2.5</v>
      </c>
      <c r="D86" s="9">
        <v>7.98</v>
      </c>
      <c r="E86" s="9">
        <v>0.10299999999999999</v>
      </c>
      <c r="F86" s="10">
        <f t="shared" si="10"/>
        <v>7.9806646966277182</v>
      </c>
      <c r="G86" s="9">
        <f t="shared" si="11"/>
        <v>0.73949092723492893</v>
      </c>
      <c r="H86" s="54">
        <f t="shared" si="12"/>
        <v>11.97044314133775</v>
      </c>
      <c r="I86" s="9">
        <f t="shared" si="13"/>
        <v>0.49300915969325609</v>
      </c>
      <c r="J86" s="10">
        <v>11.97</v>
      </c>
      <c r="K86" s="10">
        <v>0.10299999999999999</v>
      </c>
    </row>
    <row r="87" spans="1:11" x14ac:dyDescent="0.25">
      <c r="A87" s="824"/>
      <c r="B87" s="9" t="s">
        <v>10</v>
      </c>
      <c r="C87" s="9">
        <v>0.75</v>
      </c>
      <c r="D87" s="9">
        <v>26</v>
      </c>
      <c r="E87" s="9">
        <v>0.111</v>
      </c>
      <c r="F87" s="52">
        <f t="shared" si="10"/>
        <v>26.000236941228057</v>
      </c>
      <c r="G87" s="9">
        <f t="shared" si="11"/>
        <v>0.24460741875359343</v>
      </c>
      <c r="H87" s="54">
        <f t="shared" si="12"/>
        <v>39.000157961218569</v>
      </c>
      <c r="I87" s="9">
        <f t="shared" si="13"/>
        <v>0.16307216290395216</v>
      </c>
      <c r="J87" s="10">
        <v>39</v>
      </c>
      <c r="K87" s="10">
        <v>0.111</v>
      </c>
    </row>
    <row r="88" spans="1:11" x14ac:dyDescent="0.25">
      <c r="A88" s="824"/>
      <c r="B88" s="9" t="s">
        <v>10</v>
      </c>
      <c r="C88" s="9">
        <v>1</v>
      </c>
      <c r="D88" s="9">
        <v>19.5</v>
      </c>
      <c r="E88" s="9">
        <v>0.105</v>
      </c>
      <c r="F88" s="52">
        <f t="shared" si="10"/>
        <v>19.500282690258622</v>
      </c>
      <c r="G88" s="9">
        <f t="shared" si="11"/>
        <v>0.30851275418189195</v>
      </c>
      <c r="H88" s="54">
        <f t="shared" si="12"/>
        <v>29.250188460931323</v>
      </c>
      <c r="I88" s="9">
        <f t="shared" si="13"/>
        <v>0.20567627376348468</v>
      </c>
      <c r="J88" s="10">
        <v>29.25</v>
      </c>
      <c r="K88" s="10">
        <v>0.105</v>
      </c>
    </row>
    <row r="89" spans="1:11" x14ac:dyDescent="0.25">
      <c r="A89" s="824"/>
      <c r="B89" s="9" t="s">
        <v>10</v>
      </c>
      <c r="C89" s="9">
        <v>1.5</v>
      </c>
      <c r="D89" s="9">
        <v>13.3</v>
      </c>
      <c r="E89" s="9">
        <v>0.107</v>
      </c>
      <c r="F89" s="52">
        <f t="shared" si="10"/>
        <v>13.300430406569557</v>
      </c>
      <c r="G89" s="9">
        <f t="shared" si="11"/>
        <v>0.46094106365923715</v>
      </c>
      <c r="H89" s="54">
        <f t="shared" si="12"/>
        <v>19.950286940292361</v>
      </c>
      <c r="I89" s="9">
        <f t="shared" si="13"/>
        <v>0.30729772550625756</v>
      </c>
      <c r="J89" s="10">
        <v>19.95</v>
      </c>
      <c r="K89" s="10">
        <v>0.107</v>
      </c>
    </row>
    <row r="90" spans="1:11" x14ac:dyDescent="0.25">
      <c r="A90" s="824"/>
      <c r="B90" s="9" t="s">
        <v>10</v>
      </c>
      <c r="C90" s="9">
        <v>2.5</v>
      </c>
      <c r="D90" s="9">
        <v>7.98</v>
      </c>
      <c r="E90" s="9">
        <v>0.10299999999999999</v>
      </c>
      <c r="F90" s="10">
        <f t="shared" si="10"/>
        <v>7.9806646966277182</v>
      </c>
      <c r="G90" s="9">
        <f t="shared" si="11"/>
        <v>0.73949092723492893</v>
      </c>
      <c r="H90" s="54">
        <f t="shared" si="12"/>
        <v>11.97044314133775</v>
      </c>
      <c r="I90" s="9">
        <f t="shared" si="13"/>
        <v>0.49300915969325609</v>
      </c>
      <c r="J90" s="10">
        <v>11.97</v>
      </c>
      <c r="K90" s="10">
        <v>0.10299999999999999</v>
      </c>
    </row>
    <row r="91" spans="1:11" x14ac:dyDescent="0.25">
      <c r="A91" s="824"/>
      <c r="B91" s="9" t="s">
        <v>10</v>
      </c>
      <c r="C91" s="9">
        <v>4</v>
      </c>
      <c r="D91" s="9">
        <v>4.95</v>
      </c>
      <c r="E91" s="9">
        <v>0.1</v>
      </c>
      <c r="F91" s="52">
        <f t="shared" si="10"/>
        <v>4.951009997970111</v>
      </c>
      <c r="G91" s="9">
        <f t="shared" si="11"/>
        <v>1.1573330681291663</v>
      </c>
      <c r="H91" s="9">
        <f t="shared" si="12"/>
        <v>7.425673370139573</v>
      </c>
      <c r="I91" s="9">
        <f t="shared" si="13"/>
        <v>0.77161367873629183</v>
      </c>
      <c r="J91" s="10">
        <v>7.4249999999999998</v>
      </c>
      <c r="K91" s="10">
        <v>0.1</v>
      </c>
    </row>
    <row r="92" spans="1:11" x14ac:dyDescent="0.25">
      <c r="A92" s="824"/>
      <c r="B92" s="9" t="s">
        <v>10</v>
      </c>
      <c r="C92" s="9">
        <v>6</v>
      </c>
      <c r="D92" s="9">
        <v>3.3</v>
      </c>
      <c r="E92" s="9">
        <v>9.9000000000000005E-2</v>
      </c>
      <c r="F92" s="10">
        <f t="shared" si="10"/>
        <v>3.3014846660252712</v>
      </c>
      <c r="G92" s="9">
        <f t="shared" si="11"/>
        <v>1.7183580016552913</v>
      </c>
      <c r="H92" s="54">
        <f t="shared" si="12"/>
        <v>4.9509899010197946</v>
      </c>
      <c r="I92" s="9">
        <f t="shared" si="13"/>
        <v>1.1457628381748222</v>
      </c>
      <c r="J92" s="10">
        <v>4.95</v>
      </c>
      <c r="K92" s="10">
        <v>9.9000000000000005E-2</v>
      </c>
    </row>
    <row r="93" spans="1:11" x14ac:dyDescent="0.25">
      <c r="A93" s="824"/>
      <c r="B93" s="9" t="s">
        <v>10</v>
      </c>
      <c r="C93" s="9">
        <v>10</v>
      </c>
      <c r="D93" s="9">
        <v>1.95</v>
      </c>
      <c r="E93" s="9">
        <v>9.2999999999999999E-2</v>
      </c>
      <c r="F93" s="10">
        <f t="shared" si="10"/>
        <v>1.9522164326733855</v>
      </c>
      <c r="G93" s="9">
        <f t="shared" si="11"/>
        <v>2.7304989757358249</v>
      </c>
      <c r="H93" s="9">
        <f t="shared" si="12"/>
        <v>2.8665090266733859</v>
      </c>
      <c r="I93" s="9">
        <f t="shared" si="13"/>
        <v>1.8592101672088888</v>
      </c>
      <c r="J93" s="10">
        <v>2.8650000000000002</v>
      </c>
      <c r="K93" s="10">
        <v>9.2999999999999999E-2</v>
      </c>
    </row>
    <row r="94" spans="1:11" x14ac:dyDescent="0.25">
      <c r="A94" s="824"/>
      <c r="B94" s="9" t="s">
        <v>10</v>
      </c>
      <c r="C94" s="9">
        <v>16</v>
      </c>
      <c r="D94" s="9">
        <v>1.21</v>
      </c>
      <c r="E94" s="9">
        <v>0.09</v>
      </c>
      <c r="F94" s="10">
        <f t="shared" si="10"/>
        <v>1.2133424908079333</v>
      </c>
      <c r="G94" s="9">
        <f t="shared" si="11"/>
        <v>4.2538364361191645</v>
      </c>
      <c r="H94" s="9">
        <f t="shared" si="12"/>
        <v>1.8172300349708066</v>
      </c>
      <c r="I94" s="9">
        <f t="shared" si="13"/>
        <v>2.8387878410051712</v>
      </c>
      <c r="J94" s="10">
        <v>1.8149999999999999</v>
      </c>
      <c r="K94" s="10">
        <v>0.09</v>
      </c>
    </row>
    <row r="95" spans="1:11" x14ac:dyDescent="0.25">
      <c r="A95" s="824"/>
      <c r="B95" s="9" t="s">
        <v>10</v>
      </c>
      <c r="C95" s="9">
        <v>25</v>
      </c>
      <c r="D95" s="9">
        <v>0.78029999999999999</v>
      </c>
      <c r="E95" s="9">
        <v>8.5999999999999993E-2</v>
      </c>
      <c r="F95" s="52">
        <f t="shared" si="10"/>
        <v>0.78502489769433415</v>
      </c>
      <c r="G95" s="9">
        <f t="shared" si="11"/>
        <v>6.289414062728631</v>
      </c>
      <c r="H95" s="9">
        <f t="shared" si="12"/>
        <v>1.1736550813590849</v>
      </c>
      <c r="I95" s="9">
        <f t="shared" si="13"/>
        <v>4.2021350806907236</v>
      </c>
      <c r="J95" s="10">
        <v>1.1705000000000001</v>
      </c>
      <c r="K95" s="10">
        <v>8.5999999999999993E-2</v>
      </c>
    </row>
    <row r="96" spans="1:11" s="43" customFormat="1" x14ac:dyDescent="0.25">
      <c r="A96" s="824"/>
      <c r="B96" s="9" t="s">
        <v>10</v>
      </c>
      <c r="C96" s="9">
        <v>35</v>
      </c>
      <c r="D96" s="9">
        <v>0.55449999999999999</v>
      </c>
      <c r="E96" s="9">
        <v>8.5999999999999993E-2</v>
      </c>
      <c r="F96" s="10">
        <f>IMABS(COMPLEX(D96,E96,"i"))</f>
        <v>0.56112944139476406</v>
      </c>
      <c r="G96" s="9">
        <f>DEGREES(ACOS((D96/F96)))</f>
        <v>8.8160303961531739</v>
      </c>
      <c r="H96" s="9">
        <f>IMABS(COMPLEX(J96,K96,"i"))</f>
        <v>0.83623396247700921</v>
      </c>
      <c r="I96" s="9">
        <f>DEGREES(ACOS((J96/H96)))</f>
        <v>5.9028509811535113</v>
      </c>
      <c r="J96" s="10">
        <v>0.83179999999999998</v>
      </c>
      <c r="K96" s="10">
        <v>8.5999999999999993E-2</v>
      </c>
    </row>
    <row r="97" spans="1:11" s="43" customFormat="1" x14ac:dyDescent="0.25">
      <c r="A97" s="824"/>
      <c r="B97" s="9" t="s">
        <v>19</v>
      </c>
      <c r="C97" s="9">
        <v>0.75</v>
      </c>
      <c r="D97" s="9">
        <v>26</v>
      </c>
      <c r="E97" s="9">
        <v>0.11799999999999999</v>
      </c>
      <c r="F97" s="52">
        <f>IMABS(COMPLEX(D97,E97,"i"))</f>
        <v>26.000267767851931</v>
      </c>
      <c r="G97" s="9">
        <f>DEGREES(ACOS((D97/F97)))</f>
        <v>0.260032906292335</v>
      </c>
      <c r="H97" s="54">
        <f>IMABS(COMPLEX(J97,K97,"i"))</f>
        <v>39.000178512411964</v>
      </c>
      <c r="I97" s="9">
        <f>DEGREES(ACOS((J97/H97)))</f>
        <v>0.17335593209585978</v>
      </c>
      <c r="J97" s="10">
        <v>39</v>
      </c>
      <c r="K97" s="10">
        <v>0.11799999999999999</v>
      </c>
    </row>
    <row r="98" spans="1:11" x14ac:dyDescent="0.25">
      <c r="A98" s="824"/>
      <c r="B98" s="9" t="s">
        <v>19</v>
      </c>
      <c r="C98" s="9">
        <v>1</v>
      </c>
      <c r="D98" s="9">
        <v>19.5</v>
      </c>
      <c r="E98" s="9">
        <v>0.113</v>
      </c>
      <c r="F98" s="52">
        <f t="shared" si="10"/>
        <v>19.5003274075078</v>
      </c>
      <c r="G98" s="9">
        <f t="shared" si="11"/>
        <v>0.33201798025022577</v>
      </c>
      <c r="H98" s="54">
        <f t="shared" si="12"/>
        <v>29.25021827268986</v>
      </c>
      <c r="I98" s="9">
        <f t="shared" si="13"/>
        <v>0.22134669660357562</v>
      </c>
      <c r="J98" s="10">
        <v>29.25</v>
      </c>
      <c r="K98" s="10">
        <v>0.113</v>
      </c>
    </row>
    <row r="99" spans="1:11" x14ac:dyDescent="0.25">
      <c r="A99" s="824"/>
      <c r="B99" s="9" t="s">
        <v>19</v>
      </c>
      <c r="C99" s="9">
        <v>1.5</v>
      </c>
      <c r="D99" s="9">
        <v>13.3</v>
      </c>
      <c r="E99" s="9">
        <v>0.114</v>
      </c>
      <c r="F99" s="52">
        <f t="shared" si="10"/>
        <v>13.30048856245514</v>
      </c>
      <c r="G99" s="9">
        <f t="shared" si="11"/>
        <v>0.49109465496817295</v>
      </c>
      <c r="H99" s="54">
        <f t="shared" si="12"/>
        <v>19.950325711626864</v>
      </c>
      <c r="I99" s="9">
        <f t="shared" si="13"/>
        <v>0.32740089084328228</v>
      </c>
      <c r="J99" s="10">
        <v>19.95</v>
      </c>
      <c r="K99" s="10">
        <v>0.114</v>
      </c>
    </row>
    <row r="100" spans="1:11" x14ac:dyDescent="0.25">
      <c r="A100" s="824"/>
      <c r="B100" s="9" t="s">
        <v>19</v>
      </c>
      <c r="C100" s="9">
        <v>2.5</v>
      </c>
      <c r="D100" s="9">
        <v>7.98</v>
      </c>
      <c r="E100" s="9">
        <v>0.111</v>
      </c>
      <c r="F100" s="10">
        <f t="shared" si="10"/>
        <v>7.9807719551431875</v>
      </c>
      <c r="G100" s="9">
        <f t="shared" si="11"/>
        <v>0.7969199753085886</v>
      </c>
      <c r="H100" s="54">
        <f t="shared" si="12"/>
        <v>11.970514650590424</v>
      </c>
      <c r="I100" s="9">
        <f t="shared" si="13"/>
        <v>0.53129901731873264</v>
      </c>
      <c r="J100" s="10">
        <v>11.97</v>
      </c>
      <c r="K100" s="10">
        <v>0.111</v>
      </c>
    </row>
    <row r="101" spans="1:11" x14ac:dyDescent="0.25">
      <c r="A101" s="824"/>
      <c r="B101" s="9" t="s">
        <v>19</v>
      </c>
      <c r="C101" s="9">
        <v>4</v>
      </c>
      <c r="D101" s="9">
        <v>4.95</v>
      </c>
      <c r="E101" s="9">
        <v>0.108</v>
      </c>
      <c r="F101" s="10">
        <f t="shared" si="10"/>
        <v>4.9511780416381717</v>
      </c>
      <c r="G101" s="9">
        <f t="shared" si="11"/>
        <v>1.2498914301210402</v>
      </c>
      <c r="H101" s="9">
        <f t="shared" si="12"/>
        <v>7.4257854130051451</v>
      </c>
      <c r="I101" s="9">
        <f t="shared" si="13"/>
        <v>0.83333439028123579</v>
      </c>
      <c r="J101" s="10">
        <v>7.4249999999999998</v>
      </c>
      <c r="K101" s="10">
        <v>0.108</v>
      </c>
    </row>
    <row r="102" spans="1:11" x14ac:dyDescent="0.25">
      <c r="A102" s="824"/>
      <c r="B102" s="9" t="s">
        <v>19</v>
      </c>
      <c r="C102" s="9">
        <v>6</v>
      </c>
      <c r="D102" s="9">
        <v>3.3</v>
      </c>
      <c r="E102" s="9">
        <v>0.106</v>
      </c>
      <c r="F102" s="10">
        <f t="shared" si="10"/>
        <v>3.3017019853402876</v>
      </c>
      <c r="G102" s="9">
        <f t="shared" si="11"/>
        <v>1.8397773176497909</v>
      </c>
      <c r="H102" s="9">
        <f t="shared" si="12"/>
        <v>4.9511348194126166</v>
      </c>
      <c r="I102" s="9">
        <f t="shared" si="13"/>
        <v>1.2267524324233867</v>
      </c>
      <c r="J102" s="10">
        <v>4.95</v>
      </c>
      <c r="K102" s="10">
        <v>0.106</v>
      </c>
    </row>
    <row r="103" spans="1:11" x14ac:dyDescent="0.25">
      <c r="A103" s="824"/>
      <c r="B103" s="9" t="s">
        <v>19</v>
      </c>
      <c r="C103" s="9">
        <v>10</v>
      </c>
      <c r="D103" s="9">
        <v>1.91</v>
      </c>
      <c r="E103" s="9">
        <v>0.1</v>
      </c>
      <c r="F103" s="10">
        <f t="shared" si="10"/>
        <v>1.9126160095534073</v>
      </c>
      <c r="G103" s="9">
        <f t="shared" si="11"/>
        <v>2.9970425802836522</v>
      </c>
      <c r="H103" s="9">
        <f t="shared" si="12"/>
        <v>2.8667446694813963</v>
      </c>
      <c r="I103" s="9">
        <f t="shared" si="13"/>
        <v>1.9990411475606533</v>
      </c>
      <c r="J103" s="10">
        <v>2.8650000000000002</v>
      </c>
      <c r="K103" s="10">
        <v>0.1</v>
      </c>
    </row>
    <row r="104" spans="1:11" x14ac:dyDescent="0.25">
      <c r="A104" s="824"/>
      <c r="B104" s="9" t="s">
        <v>19</v>
      </c>
      <c r="C104" s="9">
        <v>16</v>
      </c>
      <c r="D104" s="9">
        <v>1.21</v>
      </c>
      <c r="E104" s="9">
        <v>9.7000000000000003E-2</v>
      </c>
      <c r="F104" s="10">
        <f t="shared" si="10"/>
        <v>1.2138817899614442</v>
      </c>
      <c r="G104" s="9">
        <f t="shared" si="11"/>
        <v>4.5833312879848869</v>
      </c>
      <c r="H104" s="9">
        <f t="shared" si="12"/>
        <v>1.8175901628254922</v>
      </c>
      <c r="I104" s="9">
        <f t="shared" si="13"/>
        <v>3.0591781546891847</v>
      </c>
      <c r="J104" s="10">
        <v>1.8149999999999999</v>
      </c>
      <c r="K104" s="10">
        <v>9.7000000000000003E-2</v>
      </c>
    </row>
    <row r="105" spans="1:11" x14ac:dyDescent="0.25">
      <c r="A105" s="824"/>
      <c r="B105" s="9" t="s">
        <v>19</v>
      </c>
      <c r="C105" s="9">
        <v>25</v>
      </c>
      <c r="D105" s="9">
        <v>0.78029999999999999</v>
      </c>
      <c r="E105" s="9">
        <v>9.4E-2</v>
      </c>
      <c r="F105" s="10">
        <f t="shared" si="10"/>
        <v>0.78594153090417618</v>
      </c>
      <c r="G105" s="9">
        <f t="shared" si="11"/>
        <v>6.8691202913707023</v>
      </c>
      <c r="H105" s="9">
        <f t="shared" si="12"/>
        <v>1.1742683892534962</v>
      </c>
      <c r="I105" s="9">
        <f t="shared" si="13"/>
        <v>4.5914307079430765</v>
      </c>
      <c r="J105" s="10">
        <v>1.1705000000000001</v>
      </c>
      <c r="K105" s="10">
        <v>9.4E-2</v>
      </c>
    </row>
    <row r="106" spans="1:11" x14ac:dyDescent="0.25">
      <c r="A106" s="824"/>
      <c r="B106" s="9" t="s">
        <v>19</v>
      </c>
      <c r="C106" s="9">
        <v>35</v>
      </c>
      <c r="D106" s="9">
        <v>0.55449999999999999</v>
      </c>
      <c r="E106" s="9">
        <v>9.2999999999999999E-2</v>
      </c>
      <c r="F106" s="10">
        <f t="shared" si="10"/>
        <v>0.56224483101225575</v>
      </c>
      <c r="G106" s="9">
        <f t="shared" si="11"/>
        <v>9.5209582192206632</v>
      </c>
      <c r="H106" s="54">
        <f t="shared" si="12"/>
        <v>0.83698281941745967</v>
      </c>
      <c r="I106" s="9">
        <f t="shared" si="13"/>
        <v>6.3795017003535825</v>
      </c>
      <c r="J106" s="10">
        <v>0.83179999999999998</v>
      </c>
      <c r="K106" s="10">
        <v>9.2999999999999999E-2</v>
      </c>
    </row>
    <row r="107" spans="1:11" x14ac:dyDescent="0.25">
      <c r="A107" s="824"/>
      <c r="B107" s="9" t="s">
        <v>19</v>
      </c>
      <c r="C107" s="9">
        <v>50</v>
      </c>
      <c r="D107" s="9">
        <v>0.38679999999999998</v>
      </c>
      <c r="E107" s="9">
        <v>9.2999999999999999E-2</v>
      </c>
      <c r="F107" s="10">
        <f t="shared" si="10"/>
        <v>0.39782312652735513</v>
      </c>
      <c r="G107" s="9">
        <f t="shared" si="11"/>
        <v>13.519261073172544</v>
      </c>
      <c r="H107" s="9">
        <f t="shared" si="12"/>
        <v>0.58760619465761266</v>
      </c>
      <c r="I107" s="9">
        <f t="shared" si="13"/>
        <v>9.1064523774037891</v>
      </c>
      <c r="J107" s="10">
        <v>0.58020000000000005</v>
      </c>
      <c r="K107" s="10">
        <v>9.2999999999999999E-2</v>
      </c>
    </row>
    <row r="108" spans="1:11" x14ac:dyDescent="0.25">
      <c r="A108" s="824"/>
      <c r="B108" s="9" t="s">
        <v>19</v>
      </c>
      <c r="C108" s="9">
        <v>70</v>
      </c>
      <c r="D108" s="9">
        <v>0.2732</v>
      </c>
      <c r="E108" s="9">
        <v>9.0999999999999998E-2</v>
      </c>
      <c r="F108" s="52">
        <f t="shared" si="10"/>
        <v>0.28795701068041391</v>
      </c>
      <c r="G108" s="9">
        <f t="shared" si="11"/>
        <v>18.422364641373196</v>
      </c>
      <c r="H108" s="9">
        <f t="shared" si="12"/>
        <v>0.41978213396951519</v>
      </c>
      <c r="I108" s="9">
        <f t="shared" si="13"/>
        <v>12.519925101680977</v>
      </c>
      <c r="J108" s="10">
        <v>0.4098</v>
      </c>
      <c r="K108" s="10">
        <v>9.0999999999999998E-2</v>
      </c>
    </row>
    <row r="109" spans="1:11" x14ac:dyDescent="0.25">
      <c r="A109" s="824"/>
      <c r="B109" s="9" t="s">
        <v>19</v>
      </c>
      <c r="C109" s="9">
        <v>95</v>
      </c>
      <c r="D109" s="9">
        <v>0.20760000000000001</v>
      </c>
      <c r="E109" s="9">
        <v>9.2999999999999999E-2</v>
      </c>
      <c r="F109" s="10">
        <f t="shared" si="10"/>
        <v>0.22747914190096638</v>
      </c>
      <c r="G109" s="9">
        <f t="shared" si="11"/>
        <v>24.131276267419135</v>
      </c>
      <c r="H109" s="54">
        <f t="shared" si="12"/>
        <v>0.32499070755946241</v>
      </c>
      <c r="I109" s="9">
        <f t="shared" si="13"/>
        <v>16.628321112553405</v>
      </c>
      <c r="J109" s="10">
        <v>0.31140000000000001</v>
      </c>
      <c r="K109" s="10">
        <v>9.2999999999999999E-2</v>
      </c>
    </row>
    <row r="110" spans="1:11" x14ac:dyDescent="0.25">
      <c r="A110" s="824"/>
      <c r="B110" s="9" t="s">
        <v>19</v>
      </c>
      <c r="C110" s="9">
        <v>120</v>
      </c>
      <c r="D110" s="9">
        <v>0.16300000000000001</v>
      </c>
      <c r="E110" s="9">
        <v>0.09</v>
      </c>
      <c r="F110" s="10">
        <f t="shared" si="10"/>
        <v>0.18619613314996639</v>
      </c>
      <c r="G110" s="9">
        <f t="shared" si="11"/>
        <v>28.905163176835931</v>
      </c>
      <c r="H110" s="9">
        <f t="shared" si="12"/>
        <v>0.26053838488790859</v>
      </c>
      <c r="I110" s="9">
        <f t="shared" si="13"/>
        <v>20.20856833706258</v>
      </c>
      <c r="J110" s="10">
        <v>0.2445</v>
      </c>
      <c r="K110" s="10">
        <v>0.09</v>
      </c>
    </row>
    <row r="111" spans="1:11" x14ac:dyDescent="0.25">
      <c r="A111" s="824"/>
      <c r="B111" s="9" t="s">
        <v>19</v>
      </c>
      <c r="C111" s="9">
        <v>150</v>
      </c>
      <c r="D111" s="9">
        <v>0.13150000000000001</v>
      </c>
      <c r="E111" s="9">
        <v>8.8999999999999996E-2</v>
      </c>
      <c r="F111" s="10">
        <f t="shared" si="10"/>
        <v>0.15878680675673279</v>
      </c>
      <c r="G111" s="9">
        <f t="shared" si="11"/>
        <v>34.090380868923674</v>
      </c>
      <c r="H111" s="9">
        <f t="shared" si="12"/>
        <v>0.216444658053739</v>
      </c>
      <c r="I111" s="9">
        <f t="shared" si="13"/>
        <v>24.279645841341683</v>
      </c>
      <c r="J111" s="10">
        <v>0.1973</v>
      </c>
      <c r="K111" s="10">
        <v>8.8999999999999996E-2</v>
      </c>
    </row>
    <row r="112" spans="1:11" x14ac:dyDescent="0.25">
      <c r="A112" s="824"/>
      <c r="B112" s="9" t="s">
        <v>19</v>
      </c>
      <c r="C112" s="9">
        <v>185</v>
      </c>
      <c r="D112" s="9">
        <v>0.1091</v>
      </c>
      <c r="E112" s="9">
        <v>8.8999999999999996E-2</v>
      </c>
      <c r="F112" s="10">
        <f t="shared" si="10"/>
        <v>0.14079705252596733</v>
      </c>
      <c r="G112" s="9">
        <f t="shared" si="11"/>
        <v>39.206373708601404</v>
      </c>
      <c r="H112" s="9">
        <f t="shared" si="12"/>
        <v>0.18632951993712646</v>
      </c>
      <c r="I112" s="9">
        <f t="shared" si="13"/>
        <v>28.531928642866099</v>
      </c>
      <c r="J112" s="10">
        <v>0.16370000000000001</v>
      </c>
      <c r="K112" s="10">
        <v>8.8999999999999996E-2</v>
      </c>
    </row>
    <row r="113" spans="1:11" x14ac:dyDescent="0.25">
      <c r="A113" s="824"/>
      <c r="B113" s="9" t="s">
        <v>19</v>
      </c>
      <c r="C113" s="9">
        <v>240</v>
      </c>
      <c r="D113" s="9">
        <v>8.4099999999999994E-2</v>
      </c>
      <c r="E113" s="9">
        <v>0.09</v>
      </c>
      <c r="F113" s="10">
        <f t="shared" si="10"/>
        <v>0.12317796069102621</v>
      </c>
      <c r="G113" s="9">
        <f t="shared" si="11"/>
        <v>46.940929239504747</v>
      </c>
      <c r="H113" s="54">
        <f t="shared" si="12"/>
        <v>0.15500464509168749</v>
      </c>
      <c r="I113" s="9">
        <f t="shared" si="13"/>
        <v>35.494708113879881</v>
      </c>
      <c r="J113" s="10">
        <v>0.12620000000000001</v>
      </c>
      <c r="K113" s="10">
        <v>0.09</v>
      </c>
    </row>
    <row r="114" spans="1:11" x14ac:dyDescent="0.25">
      <c r="A114" s="824"/>
      <c r="B114" s="9" t="s">
        <v>19</v>
      </c>
      <c r="C114" s="9">
        <v>300</v>
      </c>
      <c r="D114" s="9">
        <v>6.9099999999999995E-2</v>
      </c>
      <c r="E114" s="9">
        <v>8.8999999999999996E-2</v>
      </c>
      <c r="F114" s="10">
        <f t="shared" si="10"/>
        <v>0.11267568504340232</v>
      </c>
      <c r="G114" s="9">
        <f t="shared" si="11"/>
        <v>52.174074761031036</v>
      </c>
      <c r="H114" s="9">
        <f t="shared" si="12"/>
        <v>0.1366553694517709</v>
      </c>
      <c r="I114" s="9">
        <f t="shared" si="13"/>
        <v>40.637675800215355</v>
      </c>
      <c r="J114" s="10">
        <v>0.1037</v>
      </c>
      <c r="K114" s="10">
        <v>8.8999999999999996E-2</v>
      </c>
    </row>
    <row r="115" spans="1:11" x14ac:dyDescent="0.25">
      <c r="A115" s="824"/>
      <c r="B115" s="9" t="s">
        <v>35</v>
      </c>
      <c r="C115" s="9">
        <v>0.75</v>
      </c>
      <c r="D115" s="9">
        <v>26</v>
      </c>
      <c r="E115" s="9">
        <v>0.13100000000000001</v>
      </c>
      <c r="F115" s="52">
        <f t="shared" si="10"/>
        <v>26.000330017136321</v>
      </c>
      <c r="G115" s="9">
        <f t="shared" si="11"/>
        <v>0.28868013858850161</v>
      </c>
      <c r="H115" s="54">
        <f t="shared" si="12"/>
        <v>39.000220012199925</v>
      </c>
      <c r="I115" s="9">
        <f t="shared" si="13"/>
        <v>0.19245433045855972</v>
      </c>
      <c r="J115" s="10">
        <v>39</v>
      </c>
      <c r="K115" s="10">
        <v>0.13100000000000001</v>
      </c>
    </row>
    <row r="116" spans="1:11" x14ac:dyDescent="0.25">
      <c r="A116" s="824"/>
      <c r="B116" s="9" t="s">
        <v>35</v>
      </c>
      <c r="C116" s="9">
        <v>1</v>
      </c>
      <c r="D116" s="9">
        <v>19.5</v>
      </c>
      <c r="E116" s="9">
        <v>0.126</v>
      </c>
      <c r="F116" s="52">
        <f t="shared" si="10"/>
        <v>19.50040707267415</v>
      </c>
      <c r="G116" s="9">
        <f t="shared" si="11"/>
        <v>0.37021373074206104</v>
      </c>
      <c r="H116" s="54">
        <f t="shared" si="12"/>
        <v>29.250271383356431</v>
      </c>
      <c r="I116" s="9">
        <f t="shared" si="13"/>
        <v>0.24681106205378786</v>
      </c>
      <c r="J116" s="10">
        <v>29.25</v>
      </c>
      <c r="K116" s="10">
        <v>0.126</v>
      </c>
    </row>
    <row r="117" spans="1:11" x14ac:dyDescent="0.25">
      <c r="A117" s="824"/>
      <c r="B117" s="9" t="s">
        <v>35</v>
      </c>
      <c r="C117" s="9">
        <v>1.5</v>
      </c>
      <c r="D117" s="9">
        <v>13.3</v>
      </c>
      <c r="E117" s="9">
        <v>0.128</v>
      </c>
      <c r="F117" s="52">
        <f t="shared" si="10"/>
        <v>13.300615925587808</v>
      </c>
      <c r="G117" s="9">
        <f t="shared" si="11"/>
        <v>0.55140100476417497</v>
      </c>
      <c r="H117" s="54">
        <f t="shared" si="12"/>
        <v>19.950410622340584</v>
      </c>
      <c r="I117" s="9">
        <f t="shared" si="13"/>
        <v>0.36760697473627479</v>
      </c>
      <c r="J117" s="10">
        <v>19.95</v>
      </c>
      <c r="K117" s="10">
        <v>0.128</v>
      </c>
    </row>
    <row r="118" spans="1:11" x14ac:dyDescent="0.25">
      <c r="A118" s="824"/>
      <c r="B118" s="9" t="s">
        <v>35</v>
      </c>
      <c r="C118" s="9">
        <v>2.5</v>
      </c>
      <c r="D118" s="9">
        <v>7.98</v>
      </c>
      <c r="E118" s="9">
        <v>0.124</v>
      </c>
      <c r="F118" s="52">
        <f t="shared" si="10"/>
        <v>7.9809633503731874</v>
      </c>
      <c r="G118" s="9">
        <f t="shared" si="11"/>
        <v>0.89023871187044623</v>
      </c>
      <c r="H118" s="54">
        <f t="shared" si="12"/>
        <v>11.97064225511731</v>
      </c>
      <c r="I118" s="9">
        <f t="shared" si="13"/>
        <v>0.59351900860498819</v>
      </c>
      <c r="J118" s="10">
        <v>11.97</v>
      </c>
      <c r="K118" s="10">
        <v>0.124</v>
      </c>
    </row>
    <row r="119" spans="1:11" x14ac:dyDescent="0.25">
      <c r="A119" s="824"/>
      <c r="B119" s="9" t="s">
        <v>35</v>
      </c>
      <c r="C119" s="9">
        <v>4</v>
      </c>
      <c r="D119" s="9">
        <v>4.95</v>
      </c>
      <c r="E119" s="9">
        <v>0.121</v>
      </c>
      <c r="F119" s="10">
        <f t="shared" si="10"/>
        <v>4.9514786680344285</v>
      </c>
      <c r="G119" s="9">
        <f t="shared" si="11"/>
        <v>1.4002846392054942</v>
      </c>
      <c r="H119" s="54">
        <f t="shared" si="12"/>
        <v>7.4259858604767075</v>
      </c>
      <c r="I119" s="9">
        <f t="shared" si="13"/>
        <v>0.933626357833093</v>
      </c>
      <c r="J119" s="10">
        <v>7.4249999999999998</v>
      </c>
      <c r="K119" s="10">
        <v>0.121</v>
      </c>
    </row>
    <row r="120" spans="1:11" x14ac:dyDescent="0.25">
      <c r="A120" s="824"/>
      <c r="B120" s="9" t="s">
        <v>35</v>
      </c>
      <c r="C120" s="9">
        <v>6</v>
      </c>
      <c r="D120" s="9">
        <v>3.3</v>
      </c>
      <c r="E120" s="9">
        <v>0.11899999999999999</v>
      </c>
      <c r="F120" s="10">
        <f t="shared" si="10"/>
        <v>3.3021449089947583</v>
      </c>
      <c r="G120" s="9">
        <f t="shared" si="11"/>
        <v>2.0652256601852268</v>
      </c>
      <c r="H120" s="9">
        <f t="shared" si="12"/>
        <v>4.9514301974278103</v>
      </c>
      <c r="I120" s="9">
        <f t="shared" si="13"/>
        <v>1.3771484266549716</v>
      </c>
      <c r="J120" s="10">
        <v>4.95</v>
      </c>
      <c r="K120" s="10">
        <v>0.11899999999999999</v>
      </c>
    </row>
    <row r="121" spans="1:11" x14ac:dyDescent="0.25">
      <c r="A121" s="824"/>
      <c r="B121" s="9" t="s">
        <v>35</v>
      </c>
      <c r="C121" s="9">
        <v>10</v>
      </c>
      <c r="D121" s="9">
        <v>1.91</v>
      </c>
      <c r="E121" s="9">
        <v>0.114</v>
      </c>
      <c r="F121" s="10">
        <f t="shared" si="10"/>
        <v>1.913399069718599</v>
      </c>
      <c r="G121" s="9">
        <f t="shared" si="11"/>
        <v>3.4156959148257839</v>
      </c>
      <c r="H121" s="9">
        <f t="shared" si="12"/>
        <v>2.8672671657869628</v>
      </c>
      <c r="I121" s="9">
        <f t="shared" si="13"/>
        <v>2.2786299944058124</v>
      </c>
      <c r="J121" s="10">
        <v>2.8650000000000002</v>
      </c>
      <c r="K121" s="10">
        <v>0.114</v>
      </c>
    </row>
    <row r="122" spans="1:11" x14ac:dyDescent="0.25">
      <c r="A122" s="824"/>
      <c r="B122" s="9" t="s">
        <v>35</v>
      </c>
      <c r="C122" s="9">
        <v>16</v>
      </c>
      <c r="D122" s="9">
        <v>1.21</v>
      </c>
      <c r="E122" s="9">
        <v>0.111</v>
      </c>
      <c r="F122" s="10">
        <f t="shared" si="10"/>
        <v>1.2150806557591147</v>
      </c>
      <c r="G122" s="9">
        <f t="shared" si="11"/>
        <v>5.2413891516449294</v>
      </c>
      <c r="H122" s="9">
        <f t="shared" si="12"/>
        <v>1.818391047052311</v>
      </c>
      <c r="I122" s="9">
        <f t="shared" si="13"/>
        <v>3.4996806043605839</v>
      </c>
      <c r="J122" s="10">
        <v>1.8149999999999999</v>
      </c>
      <c r="K122" s="10">
        <v>0.111</v>
      </c>
    </row>
    <row r="123" spans="1:11" x14ac:dyDescent="0.25">
      <c r="A123" s="825"/>
      <c r="B123" s="9" t="s">
        <v>35</v>
      </c>
      <c r="C123" s="9">
        <v>25</v>
      </c>
      <c r="D123" s="9">
        <v>0.78029999999999999</v>
      </c>
      <c r="E123" s="9">
        <v>0.107</v>
      </c>
      <c r="F123" s="10">
        <f t="shared" si="10"/>
        <v>0.78760211401443048</v>
      </c>
      <c r="G123" s="9">
        <f t="shared" si="11"/>
        <v>7.8080864060842901</v>
      </c>
      <c r="H123" s="9">
        <f t="shared" si="12"/>
        <v>1.175380470315889</v>
      </c>
      <c r="I123" s="9">
        <f t="shared" si="13"/>
        <v>5.2231154115450567</v>
      </c>
      <c r="J123" s="10">
        <v>1.1705000000000001</v>
      </c>
      <c r="K123" s="10">
        <v>0.107</v>
      </c>
    </row>
  </sheetData>
  <mergeCells count="12">
    <mergeCell ref="A1:K2"/>
    <mergeCell ref="D3:G3"/>
    <mergeCell ref="H3:K3"/>
    <mergeCell ref="A75:K76"/>
    <mergeCell ref="A36:A48"/>
    <mergeCell ref="A5:A35"/>
    <mergeCell ref="A49:A74"/>
    <mergeCell ref="A79:K80"/>
    <mergeCell ref="D81:G81"/>
    <mergeCell ref="H81:K81"/>
    <mergeCell ref="A83:A123"/>
    <mergeCell ref="A77:K7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8"/>
  <dimension ref="A1"/>
  <sheetViews>
    <sheetView workbookViewId="0">
      <selection activeCell="D11" sqref="D11"/>
    </sheetView>
  </sheetViews>
  <sheetFormatPr defaultRowHeight="15" x14ac:dyDescent="0.25"/>
  <sheetData>
    <row r="1" spans="1:1" x14ac:dyDescent="0.25">
      <c r="A1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9"/>
  <dimension ref="A1:X151"/>
  <sheetViews>
    <sheetView showGridLines="0" topLeftCell="A4" zoomScale="70" zoomScaleNormal="70" workbookViewId="0">
      <selection activeCell="B22" sqref="B22:B24"/>
    </sheetView>
  </sheetViews>
  <sheetFormatPr defaultRowHeight="15" x14ac:dyDescent="0.25"/>
  <cols>
    <col min="1" max="1" width="3.140625" customWidth="1"/>
    <col min="2" max="2" width="9.85546875" customWidth="1"/>
    <col min="3" max="3" width="1" customWidth="1"/>
    <col min="4" max="4" width="12.42578125" customWidth="1"/>
    <col min="5" max="5" width="2.42578125" customWidth="1"/>
    <col min="6" max="6" width="8.28515625" customWidth="1"/>
    <col min="7" max="7" width="2.42578125" customWidth="1"/>
    <col min="8" max="8" width="8.28515625" customWidth="1"/>
    <col min="9" max="9" width="1" customWidth="1"/>
    <col min="10" max="10" width="1.85546875" customWidth="1"/>
    <col min="11" max="11" width="10.140625" customWidth="1"/>
    <col min="12" max="12" width="2.5703125" customWidth="1"/>
    <col min="13" max="13" width="8.28515625" customWidth="1"/>
    <col min="14" max="14" width="8.28515625" style="45" hidden="1" customWidth="1"/>
    <col min="15" max="15" width="2.42578125" style="45" hidden="1" customWidth="1"/>
    <col min="16" max="16" width="10.140625" hidden="1" customWidth="1"/>
    <col min="17" max="19" width="6.85546875" style="45" customWidth="1"/>
    <col min="20" max="20" width="8.28515625" customWidth="1"/>
    <col min="21" max="24" width="8.28515625" hidden="1" customWidth="1"/>
    <col min="25" max="26" width="8.28515625" customWidth="1"/>
    <col min="27" max="31" width="9.140625" customWidth="1"/>
  </cols>
  <sheetData>
    <row r="1" spans="1:17" ht="19.5" thickBot="1" x14ac:dyDescent="0.35">
      <c r="A1" s="861" t="s">
        <v>386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3"/>
      <c r="N1" s="211"/>
      <c r="O1" s="211"/>
      <c r="P1" s="212"/>
      <c r="Q1"/>
    </row>
    <row r="2" spans="1:17" s="45" customFormat="1" ht="15.75" customHeight="1" thickBot="1" x14ac:dyDescent="0.3">
      <c r="A2" s="932" t="s">
        <v>144</v>
      </c>
      <c r="B2" s="795"/>
      <c r="C2" s="932" t="s">
        <v>143</v>
      </c>
      <c r="D2" s="795"/>
      <c r="E2" s="795"/>
      <c r="F2" s="56" t="s">
        <v>157</v>
      </c>
      <c r="G2" s="795" t="s">
        <v>134</v>
      </c>
      <c r="H2" s="56" t="s">
        <v>224</v>
      </c>
      <c r="I2" s="69"/>
      <c r="J2" s="72"/>
      <c r="K2" s="935" t="s">
        <v>336</v>
      </c>
      <c r="L2" s="936"/>
      <c r="M2" s="937"/>
      <c r="N2" s="795" t="s">
        <v>145</v>
      </c>
      <c r="O2" s="795"/>
      <c r="P2" s="865"/>
    </row>
    <row r="3" spans="1:17" ht="15" customHeight="1" thickBot="1" x14ac:dyDescent="0.3">
      <c r="A3" s="933"/>
      <c r="B3" s="864"/>
      <c r="C3" s="933"/>
      <c r="D3" s="864"/>
      <c r="E3" s="864"/>
      <c r="F3" s="71" t="s">
        <v>74</v>
      </c>
      <c r="G3" s="864"/>
      <c r="H3" s="71">
        <v>1000</v>
      </c>
      <c r="I3" s="70"/>
      <c r="J3" s="73"/>
      <c r="K3" s="938"/>
      <c r="L3" s="939"/>
      <c r="M3" s="940"/>
      <c r="N3" s="864"/>
      <c r="O3" s="864"/>
      <c r="P3" s="866"/>
    </row>
    <row r="4" spans="1:17" ht="15.75" customHeight="1" thickBot="1" x14ac:dyDescent="0.3">
      <c r="A4" s="215" t="s">
        <v>222</v>
      </c>
      <c r="B4" s="205"/>
      <c r="C4" s="890" t="s">
        <v>105</v>
      </c>
      <c r="D4" s="891"/>
      <c r="E4" s="46" t="s">
        <v>74</v>
      </c>
      <c r="F4" s="46" t="s">
        <v>141</v>
      </c>
      <c r="G4" s="32"/>
      <c r="H4" s="890" t="s">
        <v>223</v>
      </c>
      <c r="I4" s="891"/>
      <c r="J4" s="59"/>
      <c r="K4" s="60" t="s">
        <v>227</v>
      </c>
      <c r="L4" s="32"/>
      <c r="M4" s="47" t="s">
        <v>228</v>
      </c>
      <c r="N4" s="61" t="s">
        <v>151</v>
      </c>
      <c r="O4" s="62"/>
      <c r="P4" s="47" t="s">
        <v>141</v>
      </c>
    </row>
    <row r="5" spans="1:17" ht="6" customHeight="1" x14ac:dyDescent="0.25">
      <c r="A5" s="853" t="s">
        <v>157</v>
      </c>
      <c r="B5" s="75"/>
      <c r="C5" s="810"/>
      <c r="D5" s="885">
        <f>KabelData!B10</f>
        <v>0.39698866482558415</v>
      </c>
      <c r="E5" s="831" t="s">
        <v>140</v>
      </c>
      <c r="F5" s="885">
        <f>KabelData!B11</f>
        <v>12.215719134130845</v>
      </c>
      <c r="G5" s="65"/>
      <c r="H5" s="842">
        <f>IF(KabelData!B7="","",KabelData!B7)</f>
        <v>15</v>
      </c>
      <c r="I5" s="838"/>
      <c r="J5" s="796" t="s">
        <v>104</v>
      </c>
      <c r="K5" s="857">
        <f>IF(D5="","",ROUND((D5*10^-3*H5)/E7,4))</f>
        <v>6.0000000000000001E-3</v>
      </c>
      <c r="L5" s="892" t="s">
        <v>140</v>
      </c>
      <c r="M5" s="859">
        <f>F5</f>
        <v>12.215719134130845</v>
      </c>
      <c r="N5" s="931">
        <f>K5</f>
        <v>6.0000000000000001E-3</v>
      </c>
      <c r="O5" s="903" t="s">
        <v>140</v>
      </c>
      <c r="P5" s="930">
        <f>M5</f>
        <v>12.215719134130845</v>
      </c>
    </row>
    <row r="6" spans="1:17" ht="8.25" customHeight="1" thickBot="1" x14ac:dyDescent="0.3">
      <c r="A6" s="853"/>
      <c r="B6" s="869" t="str">
        <f>IF(KabelData!$B$3="","",KabelData!$B$3)</f>
        <v>-W1</v>
      </c>
      <c r="C6" s="810"/>
      <c r="D6" s="834"/>
      <c r="E6" s="832"/>
      <c r="F6" s="834"/>
      <c r="G6" s="886" t="s">
        <v>134</v>
      </c>
      <c r="H6" s="836"/>
      <c r="I6" s="838"/>
      <c r="J6" s="796"/>
      <c r="K6" s="857"/>
      <c r="L6" s="888"/>
      <c r="M6" s="859"/>
      <c r="N6" s="919"/>
      <c r="O6" s="888"/>
      <c r="P6" s="924"/>
    </row>
    <row r="7" spans="1:17" ht="3.75" customHeight="1" x14ac:dyDescent="0.25">
      <c r="A7" s="853"/>
      <c r="B7" s="869"/>
      <c r="C7" s="810"/>
      <c r="D7" s="848"/>
      <c r="E7" s="846">
        <f>IF(KabelData!$B$8="",1,KabelData!$B$8)</f>
        <v>1</v>
      </c>
      <c r="F7" s="848"/>
      <c r="G7" s="886"/>
      <c r="H7" s="840">
        <f>IF(H5="","",IF(H5&gt;0,1000))</f>
        <v>1000</v>
      </c>
      <c r="I7" s="838"/>
      <c r="J7" s="796"/>
      <c r="K7" s="857"/>
      <c r="L7" s="888"/>
      <c r="M7" s="859"/>
      <c r="N7" s="919"/>
      <c r="O7" s="888"/>
      <c r="P7" s="924"/>
    </row>
    <row r="8" spans="1:17" ht="9.75" customHeight="1" x14ac:dyDescent="0.25">
      <c r="A8" s="854"/>
      <c r="B8" s="870"/>
      <c r="C8" s="875"/>
      <c r="D8" s="849"/>
      <c r="E8" s="847"/>
      <c r="F8" s="849"/>
      <c r="G8" s="33"/>
      <c r="H8" s="841"/>
      <c r="I8" s="839"/>
      <c r="J8" s="851"/>
      <c r="K8" s="858"/>
      <c r="L8" s="889"/>
      <c r="M8" s="860"/>
      <c r="N8" s="920"/>
      <c r="O8" s="889"/>
      <c r="P8" s="925"/>
    </row>
    <row r="9" spans="1:17" ht="6" customHeight="1" x14ac:dyDescent="0.25">
      <c r="A9" s="852" t="s">
        <v>157</v>
      </c>
      <c r="B9" s="217"/>
      <c r="C9" s="874"/>
      <c r="D9" s="833">
        <f>KabelData!F10</f>
        <v>1.1531370256825506</v>
      </c>
      <c r="E9" s="831" t="s">
        <v>140</v>
      </c>
      <c r="F9" s="833">
        <f>KabelData!F11</f>
        <v>4.2272186653265917</v>
      </c>
      <c r="G9" s="34"/>
      <c r="H9" s="835">
        <f>IF(KabelData!F7="","",KabelData!F7)</f>
        <v>20</v>
      </c>
      <c r="I9" s="837"/>
      <c r="J9" s="850" t="s">
        <v>104</v>
      </c>
      <c r="K9" s="856">
        <f>IF(D9="","",ROUND((D9*10^-3*H9)/E11,4))</f>
        <v>2.3099999999999999E-2</v>
      </c>
      <c r="L9" s="887" t="s">
        <v>140</v>
      </c>
      <c r="M9" s="859">
        <f t="shared" ref="M9" si="0">F9</f>
        <v>4.2272186653265917</v>
      </c>
      <c r="N9" s="918" t="e">
        <f>SQRT(SUM(#REF!)^2+SUM(#REF!)^2)</f>
        <v>#REF!</v>
      </c>
      <c r="O9" s="887" t="s">
        <v>140</v>
      </c>
      <c r="P9" s="923" t="e">
        <f>DEGREES(ATAN(SUM(#REF!)/SUM(#REF!)))</f>
        <v>#REF!</v>
      </c>
    </row>
    <row r="10" spans="1:17" ht="8.25" customHeight="1" thickBot="1" x14ac:dyDescent="0.3">
      <c r="A10" s="853"/>
      <c r="B10" s="869" t="str">
        <f>IF(KabelData!$F$3="","",KabelData!$F$3)</f>
        <v>-W2</v>
      </c>
      <c r="C10" s="810"/>
      <c r="D10" s="834"/>
      <c r="E10" s="832"/>
      <c r="F10" s="834"/>
      <c r="G10" s="886" t="s">
        <v>134</v>
      </c>
      <c r="H10" s="836"/>
      <c r="I10" s="838"/>
      <c r="J10" s="796"/>
      <c r="K10" s="857"/>
      <c r="L10" s="888"/>
      <c r="M10" s="859"/>
      <c r="N10" s="919"/>
      <c r="O10" s="888"/>
      <c r="P10" s="924"/>
    </row>
    <row r="11" spans="1:17" ht="3.75" customHeight="1" x14ac:dyDescent="0.25">
      <c r="A11" s="853"/>
      <c r="B11" s="869"/>
      <c r="C11" s="810"/>
      <c r="D11" s="848"/>
      <c r="E11" s="846">
        <f>IF(KabelData!$F$8="",1,KabelData!$F$8)</f>
        <v>1</v>
      </c>
      <c r="F11" s="848"/>
      <c r="G11" s="886"/>
      <c r="H11" s="840">
        <f>IF(H9="","",IF(H9&gt;0,1000))</f>
        <v>1000</v>
      </c>
      <c r="I11" s="838"/>
      <c r="J11" s="796"/>
      <c r="K11" s="857"/>
      <c r="L11" s="888"/>
      <c r="M11" s="859"/>
      <c r="N11" s="919"/>
      <c r="O11" s="888"/>
      <c r="P11" s="924"/>
    </row>
    <row r="12" spans="1:17" ht="9.75" customHeight="1" x14ac:dyDescent="0.25">
      <c r="A12" s="854"/>
      <c r="B12" s="870"/>
      <c r="C12" s="875"/>
      <c r="D12" s="849"/>
      <c r="E12" s="847"/>
      <c r="F12" s="849"/>
      <c r="G12" s="33"/>
      <c r="H12" s="841"/>
      <c r="I12" s="839"/>
      <c r="J12" s="851"/>
      <c r="K12" s="858"/>
      <c r="L12" s="889"/>
      <c r="M12" s="860"/>
      <c r="N12" s="920"/>
      <c r="O12" s="889"/>
      <c r="P12" s="925"/>
    </row>
    <row r="13" spans="1:17" ht="6" customHeight="1" x14ac:dyDescent="0.25">
      <c r="A13" s="852" t="s">
        <v>157</v>
      </c>
      <c r="B13" s="217"/>
      <c r="C13" s="874"/>
      <c r="D13" s="833">
        <f>KabelData!J10</f>
        <v>3.0815270565094832</v>
      </c>
      <c r="E13" s="831" t="s">
        <v>140</v>
      </c>
      <c r="F13" s="833">
        <f>KabelData!J11</f>
        <v>1.803848784768499</v>
      </c>
      <c r="G13" s="34"/>
      <c r="H13" s="835">
        <f>IF(KabelData!J7="","",KabelData!J7)</f>
        <v>20</v>
      </c>
      <c r="I13" s="837"/>
      <c r="J13" s="850" t="s">
        <v>104</v>
      </c>
      <c r="K13" s="856">
        <f>IF(D13="","",ROUND((D13*10^-3*H13)/E15,4))</f>
        <v>6.1600000000000002E-2</v>
      </c>
      <c r="L13" s="887" t="s">
        <v>140</v>
      </c>
      <c r="M13" s="859">
        <f t="shared" ref="M13" si="1">F13</f>
        <v>1.803848784768499</v>
      </c>
      <c r="N13" s="918" t="e">
        <f>SQRT(SUM(#REF!)^2+SUM(#REF!)^2)</f>
        <v>#REF!</v>
      </c>
      <c r="O13" s="887" t="s">
        <v>140</v>
      </c>
      <c r="P13" s="923" t="e">
        <f>DEGREES(ATAN(SUM(#REF!)/SUM(#REF!)))</f>
        <v>#REF!</v>
      </c>
    </row>
    <row r="14" spans="1:17" ht="8.25" customHeight="1" thickBot="1" x14ac:dyDescent="0.3">
      <c r="A14" s="853"/>
      <c r="B14" s="869" t="str">
        <f>IF(KabelData!$J$3="","",KabelData!$J$3)</f>
        <v>-W3</v>
      </c>
      <c r="C14" s="810"/>
      <c r="D14" s="834"/>
      <c r="E14" s="832"/>
      <c r="F14" s="834"/>
      <c r="G14" s="886" t="s">
        <v>134</v>
      </c>
      <c r="H14" s="836"/>
      <c r="I14" s="838"/>
      <c r="J14" s="796"/>
      <c r="K14" s="857"/>
      <c r="L14" s="888"/>
      <c r="M14" s="859"/>
      <c r="N14" s="919"/>
      <c r="O14" s="888"/>
      <c r="P14" s="924"/>
    </row>
    <row r="15" spans="1:17" ht="3.75" customHeight="1" x14ac:dyDescent="0.25">
      <c r="A15" s="853"/>
      <c r="B15" s="869"/>
      <c r="C15" s="810"/>
      <c r="D15" s="848"/>
      <c r="E15" s="846">
        <f>IF(KabelData!$J$8="",1,KabelData!$J$8)</f>
        <v>1</v>
      </c>
      <c r="F15" s="848"/>
      <c r="G15" s="886"/>
      <c r="H15" s="840">
        <f>IF(H13="","",IF(H13&gt;0,1000))</f>
        <v>1000</v>
      </c>
      <c r="I15" s="838"/>
      <c r="J15" s="796"/>
      <c r="K15" s="857"/>
      <c r="L15" s="888"/>
      <c r="M15" s="859"/>
      <c r="N15" s="919"/>
      <c r="O15" s="888"/>
      <c r="P15" s="924"/>
    </row>
    <row r="16" spans="1:17" ht="9.75" customHeight="1" x14ac:dyDescent="0.25">
      <c r="A16" s="854"/>
      <c r="B16" s="870"/>
      <c r="C16" s="875"/>
      <c r="D16" s="849"/>
      <c r="E16" s="847"/>
      <c r="F16" s="849"/>
      <c r="G16" s="33"/>
      <c r="H16" s="841"/>
      <c r="I16" s="839"/>
      <c r="J16" s="851"/>
      <c r="K16" s="858"/>
      <c r="L16" s="889"/>
      <c r="M16" s="860"/>
      <c r="N16" s="920"/>
      <c r="O16" s="889"/>
      <c r="P16" s="925"/>
    </row>
    <row r="17" spans="1:16" ht="6" customHeight="1" x14ac:dyDescent="0.25">
      <c r="A17" s="852" t="s">
        <v>157</v>
      </c>
      <c r="B17" s="217"/>
      <c r="C17" s="874"/>
      <c r="D17" s="833">
        <f>KabelData!N10</f>
        <v>12.100438380488534</v>
      </c>
      <c r="E17" s="831" t="s">
        <v>140</v>
      </c>
      <c r="F17" s="833">
        <f>KabelData!N11</f>
        <v>0.48771262431497786</v>
      </c>
      <c r="G17" s="34"/>
      <c r="H17" s="835">
        <f>IF(KabelData!N7="","",KabelData!N7)</f>
        <v>18</v>
      </c>
      <c r="I17" s="837"/>
      <c r="J17" s="850" t="s">
        <v>104</v>
      </c>
      <c r="K17" s="856">
        <f>IF(D17="","",ROUND((D17*10^-3*H17)/E19,4))</f>
        <v>0.21779999999999999</v>
      </c>
      <c r="L17" s="887" t="s">
        <v>140</v>
      </c>
      <c r="M17" s="859">
        <f t="shared" ref="M17" si="2">F17</f>
        <v>0.48771262431497786</v>
      </c>
      <c r="N17" s="918" t="e">
        <f>SQRT(SUM(#REF!)^2+SUM(#REF!)^2)</f>
        <v>#REF!</v>
      </c>
      <c r="O17" s="887" t="s">
        <v>140</v>
      </c>
      <c r="P17" s="923" t="e">
        <f>DEGREES(ATAN(SUM(#REF!)/SUM(#REF!)))</f>
        <v>#REF!</v>
      </c>
    </row>
    <row r="18" spans="1:16" ht="8.25" customHeight="1" thickBot="1" x14ac:dyDescent="0.3">
      <c r="A18" s="853"/>
      <c r="B18" s="871" t="str">
        <f>IF(KabelData!$N$3="","",KabelData!$N$3)</f>
        <v>-W4</v>
      </c>
      <c r="C18" s="810"/>
      <c r="D18" s="834"/>
      <c r="E18" s="832"/>
      <c r="F18" s="834"/>
      <c r="G18" s="886" t="s">
        <v>134</v>
      </c>
      <c r="H18" s="836"/>
      <c r="I18" s="838"/>
      <c r="J18" s="796"/>
      <c r="K18" s="857"/>
      <c r="L18" s="888"/>
      <c r="M18" s="859"/>
      <c r="N18" s="919"/>
      <c r="O18" s="888"/>
      <c r="P18" s="924"/>
    </row>
    <row r="19" spans="1:16" ht="3.75" customHeight="1" x14ac:dyDescent="0.25">
      <c r="A19" s="853"/>
      <c r="B19" s="871"/>
      <c r="C19" s="810"/>
      <c r="D19" s="848"/>
      <c r="E19" s="846">
        <f>IF(KabelData!$N$8="",1,KabelData!$N$8)</f>
        <v>1</v>
      </c>
      <c r="F19" s="848"/>
      <c r="G19" s="886"/>
      <c r="H19" s="840">
        <f>IF(H17="","",IF(H17&gt;0,1000))</f>
        <v>1000</v>
      </c>
      <c r="I19" s="838"/>
      <c r="J19" s="796"/>
      <c r="K19" s="857"/>
      <c r="L19" s="888"/>
      <c r="M19" s="859"/>
      <c r="N19" s="919"/>
      <c r="O19" s="888"/>
      <c r="P19" s="924"/>
    </row>
    <row r="20" spans="1:16" ht="9.75" customHeight="1" x14ac:dyDescent="0.25">
      <c r="A20" s="854"/>
      <c r="B20" s="872"/>
      <c r="C20" s="875"/>
      <c r="D20" s="849"/>
      <c r="E20" s="847"/>
      <c r="F20" s="849"/>
      <c r="G20" s="33"/>
      <c r="H20" s="841"/>
      <c r="I20" s="839"/>
      <c r="J20" s="851"/>
      <c r="K20" s="858"/>
      <c r="L20" s="889"/>
      <c r="M20" s="860"/>
      <c r="N20" s="920"/>
      <c r="O20" s="889"/>
      <c r="P20" s="925"/>
    </row>
    <row r="21" spans="1:16" ht="6" customHeight="1" x14ac:dyDescent="0.25">
      <c r="A21" s="852" t="s">
        <v>157</v>
      </c>
      <c r="B21" s="217"/>
      <c r="C21" s="874"/>
      <c r="D21" s="833" t="str">
        <f>KabelData!R10</f>
        <v/>
      </c>
      <c r="E21" s="831" t="s">
        <v>140</v>
      </c>
      <c r="F21" s="833" t="str">
        <f>KabelData!R11</f>
        <v/>
      </c>
      <c r="G21" s="34"/>
      <c r="H21" s="835" t="str">
        <f>IF(KabelData!R7="","",KabelData!R7)</f>
        <v/>
      </c>
      <c r="I21" s="837"/>
      <c r="J21" s="850" t="s">
        <v>104</v>
      </c>
      <c r="K21" s="856" t="str">
        <f>IF(D21="","",ROUND((D21*10^-3*H21)/E23,4))</f>
        <v/>
      </c>
      <c r="L21" s="887" t="s">
        <v>140</v>
      </c>
      <c r="M21" s="859" t="str">
        <f t="shared" ref="M21" si="3">F21</f>
        <v/>
      </c>
      <c r="N21" s="918" t="e">
        <f>SQRT(SUM(#REF!)^2+SUM(#REF!)^2)</f>
        <v>#REF!</v>
      </c>
      <c r="O21" s="887" t="s">
        <v>140</v>
      </c>
      <c r="P21" s="923" t="e">
        <f>DEGREES(ATAN(SUM(#REF!)/SUM(#REF!)))</f>
        <v>#REF!</v>
      </c>
    </row>
    <row r="22" spans="1:16" ht="8.25" customHeight="1" thickBot="1" x14ac:dyDescent="0.3">
      <c r="A22" s="853"/>
      <c r="B22" s="871" t="str">
        <f>IF(KabelData!$R$3="","",KabelData!$R$3)</f>
        <v>-E5</v>
      </c>
      <c r="C22" s="810"/>
      <c r="D22" s="834"/>
      <c r="E22" s="832"/>
      <c r="F22" s="834"/>
      <c r="G22" s="886" t="s">
        <v>134</v>
      </c>
      <c r="H22" s="836"/>
      <c r="I22" s="838"/>
      <c r="J22" s="796"/>
      <c r="K22" s="857"/>
      <c r="L22" s="888"/>
      <c r="M22" s="859"/>
      <c r="N22" s="919"/>
      <c r="O22" s="888"/>
      <c r="P22" s="924"/>
    </row>
    <row r="23" spans="1:16" ht="3.75" customHeight="1" x14ac:dyDescent="0.25">
      <c r="A23" s="853"/>
      <c r="B23" s="871"/>
      <c r="C23" s="810"/>
      <c r="D23" s="848"/>
      <c r="E23" s="846">
        <f>IF(KabelData!$R$8="",1,KabelData!$R$8)</f>
        <v>1</v>
      </c>
      <c r="F23" s="848"/>
      <c r="G23" s="886"/>
      <c r="H23" s="840" t="str">
        <f>IF(H21="","",IF(H21&gt;0,1000))</f>
        <v/>
      </c>
      <c r="I23" s="838"/>
      <c r="J23" s="796"/>
      <c r="K23" s="857"/>
      <c r="L23" s="888"/>
      <c r="M23" s="859"/>
      <c r="N23" s="919"/>
      <c r="O23" s="888"/>
      <c r="P23" s="924"/>
    </row>
    <row r="24" spans="1:16" ht="9.75" customHeight="1" x14ac:dyDescent="0.25">
      <c r="A24" s="854"/>
      <c r="B24" s="872"/>
      <c r="C24" s="875"/>
      <c r="D24" s="849"/>
      <c r="E24" s="847"/>
      <c r="F24" s="849"/>
      <c r="G24" s="33"/>
      <c r="H24" s="841"/>
      <c r="I24" s="839"/>
      <c r="J24" s="851"/>
      <c r="K24" s="858"/>
      <c r="L24" s="889"/>
      <c r="M24" s="860"/>
      <c r="N24" s="920"/>
      <c r="O24" s="889"/>
      <c r="P24" s="925"/>
    </row>
    <row r="25" spans="1:16" ht="6" customHeight="1" x14ac:dyDescent="0.25">
      <c r="A25" s="852" t="s">
        <v>157</v>
      </c>
      <c r="B25" s="217"/>
      <c r="C25" s="874"/>
      <c r="D25" s="833" t="str">
        <f>KabelData!B25</f>
        <v/>
      </c>
      <c r="E25" s="831" t="s">
        <v>140</v>
      </c>
      <c r="F25" s="833" t="str">
        <f>KabelData!B26</f>
        <v/>
      </c>
      <c r="G25" s="34"/>
      <c r="H25" s="835" t="str">
        <f>IF(KabelData!B22="","",KabelData!B22)</f>
        <v/>
      </c>
      <c r="I25" s="837"/>
      <c r="J25" s="850" t="s">
        <v>104</v>
      </c>
      <c r="K25" s="856" t="str">
        <f>IF(D25="","",ROUND((D25*10^-3*H25)/E27,4))</f>
        <v/>
      </c>
      <c r="L25" s="887" t="s">
        <v>140</v>
      </c>
      <c r="M25" s="859" t="str">
        <f t="shared" ref="M25" si="4">F25</f>
        <v/>
      </c>
      <c r="N25" s="918" t="e">
        <f>SQRT(SUM(#REF!)^2+SUM(#REF!)^2)</f>
        <v>#REF!</v>
      </c>
      <c r="O25" s="887" t="s">
        <v>140</v>
      </c>
      <c r="P25" s="923" t="e">
        <f>DEGREES(ATAN(SUM(#REF!)/SUM(#REF!)))</f>
        <v>#REF!</v>
      </c>
    </row>
    <row r="26" spans="1:16" ht="8.25" customHeight="1" thickBot="1" x14ac:dyDescent="0.3">
      <c r="A26" s="853"/>
      <c r="B26" s="871" t="str">
        <f>IF(KabelData!$B$18="","",KabelData!$B$18)</f>
        <v/>
      </c>
      <c r="C26" s="810"/>
      <c r="D26" s="834"/>
      <c r="E26" s="832"/>
      <c r="F26" s="834"/>
      <c r="G26" s="886" t="s">
        <v>134</v>
      </c>
      <c r="H26" s="836"/>
      <c r="I26" s="838"/>
      <c r="J26" s="796"/>
      <c r="K26" s="857"/>
      <c r="L26" s="888"/>
      <c r="M26" s="859"/>
      <c r="N26" s="919"/>
      <c r="O26" s="888"/>
      <c r="P26" s="924"/>
    </row>
    <row r="27" spans="1:16" ht="3.75" customHeight="1" x14ac:dyDescent="0.25">
      <c r="A27" s="853"/>
      <c r="B27" s="871"/>
      <c r="C27" s="810"/>
      <c r="D27" s="848"/>
      <c r="E27" s="846">
        <f>IF(KabelData!$B$23="",1,KabelData!$B$23)</f>
        <v>1</v>
      </c>
      <c r="F27" s="848"/>
      <c r="G27" s="886"/>
      <c r="H27" s="840" t="str">
        <f>IF(H25="","",IF(H25&gt;0,1000))</f>
        <v/>
      </c>
      <c r="I27" s="838"/>
      <c r="J27" s="796"/>
      <c r="K27" s="857"/>
      <c r="L27" s="888"/>
      <c r="M27" s="859"/>
      <c r="N27" s="919"/>
      <c r="O27" s="888"/>
      <c r="P27" s="924"/>
    </row>
    <row r="28" spans="1:16" ht="9.75" customHeight="1" x14ac:dyDescent="0.25">
      <c r="A28" s="854"/>
      <c r="B28" s="872"/>
      <c r="C28" s="875"/>
      <c r="D28" s="849"/>
      <c r="E28" s="847"/>
      <c r="F28" s="849"/>
      <c r="G28" s="33"/>
      <c r="H28" s="841"/>
      <c r="I28" s="839"/>
      <c r="J28" s="851"/>
      <c r="K28" s="858"/>
      <c r="L28" s="889"/>
      <c r="M28" s="860"/>
      <c r="N28" s="920"/>
      <c r="O28" s="889"/>
      <c r="P28" s="925"/>
    </row>
    <row r="29" spans="1:16" ht="6" customHeight="1" x14ac:dyDescent="0.25">
      <c r="A29" s="852" t="s">
        <v>157</v>
      </c>
      <c r="B29" s="217"/>
      <c r="C29" s="874"/>
      <c r="D29" s="833" t="str">
        <f>KabelData!F25</f>
        <v/>
      </c>
      <c r="E29" s="831" t="s">
        <v>140</v>
      </c>
      <c r="F29" s="833" t="str">
        <f>KabelData!F26</f>
        <v/>
      </c>
      <c r="G29" s="34"/>
      <c r="H29" s="835" t="str">
        <f>IF(KabelData!F22="","",KabelData!F22)</f>
        <v/>
      </c>
      <c r="I29" s="837"/>
      <c r="J29" s="850" t="s">
        <v>104</v>
      </c>
      <c r="K29" s="856" t="str">
        <f>IF(D29="","",ROUND((D29*10^-3*H29)/E31,4))</f>
        <v/>
      </c>
      <c r="L29" s="887" t="s">
        <v>140</v>
      </c>
      <c r="M29" s="859" t="str">
        <f t="shared" ref="M29" si="5">F29</f>
        <v/>
      </c>
      <c r="N29" s="918" t="e">
        <f>SQRT(SUM(#REF!)^2+SUM(#REF!)^2)</f>
        <v>#REF!</v>
      </c>
      <c r="O29" s="887" t="s">
        <v>140</v>
      </c>
      <c r="P29" s="923" t="e">
        <f>DEGREES(ATAN(SUM(#REF!)/SUM(#REF!)))</f>
        <v>#REF!</v>
      </c>
    </row>
    <row r="30" spans="1:16" ht="8.25" customHeight="1" thickBot="1" x14ac:dyDescent="0.3">
      <c r="A30" s="853"/>
      <c r="B30" s="871" t="str">
        <f>IF(KabelData!$F$18="","",KabelData!$F$18)</f>
        <v/>
      </c>
      <c r="C30" s="810"/>
      <c r="D30" s="834"/>
      <c r="E30" s="832"/>
      <c r="F30" s="834"/>
      <c r="G30" s="886" t="s">
        <v>134</v>
      </c>
      <c r="H30" s="836"/>
      <c r="I30" s="838"/>
      <c r="J30" s="796"/>
      <c r="K30" s="857"/>
      <c r="L30" s="888"/>
      <c r="M30" s="859"/>
      <c r="N30" s="919"/>
      <c r="O30" s="888"/>
      <c r="P30" s="924"/>
    </row>
    <row r="31" spans="1:16" ht="3.75" customHeight="1" x14ac:dyDescent="0.25">
      <c r="A31" s="853"/>
      <c r="B31" s="871"/>
      <c r="C31" s="810"/>
      <c r="D31" s="848"/>
      <c r="E31" s="846">
        <f>IF(KabelData!$F$23="",1,KabelData!$F$23)</f>
        <v>1</v>
      </c>
      <c r="F31" s="848"/>
      <c r="G31" s="886"/>
      <c r="H31" s="840" t="str">
        <f>IF(H29="","",IF(H29&gt;0,1000))</f>
        <v/>
      </c>
      <c r="I31" s="838"/>
      <c r="J31" s="796"/>
      <c r="K31" s="857"/>
      <c r="L31" s="888"/>
      <c r="M31" s="859"/>
      <c r="N31" s="919"/>
      <c r="O31" s="888"/>
      <c r="P31" s="924"/>
    </row>
    <row r="32" spans="1:16" ht="9.75" customHeight="1" x14ac:dyDescent="0.25">
      <c r="A32" s="854"/>
      <c r="B32" s="872"/>
      <c r="C32" s="875"/>
      <c r="D32" s="849"/>
      <c r="E32" s="847"/>
      <c r="F32" s="849"/>
      <c r="G32" s="33"/>
      <c r="H32" s="841"/>
      <c r="I32" s="839"/>
      <c r="J32" s="851"/>
      <c r="K32" s="858"/>
      <c r="L32" s="889"/>
      <c r="M32" s="860"/>
      <c r="N32" s="920"/>
      <c r="O32" s="889"/>
      <c r="P32" s="925"/>
    </row>
    <row r="33" spans="1:24" ht="6" customHeight="1" x14ac:dyDescent="0.25">
      <c r="A33" s="852" t="s">
        <v>157</v>
      </c>
      <c r="B33" s="217"/>
      <c r="C33" s="874"/>
      <c r="D33" s="833" t="str">
        <f>KabelData!J25</f>
        <v/>
      </c>
      <c r="E33" s="831" t="s">
        <v>140</v>
      </c>
      <c r="F33" s="833" t="str">
        <f>KabelData!J26</f>
        <v/>
      </c>
      <c r="G33" s="34"/>
      <c r="H33" s="835" t="str">
        <f>IF(KabelData!J22="","",KabelData!J22)</f>
        <v/>
      </c>
      <c r="I33" s="837"/>
      <c r="J33" s="850" t="s">
        <v>104</v>
      </c>
      <c r="K33" s="856" t="str">
        <f>IF(D33="","",ROUND((D33*10^-3*H33)/E35,4))</f>
        <v/>
      </c>
      <c r="L33" s="887" t="s">
        <v>140</v>
      </c>
      <c r="M33" s="859" t="str">
        <f t="shared" ref="M33" si="6">F33</f>
        <v/>
      </c>
      <c r="N33" s="918" t="e">
        <f>SQRT(SUM(#REF!)^2+SUM(#REF!)^2)</f>
        <v>#REF!</v>
      </c>
      <c r="O33" s="887" t="s">
        <v>140</v>
      </c>
      <c r="P33" s="923" t="e">
        <f>DEGREES(ATAN(SUM(#REF!)/SUM(#REF!)))</f>
        <v>#REF!</v>
      </c>
    </row>
    <row r="34" spans="1:24" ht="8.25" customHeight="1" thickBot="1" x14ac:dyDescent="0.3">
      <c r="A34" s="853"/>
      <c r="B34" s="871" t="str">
        <f>IF(KabelData!$J$18="","",KabelData!$J$18)</f>
        <v/>
      </c>
      <c r="C34" s="810"/>
      <c r="D34" s="834"/>
      <c r="E34" s="832"/>
      <c r="F34" s="834"/>
      <c r="G34" s="886" t="s">
        <v>134</v>
      </c>
      <c r="H34" s="836"/>
      <c r="I34" s="838"/>
      <c r="J34" s="796"/>
      <c r="K34" s="857"/>
      <c r="L34" s="888"/>
      <c r="M34" s="859"/>
      <c r="N34" s="919"/>
      <c r="O34" s="888"/>
      <c r="P34" s="924"/>
    </row>
    <row r="35" spans="1:24" ht="3.75" customHeight="1" x14ac:dyDescent="0.25">
      <c r="A35" s="853"/>
      <c r="B35" s="871"/>
      <c r="C35" s="810"/>
      <c r="D35" s="848"/>
      <c r="E35" s="846">
        <f>IF(KabelData!$J$23="",1,KabelData!$J$23)</f>
        <v>1</v>
      </c>
      <c r="F35" s="848"/>
      <c r="G35" s="886"/>
      <c r="H35" s="840" t="str">
        <f>IF(H33="","",IF(H33&gt;0,1000))</f>
        <v/>
      </c>
      <c r="I35" s="838"/>
      <c r="J35" s="796"/>
      <c r="K35" s="857"/>
      <c r="L35" s="888"/>
      <c r="M35" s="859"/>
      <c r="N35" s="919"/>
      <c r="O35" s="888"/>
      <c r="P35" s="924"/>
    </row>
    <row r="36" spans="1:24" ht="9.75" customHeight="1" thickBot="1" x14ac:dyDescent="0.3">
      <c r="A36" s="853"/>
      <c r="B36" s="871"/>
      <c r="C36" s="810"/>
      <c r="D36" s="885"/>
      <c r="E36" s="893"/>
      <c r="F36" s="885"/>
      <c r="G36" s="65"/>
      <c r="H36" s="842"/>
      <c r="I36" s="838"/>
      <c r="J36" s="796"/>
      <c r="K36" s="857"/>
      <c r="L36" s="888"/>
      <c r="M36" s="859"/>
      <c r="N36" s="920"/>
      <c r="O36" s="889"/>
      <c r="P36" s="925"/>
    </row>
    <row r="37" spans="1:24" s="45" customFormat="1" ht="12" customHeight="1" thickBot="1" x14ac:dyDescent="0.3">
      <c r="A37" s="877" t="s">
        <v>334</v>
      </c>
      <c r="B37" s="794"/>
      <c r="C37" s="794"/>
      <c r="D37" s="794"/>
      <c r="E37" s="900" t="s">
        <v>332</v>
      </c>
      <c r="F37" s="900"/>
      <c r="G37" s="846" t="s">
        <v>134</v>
      </c>
      <c r="H37" s="312" t="s">
        <v>224</v>
      </c>
      <c r="I37" s="313"/>
      <c r="J37" s="300"/>
      <c r="K37" s="910"/>
      <c r="L37" s="911"/>
      <c r="M37" s="912"/>
      <c r="N37" s="306"/>
      <c r="O37" s="304"/>
      <c r="P37" s="305"/>
    </row>
    <row r="38" spans="1:24" s="45" customFormat="1" ht="12" customHeight="1" thickBot="1" x14ac:dyDescent="0.3">
      <c r="A38" s="878"/>
      <c r="B38" s="879"/>
      <c r="C38" s="879"/>
      <c r="D38" s="879"/>
      <c r="E38" s="893" t="s">
        <v>74</v>
      </c>
      <c r="F38" s="893"/>
      <c r="G38" s="893"/>
      <c r="H38" s="302">
        <v>1000</v>
      </c>
      <c r="I38" s="303"/>
      <c r="J38" s="301"/>
      <c r="K38" s="913"/>
      <c r="L38" s="914"/>
      <c r="M38" s="915"/>
      <c r="N38" s="306"/>
      <c r="O38" s="304"/>
      <c r="P38" s="305"/>
    </row>
    <row r="39" spans="1:24" ht="6" customHeight="1" x14ac:dyDescent="0.25">
      <c r="A39" s="867" t="s">
        <v>157</v>
      </c>
      <c r="B39" s="314"/>
      <c r="C39" s="880"/>
      <c r="D39" s="848" t="str">
        <f>IF(U39=0,"",U39)</f>
        <v/>
      </c>
      <c r="E39" s="916" t="s">
        <v>185</v>
      </c>
      <c r="F39" s="894" t="str">
        <f>IF(V39=0,"",V39)</f>
        <v/>
      </c>
      <c r="G39" s="315"/>
      <c r="H39" s="840" t="str">
        <f>IF(KabelData!N22="","",KabelData!N22)</f>
        <v/>
      </c>
      <c r="I39" s="896"/>
      <c r="J39" s="795" t="s">
        <v>104</v>
      </c>
      <c r="K39" s="902" t="str">
        <f>IF(W39="","",ROUND((W39*10^-3*H39)/E41,4))</f>
        <v/>
      </c>
      <c r="L39" s="903" t="s">
        <v>140</v>
      </c>
      <c r="M39" s="909" t="str">
        <f>X39</f>
        <v/>
      </c>
      <c r="N39" s="918" t="e">
        <f>SQRT(SUM(#REF!)^2+SUM(#REF!)^2)</f>
        <v>#REF!</v>
      </c>
      <c r="O39" s="887" t="s">
        <v>140</v>
      </c>
      <c r="P39" s="923" t="e">
        <f>DEGREES(ATAN(SUM(#REF!)/SUM(#REF!)))</f>
        <v>#REF!</v>
      </c>
      <c r="U39" s="855">
        <f>KabelData!N20</f>
        <v>0</v>
      </c>
      <c r="V39" s="855">
        <f>KabelData!N21</f>
        <v>0</v>
      </c>
      <c r="W39" s="855" t="str">
        <f>KabelData!N25</f>
        <v/>
      </c>
      <c r="X39" s="855" t="str">
        <f>KabelData!N26</f>
        <v/>
      </c>
    </row>
    <row r="40" spans="1:24" ht="8.25" customHeight="1" thickBot="1" x14ac:dyDescent="0.3">
      <c r="A40" s="853"/>
      <c r="B40" s="871" t="str">
        <f>IF(KabelData!$N$18="","",KabelData!$N$18)</f>
        <v/>
      </c>
      <c r="C40" s="810"/>
      <c r="D40" s="834"/>
      <c r="E40" s="832"/>
      <c r="F40" s="895"/>
      <c r="G40" s="886" t="s">
        <v>134</v>
      </c>
      <c r="H40" s="836"/>
      <c r="I40" s="838"/>
      <c r="J40" s="796"/>
      <c r="K40" s="857"/>
      <c r="L40" s="888"/>
      <c r="M40" s="859"/>
      <c r="N40" s="919"/>
      <c r="O40" s="888"/>
      <c r="P40" s="924"/>
      <c r="U40" s="855"/>
      <c r="V40" s="855"/>
      <c r="W40" s="855"/>
      <c r="X40" s="855"/>
    </row>
    <row r="41" spans="1:24" ht="3.75" customHeight="1" x14ac:dyDescent="0.25">
      <c r="A41" s="853"/>
      <c r="B41" s="871"/>
      <c r="C41" s="810"/>
      <c r="D41" s="848"/>
      <c r="E41" s="846">
        <f>IF(KabelData!$N$23="",1,KabelData!$N$23)</f>
        <v>1</v>
      </c>
      <c r="F41" s="848"/>
      <c r="G41" s="886"/>
      <c r="H41" s="840" t="str">
        <f>IF(H39="","",IF(H39&gt;0,1000))</f>
        <v/>
      </c>
      <c r="I41" s="838"/>
      <c r="J41" s="796"/>
      <c r="K41" s="857"/>
      <c r="L41" s="888"/>
      <c r="M41" s="859"/>
      <c r="N41" s="919"/>
      <c r="O41" s="888"/>
      <c r="P41" s="924"/>
    </row>
    <row r="42" spans="1:24" ht="9.75" customHeight="1" x14ac:dyDescent="0.25">
      <c r="A42" s="854"/>
      <c r="B42" s="872"/>
      <c r="C42" s="875"/>
      <c r="D42" s="849"/>
      <c r="E42" s="847"/>
      <c r="F42" s="849"/>
      <c r="G42" s="33"/>
      <c r="H42" s="841"/>
      <c r="I42" s="839"/>
      <c r="J42" s="851"/>
      <c r="K42" s="858"/>
      <c r="L42" s="889"/>
      <c r="M42" s="860"/>
      <c r="N42" s="920"/>
      <c r="O42" s="889"/>
      <c r="P42" s="925"/>
    </row>
    <row r="43" spans="1:24" ht="6" customHeight="1" x14ac:dyDescent="0.25">
      <c r="A43" s="853" t="s">
        <v>157</v>
      </c>
      <c r="B43" s="218"/>
      <c r="C43" s="874"/>
      <c r="D43" s="833" t="str">
        <f>IF(U43=0,"",U43)</f>
        <v/>
      </c>
      <c r="E43" s="831" t="s">
        <v>185</v>
      </c>
      <c r="F43" s="917" t="str">
        <f>IF(V43=0,"",V43)</f>
        <v/>
      </c>
      <c r="G43" s="34"/>
      <c r="H43" s="835" t="str">
        <f>IF(KabelData!R22="","",KabelData!R22)</f>
        <v/>
      </c>
      <c r="I43" s="837"/>
      <c r="J43" s="850" t="s">
        <v>104</v>
      </c>
      <c r="K43" s="856" t="str">
        <f>IF(W43="","",ROUND((W43*10^-3*H43)/E45,4))</f>
        <v/>
      </c>
      <c r="L43" s="887" t="s">
        <v>140</v>
      </c>
      <c r="M43" s="859" t="str">
        <f>X43</f>
        <v/>
      </c>
      <c r="N43" s="918" t="e">
        <f>SQRT(SUM(#REF!)^2+SUM(#REF!)^2)</f>
        <v>#REF!</v>
      </c>
      <c r="O43" s="887" t="s">
        <v>140</v>
      </c>
      <c r="P43" s="923" t="e">
        <f>DEGREES(ATAN(SUM(#REF!)/SUM(#REF!)))</f>
        <v>#REF!</v>
      </c>
      <c r="U43" s="855">
        <f>KabelData!R20</f>
        <v>0</v>
      </c>
      <c r="V43" s="855">
        <f>KabelData!R21</f>
        <v>0</v>
      </c>
      <c r="W43" s="855" t="str">
        <f>KabelData!R25</f>
        <v/>
      </c>
      <c r="X43" s="855" t="str">
        <f>KabelData!R26</f>
        <v/>
      </c>
    </row>
    <row r="44" spans="1:24" ht="8.25" customHeight="1" thickBot="1" x14ac:dyDescent="0.3">
      <c r="A44" s="853"/>
      <c r="B44" s="871" t="str">
        <f>IF(KabelData!$R$18="","",KabelData!$R$18)</f>
        <v>-W10</v>
      </c>
      <c r="C44" s="810"/>
      <c r="D44" s="834"/>
      <c r="E44" s="832"/>
      <c r="F44" s="895"/>
      <c r="G44" s="886" t="s">
        <v>134</v>
      </c>
      <c r="H44" s="836"/>
      <c r="I44" s="838"/>
      <c r="J44" s="796"/>
      <c r="K44" s="857"/>
      <c r="L44" s="888"/>
      <c r="M44" s="859"/>
      <c r="N44" s="919"/>
      <c r="O44" s="888"/>
      <c r="P44" s="924"/>
      <c r="U44" s="855"/>
      <c r="V44" s="855"/>
      <c r="W44" s="855"/>
      <c r="X44" s="855"/>
    </row>
    <row r="45" spans="1:24" ht="3.75" customHeight="1" x14ac:dyDescent="0.25">
      <c r="A45" s="853"/>
      <c r="B45" s="871"/>
      <c r="C45" s="810"/>
      <c r="D45" s="848"/>
      <c r="E45" s="846">
        <f>IF(KabelData!$R$23="",1,KabelData!$R$23)</f>
        <v>1</v>
      </c>
      <c r="F45" s="848"/>
      <c r="G45" s="886"/>
      <c r="H45" s="840" t="str">
        <f>IF(H43="","",IF(H43&gt;0,1000))</f>
        <v/>
      </c>
      <c r="I45" s="838"/>
      <c r="J45" s="796"/>
      <c r="K45" s="857"/>
      <c r="L45" s="888"/>
      <c r="M45" s="859"/>
      <c r="N45" s="919"/>
      <c r="O45" s="888"/>
      <c r="P45" s="924"/>
    </row>
    <row r="46" spans="1:24" ht="9.75" customHeight="1" thickBot="1" x14ac:dyDescent="0.3">
      <c r="A46" s="868"/>
      <c r="B46" s="873"/>
      <c r="C46" s="883"/>
      <c r="D46" s="834"/>
      <c r="E46" s="901"/>
      <c r="F46" s="834"/>
      <c r="G46" s="42"/>
      <c r="H46" s="836"/>
      <c r="I46" s="899"/>
      <c r="J46" s="864"/>
      <c r="K46" s="897"/>
      <c r="L46" s="898"/>
      <c r="M46" s="922"/>
      <c r="N46" s="929"/>
      <c r="O46" s="898"/>
      <c r="P46" s="632"/>
    </row>
    <row r="47" spans="1:24" ht="15.75" thickBot="1" x14ac:dyDescent="0.3"/>
    <row r="48" spans="1:24" ht="19.5" thickBot="1" x14ac:dyDescent="0.35">
      <c r="A48" s="906" t="s">
        <v>387</v>
      </c>
      <c r="B48" s="907"/>
      <c r="C48" s="907"/>
      <c r="D48" s="907"/>
      <c r="E48" s="907"/>
      <c r="F48" s="907"/>
      <c r="G48" s="907"/>
      <c r="H48" s="907"/>
      <c r="I48" s="907"/>
      <c r="J48" s="907"/>
      <c r="K48" s="907"/>
      <c r="L48" s="907"/>
      <c r="M48" s="908"/>
      <c r="N48" s="209"/>
      <c r="O48" s="209"/>
      <c r="P48" s="210"/>
    </row>
    <row r="49" spans="1:16" s="45" customFormat="1" ht="21.75" customHeight="1" thickBot="1" x14ac:dyDescent="0.3">
      <c r="A49" s="932" t="s">
        <v>144</v>
      </c>
      <c r="B49" s="795"/>
      <c r="C49" s="932" t="s">
        <v>143</v>
      </c>
      <c r="D49" s="795"/>
      <c r="E49" s="795"/>
      <c r="F49" s="56" t="s">
        <v>157</v>
      </c>
      <c r="G49" s="795" t="s">
        <v>134</v>
      </c>
      <c r="H49" s="56" t="s">
        <v>224</v>
      </c>
      <c r="I49" s="69"/>
      <c r="J49" s="865" t="s">
        <v>104</v>
      </c>
      <c r="K49" s="935" t="s">
        <v>335</v>
      </c>
      <c r="L49" s="936"/>
      <c r="M49" s="937"/>
      <c r="N49" s="795" t="s">
        <v>145</v>
      </c>
      <c r="O49" s="795"/>
      <c r="P49" s="865"/>
    </row>
    <row r="50" spans="1:16" ht="15.75" thickBot="1" x14ac:dyDescent="0.3">
      <c r="A50" s="933"/>
      <c r="B50" s="864"/>
      <c r="C50" s="933"/>
      <c r="D50" s="864"/>
      <c r="E50" s="864"/>
      <c r="F50" s="71" t="s">
        <v>74</v>
      </c>
      <c r="G50" s="864"/>
      <c r="H50" s="71">
        <v>1000</v>
      </c>
      <c r="I50" s="70"/>
      <c r="J50" s="866"/>
      <c r="K50" s="938"/>
      <c r="L50" s="939"/>
      <c r="M50" s="940"/>
      <c r="N50" s="864"/>
      <c r="O50" s="864"/>
      <c r="P50" s="866"/>
    </row>
    <row r="51" spans="1:16" ht="15.75" thickBot="1" x14ac:dyDescent="0.3">
      <c r="A51" s="214" t="s">
        <v>222</v>
      </c>
      <c r="B51" s="77"/>
      <c r="C51" s="934" t="s">
        <v>107</v>
      </c>
      <c r="D51" s="891"/>
      <c r="E51" s="46" t="s">
        <v>74</v>
      </c>
      <c r="F51" s="46" t="s">
        <v>142</v>
      </c>
      <c r="G51" s="32"/>
      <c r="H51" s="203" t="s">
        <v>103</v>
      </c>
      <c r="I51" s="204"/>
      <c r="J51" s="59"/>
      <c r="K51" s="60" t="s">
        <v>225</v>
      </c>
      <c r="L51" s="32"/>
      <c r="M51" s="47" t="s">
        <v>226</v>
      </c>
      <c r="N51" s="61" t="s">
        <v>151</v>
      </c>
      <c r="O51" s="64"/>
      <c r="P51" s="63" t="s">
        <v>142</v>
      </c>
    </row>
    <row r="52" spans="1:16" ht="6" customHeight="1" x14ac:dyDescent="0.25">
      <c r="A52" s="853" t="s">
        <v>157</v>
      </c>
      <c r="B52" s="213"/>
      <c r="C52" s="200"/>
      <c r="D52" s="885">
        <f>KabelData!B14</f>
        <v>0.58803061144807767</v>
      </c>
      <c r="E52" s="831" t="s">
        <v>140</v>
      </c>
      <c r="F52" s="885">
        <f>KabelData!B15</f>
        <v>8.2127801892859527</v>
      </c>
      <c r="G52" s="844" t="s">
        <v>134</v>
      </c>
      <c r="H52" s="842">
        <f>H5</f>
        <v>15</v>
      </c>
      <c r="I52" s="202"/>
      <c r="J52" s="904" t="s">
        <v>104</v>
      </c>
      <c r="K52" s="857">
        <f>IF(D52="","",(D52*10^-3*H52)/E54)</f>
        <v>8.8204591717211643E-3</v>
      </c>
      <c r="L52" s="892" t="s">
        <v>140</v>
      </c>
      <c r="M52" s="859">
        <f>F52</f>
        <v>8.2127801892859527</v>
      </c>
      <c r="N52" s="931">
        <f>K52</f>
        <v>8.8204591717211643E-3</v>
      </c>
      <c r="O52" s="903" t="s">
        <v>140</v>
      </c>
      <c r="P52" s="930">
        <f>M52</f>
        <v>8.2127801892859527</v>
      </c>
    </row>
    <row r="53" spans="1:16" ht="8.25" customHeight="1" thickBot="1" x14ac:dyDescent="0.3">
      <c r="A53" s="853"/>
      <c r="B53" s="869" t="str">
        <f>IF(KabelData!$B$3="","",KabelData!$B$3)</f>
        <v>-W1</v>
      </c>
      <c r="C53" s="132"/>
      <c r="D53" s="834"/>
      <c r="E53" s="832"/>
      <c r="F53" s="834"/>
      <c r="G53" s="844"/>
      <c r="H53" s="836"/>
      <c r="I53" s="134"/>
      <c r="J53" s="904"/>
      <c r="K53" s="857"/>
      <c r="L53" s="892"/>
      <c r="M53" s="859"/>
      <c r="N53" s="919"/>
      <c r="O53" s="892"/>
      <c r="P53" s="924"/>
    </row>
    <row r="54" spans="1:16" ht="3.75" customHeight="1" x14ac:dyDescent="0.25">
      <c r="A54" s="853"/>
      <c r="B54" s="869"/>
      <c r="C54" s="132"/>
      <c r="D54" s="848"/>
      <c r="E54" s="846">
        <f>IF(KabelData!$B$8="",1,KabelData!$B$8)</f>
        <v>1</v>
      </c>
      <c r="F54" s="848"/>
      <c r="G54" s="844"/>
      <c r="H54" s="840">
        <f>IF(H52="","",IF(H52&gt;0,1000))</f>
        <v>1000</v>
      </c>
      <c r="I54" s="134"/>
      <c r="J54" s="904"/>
      <c r="K54" s="857"/>
      <c r="L54" s="892"/>
      <c r="M54" s="859"/>
      <c r="N54" s="919"/>
      <c r="O54" s="892"/>
      <c r="P54" s="924"/>
    </row>
    <row r="55" spans="1:16" ht="9.75" customHeight="1" x14ac:dyDescent="0.25">
      <c r="A55" s="854"/>
      <c r="B55" s="870"/>
      <c r="C55" s="136"/>
      <c r="D55" s="849"/>
      <c r="E55" s="847"/>
      <c r="F55" s="849"/>
      <c r="G55" s="845"/>
      <c r="H55" s="841"/>
      <c r="I55" s="135"/>
      <c r="J55" s="905"/>
      <c r="K55" s="858"/>
      <c r="L55" s="921"/>
      <c r="M55" s="860"/>
      <c r="N55" s="920"/>
      <c r="O55" s="921"/>
      <c r="P55" s="925"/>
    </row>
    <row r="56" spans="1:16" ht="6" customHeight="1" x14ac:dyDescent="0.25">
      <c r="A56" s="852" t="s">
        <v>157</v>
      </c>
      <c r="B56" s="76"/>
      <c r="C56" s="131"/>
      <c r="D56" s="833">
        <f>KabelData!F14</f>
        <v>1.727092933226235</v>
      </c>
      <c r="E56" s="831" t="s">
        <v>140</v>
      </c>
      <c r="F56" s="833">
        <f>KabelData!F15</f>
        <v>2.8209885935155139</v>
      </c>
      <c r="G56" s="843" t="s">
        <v>134</v>
      </c>
      <c r="H56" s="835">
        <f>H9</f>
        <v>20</v>
      </c>
      <c r="I56" s="133"/>
      <c r="J56" s="904" t="s">
        <v>104</v>
      </c>
      <c r="K56" s="857">
        <f>IF(D56="","",(D56*10^-3*H56)/E58)</f>
        <v>3.4541858664524701E-2</v>
      </c>
      <c r="L56" s="892" t="s">
        <v>140</v>
      </c>
      <c r="M56" s="859">
        <f t="shared" ref="M56" si="7">F56</f>
        <v>2.8209885935155139</v>
      </c>
      <c r="N56" s="918" t="e">
        <f>SQRT(SUM(#REF!)^2+SUM(#REF!)^2)</f>
        <v>#REF!</v>
      </c>
      <c r="O56" s="892" t="s">
        <v>140</v>
      </c>
      <c r="P56" s="923" t="e">
        <f>DEGREES(ATAN(SUM(#REF!)/SUM(#REF!)))</f>
        <v>#REF!</v>
      </c>
    </row>
    <row r="57" spans="1:16" ht="8.25" customHeight="1" thickBot="1" x14ac:dyDescent="0.3">
      <c r="A57" s="853"/>
      <c r="B57" s="869" t="str">
        <f>IF(KabelData!$F$3="","",KabelData!$F$3)</f>
        <v>-W2</v>
      </c>
      <c r="C57" s="132"/>
      <c r="D57" s="834"/>
      <c r="E57" s="832"/>
      <c r="F57" s="834"/>
      <c r="G57" s="844"/>
      <c r="H57" s="836"/>
      <c r="I57" s="134"/>
      <c r="J57" s="904"/>
      <c r="K57" s="857"/>
      <c r="L57" s="892"/>
      <c r="M57" s="859"/>
      <c r="N57" s="919"/>
      <c r="O57" s="892"/>
      <c r="P57" s="924"/>
    </row>
    <row r="58" spans="1:16" ht="3.75" customHeight="1" x14ac:dyDescent="0.25">
      <c r="A58" s="853"/>
      <c r="B58" s="869"/>
      <c r="C58" s="132"/>
      <c r="D58" s="848"/>
      <c r="E58" s="846">
        <f>IF(KabelData!$F$8="",1,KabelData!$F$8)</f>
        <v>1</v>
      </c>
      <c r="F58" s="848"/>
      <c r="G58" s="844"/>
      <c r="H58" s="840">
        <f>IF(H56="","",IF(H56&gt;0,1000))</f>
        <v>1000</v>
      </c>
      <c r="I58" s="134"/>
      <c r="J58" s="904"/>
      <c r="K58" s="857"/>
      <c r="L58" s="892"/>
      <c r="M58" s="859"/>
      <c r="N58" s="919"/>
      <c r="O58" s="892"/>
      <c r="P58" s="924"/>
    </row>
    <row r="59" spans="1:16" ht="9.75" customHeight="1" x14ac:dyDescent="0.25">
      <c r="A59" s="854"/>
      <c r="B59" s="870"/>
      <c r="C59" s="136"/>
      <c r="D59" s="849"/>
      <c r="E59" s="847"/>
      <c r="F59" s="849"/>
      <c r="G59" s="845"/>
      <c r="H59" s="841"/>
      <c r="I59" s="135"/>
      <c r="J59" s="905"/>
      <c r="K59" s="858"/>
      <c r="L59" s="921"/>
      <c r="M59" s="860"/>
      <c r="N59" s="920"/>
      <c r="O59" s="921"/>
      <c r="P59" s="925"/>
    </row>
    <row r="60" spans="1:16" ht="6" customHeight="1" x14ac:dyDescent="0.25">
      <c r="A60" s="852" t="s">
        <v>157</v>
      </c>
      <c r="B60" s="76"/>
      <c r="C60" s="131"/>
      <c r="D60" s="833">
        <f>KabelData!J14</f>
        <v>4.6210181778478212</v>
      </c>
      <c r="E60" s="831" t="s">
        <v>140</v>
      </c>
      <c r="F60" s="833">
        <f>KabelData!J15</f>
        <v>1.202786620123433</v>
      </c>
      <c r="G60" s="843" t="s">
        <v>134</v>
      </c>
      <c r="H60" s="842">
        <f>H13</f>
        <v>20</v>
      </c>
      <c r="I60" s="133"/>
      <c r="J60" s="904" t="s">
        <v>104</v>
      </c>
      <c r="K60" s="857">
        <f>IF(D60="","",(D60*10^-3*H60)/E62)</f>
        <v>9.2420363556956431E-2</v>
      </c>
      <c r="L60" s="892" t="s">
        <v>140</v>
      </c>
      <c r="M60" s="859">
        <f t="shared" ref="M60" si="8">F60</f>
        <v>1.202786620123433</v>
      </c>
      <c r="N60" s="918" t="e">
        <f>SQRT(SUM(#REF!)^2+SUM(#REF!)^2)</f>
        <v>#REF!</v>
      </c>
      <c r="O60" s="892" t="s">
        <v>140</v>
      </c>
      <c r="P60" s="923" t="e">
        <f>DEGREES(ATAN(SUM(#REF!)/SUM(#REF!)))</f>
        <v>#REF!</v>
      </c>
    </row>
    <row r="61" spans="1:16" ht="8.25" customHeight="1" thickBot="1" x14ac:dyDescent="0.3">
      <c r="A61" s="853"/>
      <c r="B61" s="869" t="str">
        <f>IF(KabelData!$J$3="","",KabelData!$J$3)</f>
        <v>-W3</v>
      </c>
      <c r="C61" s="132"/>
      <c r="D61" s="834"/>
      <c r="E61" s="832"/>
      <c r="F61" s="834"/>
      <c r="G61" s="844"/>
      <c r="H61" s="836"/>
      <c r="I61" s="134"/>
      <c r="J61" s="904"/>
      <c r="K61" s="857"/>
      <c r="L61" s="892"/>
      <c r="M61" s="859"/>
      <c r="N61" s="919"/>
      <c r="O61" s="892"/>
      <c r="P61" s="924"/>
    </row>
    <row r="62" spans="1:16" ht="3.75" customHeight="1" x14ac:dyDescent="0.25">
      <c r="A62" s="853"/>
      <c r="B62" s="869"/>
      <c r="C62" s="132"/>
      <c r="D62" s="848"/>
      <c r="E62" s="846">
        <f>IF(KabelData!$J$8="",1,KabelData!$J$8)</f>
        <v>1</v>
      </c>
      <c r="F62" s="848"/>
      <c r="G62" s="844"/>
      <c r="H62" s="840">
        <f>IF(H60="","",IF(H60&gt;0,1000))</f>
        <v>1000</v>
      </c>
      <c r="I62" s="134"/>
      <c r="J62" s="904"/>
      <c r="K62" s="857"/>
      <c r="L62" s="892"/>
      <c r="M62" s="859"/>
      <c r="N62" s="919"/>
      <c r="O62" s="892"/>
      <c r="P62" s="924"/>
    </row>
    <row r="63" spans="1:16" ht="9.75" customHeight="1" x14ac:dyDescent="0.25">
      <c r="A63" s="854"/>
      <c r="B63" s="870"/>
      <c r="C63" s="136"/>
      <c r="D63" s="849"/>
      <c r="E63" s="847"/>
      <c r="F63" s="849"/>
      <c r="G63" s="845"/>
      <c r="H63" s="841"/>
      <c r="I63" s="135"/>
      <c r="J63" s="905"/>
      <c r="K63" s="858"/>
      <c r="L63" s="921"/>
      <c r="M63" s="860"/>
      <c r="N63" s="920"/>
      <c r="O63" s="921"/>
      <c r="P63" s="925"/>
    </row>
    <row r="64" spans="1:16" s="45" customFormat="1" ht="6" customHeight="1" x14ac:dyDescent="0.25">
      <c r="A64" s="852" t="s">
        <v>157</v>
      </c>
      <c r="B64" s="76"/>
      <c r="C64" s="131"/>
      <c r="D64" s="833">
        <f>KabelData!N14</f>
        <v>18.150292256600164</v>
      </c>
      <c r="E64" s="831" t="s">
        <v>140</v>
      </c>
      <c r="F64" s="833">
        <f>KabelData!N15</f>
        <v>0.32514611234865137</v>
      </c>
      <c r="G64" s="843" t="s">
        <v>134</v>
      </c>
      <c r="H64" s="835">
        <f>H17</f>
        <v>18</v>
      </c>
      <c r="I64" s="133"/>
      <c r="J64" s="904" t="s">
        <v>104</v>
      </c>
      <c r="K64" s="857">
        <f>IF(D64="","",(D64*10^-3*H64)/E66)</f>
        <v>0.32670526061880295</v>
      </c>
      <c r="L64" s="892" t="s">
        <v>140</v>
      </c>
      <c r="M64" s="859">
        <f t="shared" ref="M64" si="9">F64</f>
        <v>0.32514611234865137</v>
      </c>
      <c r="N64" s="918" t="e">
        <f>SQRT(SUM(#REF!)^2+SUM(#REF!)^2)</f>
        <v>#REF!</v>
      </c>
      <c r="O64" s="892" t="s">
        <v>140</v>
      </c>
      <c r="P64" s="923" t="e">
        <f>DEGREES(ATAN(SUM(#REF!)/SUM(#REF!)))</f>
        <v>#REF!</v>
      </c>
    </row>
    <row r="65" spans="1:16" s="45" customFormat="1" ht="8.25" customHeight="1" thickBot="1" x14ac:dyDescent="0.3">
      <c r="A65" s="853"/>
      <c r="B65" s="869" t="str">
        <f>IF(KabelData!$N$3="","",KabelData!$N$3)</f>
        <v>-W4</v>
      </c>
      <c r="C65" s="132"/>
      <c r="D65" s="834"/>
      <c r="E65" s="832"/>
      <c r="F65" s="834"/>
      <c r="G65" s="844"/>
      <c r="H65" s="836"/>
      <c r="I65" s="134"/>
      <c r="J65" s="904"/>
      <c r="K65" s="857"/>
      <c r="L65" s="892"/>
      <c r="M65" s="859"/>
      <c r="N65" s="919"/>
      <c r="O65" s="892"/>
      <c r="P65" s="924"/>
    </row>
    <row r="66" spans="1:16" s="45" customFormat="1" ht="3.75" customHeight="1" x14ac:dyDescent="0.25">
      <c r="A66" s="853"/>
      <c r="B66" s="869"/>
      <c r="C66" s="132"/>
      <c r="D66" s="848"/>
      <c r="E66" s="846">
        <f>IF(KabelData!$N$8="",1,KabelData!$N$8)</f>
        <v>1</v>
      </c>
      <c r="F66" s="848"/>
      <c r="G66" s="844"/>
      <c r="H66" s="840">
        <f>IF(H64="","",IF(H64&gt;0,1000))</f>
        <v>1000</v>
      </c>
      <c r="I66" s="134"/>
      <c r="J66" s="904"/>
      <c r="K66" s="857"/>
      <c r="L66" s="892"/>
      <c r="M66" s="859"/>
      <c r="N66" s="919"/>
      <c r="O66" s="892"/>
      <c r="P66" s="924"/>
    </row>
    <row r="67" spans="1:16" s="45" customFormat="1" ht="9.75" customHeight="1" x14ac:dyDescent="0.25">
      <c r="A67" s="854"/>
      <c r="B67" s="870"/>
      <c r="C67" s="136"/>
      <c r="D67" s="849"/>
      <c r="E67" s="847"/>
      <c r="F67" s="849"/>
      <c r="G67" s="845"/>
      <c r="H67" s="841"/>
      <c r="I67" s="135"/>
      <c r="J67" s="905"/>
      <c r="K67" s="858"/>
      <c r="L67" s="921"/>
      <c r="M67" s="860"/>
      <c r="N67" s="920"/>
      <c r="O67" s="921"/>
      <c r="P67" s="925"/>
    </row>
    <row r="68" spans="1:16" s="45" customFormat="1" ht="6" customHeight="1" x14ac:dyDescent="0.25">
      <c r="A68" s="852" t="s">
        <v>157</v>
      </c>
      <c r="B68" s="76"/>
      <c r="C68" s="874"/>
      <c r="D68" s="833" t="str">
        <f>KabelData!R14</f>
        <v/>
      </c>
      <c r="E68" s="831" t="s">
        <v>140</v>
      </c>
      <c r="F68" s="833" t="str">
        <f>KabelData!R15</f>
        <v/>
      </c>
      <c r="G68" s="843" t="s">
        <v>134</v>
      </c>
      <c r="H68" s="842" t="str">
        <f>H21</f>
        <v/>
      </c>
      <c r="I68" s="837"/>
      <c r="J68" s="850" t="s">
        <v>104</v>
      </c>
      <c r="K68" s="856" t="str">
        <f>IF(D68="","",(D68*10^-3*H68)/E70)</f>
        <v/>
      </c>
      <c r="L68" s="887" t="s">
        <v>140</v>
      </c>
      <c r="M68" s="859" t="str">
        <f t="shared" ref="M68" si="10">F68</f>
        <v/>
      </c>
      <c r="N68" s="918" t="e">
        <f>SQRT(SUM(#REF!)^2+SUM(#REF!)^2)</f>
        <v>#REF!</v>
      </c>
      <c r="O68" s="887" t="s">
        <v>140</v>
      </c>
      <c r="P68" s="923" t="e">
        <f>DEGREES(ATAN(SUM(#REF!)/SUM(#REF!)))</f>
        <v>#REF!</v>
      </c>
    </row>
    <row r="69" spans="1:16" ht="8.25" customHeight="1" thickBot="1" x14ac:dyDescent="0.3">
      <c r="A69" s="853"/>
      <c r="B69" s="869" t="str">
        <f>IF(KabelData!$R$3="","",KabelData!$R$3)</f>
        <v>-E5</v>
      </c>
      <c r="C69" s="810"/>
      <c r="D69" s="834"/>
      <c r="E69" s="832"/>
      <c r="F69" s="834"/>
      <c r="G69" s="844"/>
      <c r="H69" s="836"/>
      <c r="I69" s="838"/>
      <c r="J69" s="796"/>
      <c r="K69" s="857"/>
      <c r="L69" s="888"/>
      <c r="M69" s="859"/>
      <c r="N69" s="919"/>
      <c r="O69" s="888"/>
      <c r="P69" s="924"/>
    </row>
    <row r="70" spans="1:16" ht="3.75" customHeight="1" x14ac:dyDescent="0.25">
      <c r="A70" s="853"/>
      <c r="B70" s="869"/>
      <c r="C70" s="810"/>
      <c r="D70" s="848"/>
      <c r="E70" s="846">
        <f>IF(KabelData!$R$8="",1,KabelData!$R$8)</f>
        <v>1</v>
      </c>
      <c r="F70" s="848"/>
      <c r="G70" s="844"/>
      <c r="H70" s="840" t="str">
        <f>IF(H68="","",IF(H68&gt;0,1000))</f>
        <v/>
      </c>
      <c r="I70" s="838"/>
      <c r="J70" s="796"/>
      <c r="K70" s="857"/>
      <c r="L70" s="888"/>
      <c r="M70" s="859"/>
      <c r="N70" s="919"/>
      <c r="O70" s="888"/>
      <c r="P70" s="924"/>
    </row>
    <row r="71" spans="1:16" ht="9.75" customHeight="1" x14ac:dyDescent="0.25">
      <c r="A71" s="854"/>
      <c r="B71" s="870"/>
      <c r="C71" s="875"/>
      <c r="D71" s="849"/>
      <c r="E71" s="847"/>
      <c r="F71" s="849"/>
      <c r="G71" s="845"/>
      <c r="H71" s="841"/>
      <c r="I71" s="839"/>
      <c r="J71" s="851"/>
      <c r="K71" s="858"/>
      <c r="L71" s="889"/>
      <c r="M71" s="860"/>
      <c r="N71" s="920"/>
      <c r="O71" s="889"/>
      <c r="P71" s="925"/>
    </row>
    <row r="72" spans="1:16" ht="6" customHeight="1" x14ac:dyDescent="0.25">
      <c r="A72" s="852" t="s">
        <v>157</v>
      </c>
      <c r="B72" s="76"/>
      <c r="C72" s="874"/>
      <c r="D72" s="833" t="str">
        <f>KabelData!B29</f>
        <v/>
      </c>
      <c r="E72" s="831" t="s">
        <v>140</v>
      </c>
      <c r="F72" s="833" t="str">
        <f>KabelData!B30</f>
        <v/>
      </c>
      <c r="G72" s="843" t="s">
        <v>134</v>
      </c>
      <c r="H72" s="835" t="str">
        <f>H25</f>
        <v/>
      </c>
      <c r="I72" s="837"/>
      <c r="J72" s="850" t="s">
        <v>104</v>
      </c>
      <c r="K72" s="856" t="str">
        <f>IF(D72="","",(D72*10^-3*H72)/E74)</f>
        <v/>
      </c>
      <c r="L72" s="887" t="s">
        <v>140</v>
      </c>
      <c r="M72" s="859" t="str">
        <f t="shared" ref="M72" si="11">F72</f>
        <v/>
      </c>
      <c r="N72" s="918" t="e">
        <f>SQRT(SUM(#REF!)^2+SUM(#REF!)^2)</f>
        <v>#REF!</v>
      </c>
      <c r="O72" s="887" t="s">
        <v>140</v>
      </c>
      <c r="P72" s="923" t="e">
        <f>DEGREES(ATAN(SUM(#REF!)/SUM(#REF!)))</f>
        <v>#REF!</v>
      </c>
    </row>
    <row r="73" spans="1:16" s="45" customFormat="1" ht="8.25" customHeight="1" thickBot="1" x14ac:dyDescent="0.3">
      <c r="A73" s="853"/>
      <c r="B73" s="869" t="str">
        <f>IF(KabelData!$B$18="","",KabelData!$B$18)</f>
        <v/>
      </c>
      <c r="C73" s="810"/>
      <c r="D73" s="834"/>
      <c r="E73" s="832"/>
      <c r="F73" s="834"/>
      <c r="G73" s="844"/>
      <c r="H73" s="836"/>
      <c r="I73" s="838"/>
      <c r="J73" s="796"/>
      <c r="K73" s="857"/>
      <c r="L73" s="888"/>
      <c r="M73" s="859"/>
      <c r="N73" s="919"/>
      <c r="O73" s="888"/>
      <c r="P73" s="924"/>
    </row>
    <row r="74" spans="1:16" ht="3.75" customHeight="1" x14ac:dyDescent="0.25">
      <c r="A74" s="853"/>
      <c r="B74" s="869"/>
      <c r="C74" s="810"/>
      <c r="D74" s="848"/>
      <c r="E74" s="846">
        <f>IF(KabelData!$B$23="",1,KabelData!$B$23)</f>
        <v>1</v>
      </c>
      <c r="F74" s="848"/>
      <c r="G74" s="844"/>
      <c r="H74" s="840" t="str">
        <f>IF(H72="","",IF(H72&gt;0,1000))</f>
        <v/>
      </c>
      <c r="I74" s="838"/>
      <c r="J74" s="796"/>
      <c r="K74" s="857"/>
      <c r="L74" s="888"/>
      <c r="M74" s="859"/>
      <c r="N74" s="919"/>
      <c r="O74" s="888"/>
      <c r="P74" s="924"/>
    </row>
    <row r="75" spans="1:16" ht="9.75" customHeight="1" x14ac:dyDescent="0.25">
      <c r="A75" s="854"/>
      <c r="B75" s="870"/>
      <c r="C75" s="875"/>
      <c r="D75" s="849"/>
      <c r="E75" s="847"/>
      <c r="F75" s="849"/>
      <c r="G75" s="845"/>
      <c r="H75" s="841"/>
      <c r="I75" s="839"/>
      <c r="J75" s="851"/>
      <c r="K75" s="858"/>
      <c r="L75" s="889"/>
      <c r="M75" s="860"/>
      <c r="N75" s="920"/>
      <c r="O75" s="889"/>
      <c r="P75" s="925"/>
    </row>
    <row r="76" spans="1:16" ht="6" customHeight="1" x14ac:dyDescent="0.25">
      <c r="A76" s="852" t="s">
        <v>157</v>
      </c>
      <c r="B76" s="76"/>
      <c r="C76" s="874"/>
      <c r="D76" s="833" t="str">
        <f>KabelData!F29</f>
        <v/>
      </c>
      <c r="E76" s="831" t="s">
        <v>140</v>
      </c>
      <c r="F76" s="833" t="str">
        <f>KabelData!F30</f>
        <v/>
      </c>
      <c r="G76" s="34"/>
      <c r="H76" s="842" t="str">
        <f>H29</f>
        <v/>
      </c>
      <c r="I76" s="837"/>
      <c r="J76" s="850" t="s">
        <v>104</v>
      </c>
      <c r="K76" s="856" t="str">
        <f>IF(D76="","",(D76*10^-3*H76)/E78)</f>
        <v/>
      </c>
      <c r="L76" s="887" t="s">
        <v>140</v>
      </c>
      <c r="M76" s="859" t="str">
        <f t="shared" ref="M76" si="12">F76</f>
        <v/>
      </c>
      <c r="N76" s="918" t="e">
        <f>SQRT(SUM(#REF!)^2+SUM(#REF!)^2)</f>
        <v>#REF!</v>
      </c>
      <c r="O76" s="887" t="s">
        <v>140</v>
      </c>
      <c r="P76" s="923" t="e">
        <f>DEGREES(ATAN(SUM(#REF!)/SUM(#REF!)))</f>
        <v>#REF!</v>
      </c>
    </row>
    <row r="77" spans="1:16" ht="8.25" customHeight="1" thickBot="1" x14ac:dyDescent="0.3">
      <c r="A77" s="853"/>
      <c r="B77" s="869" t="str">
        <f>IF(KabelData!$F$18="","",KabelData!$F$18)</f>
        <v/>
      </c>
      <c r="C77" s="810"/>
      <c r="D77" s="834"/>
      <c r="E77" s="832"/>
      <c r="F77" s="834"/>
      <c r="G77" s="844" t="s">
        <v>134</v>
      </c>
      <c r="H77" s="836"/>
      <c r="I77" s="838"/>
      <c r="J77" s="796"/>
      <c r="K77" s="857"/>
      <c r="L77" s="888"/>
      <c r="M77" s="859"/>
      <c r="N77" s="919"/>
      <c r="O77" s="888"/>
      <c r="P77" s="924"/>
    </row>
    <row r="78" spans="1:16" ht="3.75" customHeight="1" x14ac:dyDescent="0.25">
      <c r="A78" s="853"/>
      <c r="B78" s="869"/>
      <c r="C78" s="810"/>
      <c r="D78" s="848"/>
      <c r="E78" s="846">
        <f>IF(KabelData!$F$23="",1,KabelData!$F$23)</f>
        <v>1</v>
      </c>
      <c r="F78" s="848"/>
      <c r="G78" s="844"/>
      <c r="H78" s="840" t="str">
        <f>IF(H76="","",IF(H76&gt;0,1000))</f>
        <v/>
      </c>
      <c r="I78" s="838"/>
      <c r="J78" s="796"/>
      <c r="K78" s="857"/>
      <c r="L78" s="888"/>
      <c r="M78" s="859"/>
      <c r="N78" s="919"/>
      <c r="O78" s="888"/>
      <c r="P78" s="924"/>
    </row>
    <row r="79" spans="1:16" ht="9.75" customHeight="1" x14ac:dyDescent="0.25">
      <c r="A79" s="854"/>
      <c r="B79" s="870"/>
      <c r="C79" s="875"/>
      <c r="D79" s="849"/>
      <c r="E79" s="847"/>
      <c r="F79" s="849"/>
      <c r="G79" s="33"/>
      <c r="H79" s="841"/>
      <c r="I79" s="839"/>
      <c r="J79" s="851"/>
      <c r="K79" s="858"/>
      <c r="L79" s="889"/>
      <c r="M79" s="860"/>
      <c r="N79" s="920"/>
      <c r="O79" s="889"/>
      <c r="P79" s="925"/>
    </row>
    <row r="80" spans="1:16" ht="6" customHeight="1" x14ac:dyDescent="0.25">
      <c r="A80" s="852" t="s">
        <v>157</v>
      </c>
      <c r="B80" s="76"/>
      <c r="C80" s="874"/>
      <c r="D80" s="833" t="str">
        <f>KabelData!J29</f>
        <v/>
      </c>
      <c r="E80" s="831" t="s">
        <v>140</v>
      </c>
      <c r="F80" s="833" t="str">
        <f>KabelData!J30</f>
        <v/>
      </c>
      <c r="G80" s="34"/>
      <c r="H80" s="835" t="str">
        <f>H33</f>
        <v/>
      </c>
      <c r="I80" s="837"/>
      <c r="J80" s="850" t="s">
        <v>104</v>
      </c>
      <c r="K80" s="856" t="str">
        <f>IF(D80="","",(D80*10^-3*H80)/E82)</f>
        <v/>
      </c>
      <c r="L80" s="887" t="s">
        <v>140</v>
      </c>
      <c r="M80" s="859" t="str">
        <f t="shared" ref="M80" si="13">F80</f>
        <v/>
      </c>
      <c r="N80" s="918" t="e">
        <f>SQRT(SUM(#REF!)^2+SUM(#REF!)^2)</f>
        <v>#REF!</v>
      </c>
      <c r="O80" s="887" t="s">
        <v>140</v>
      </c>
      <c r="P80" s="923" t="e">
        <f>DEGREES(ATAN(SUM(#REF!)/SUM(#REF!)))</f>
        <v>#REF!</v>
      </c>
    </row>
    <row r="81" spans="1:24" ht="8.25" customHeight="1" thickBot="1" x14ac:dyDescent="0.3">
      <c r="A81" s="853"/>
      <c r="B81" s="869" t="str">
        <f>IF(KabelData!$J$18="","",KabelData!$J$18)</f>
        <v/>
      </c>
      <c r="C81" s="810"/>
      <c r="D81" s="834"/>
      <c r="E81" s="832"/>
      <c r="F81" s="834"/>
      <c r="G81" s="844" t="s">
        <v>134</v>
      </c>
      <c r="H81" s="836"/>
      <c r="I81" s="838"/>
      <c r="J81" s="796"/>
      <c r="K81" s="857"/>
      <c r="L81" s="888"/>
      <c r="M81" s="859"/>
      <c r="N81" s="919"/>
      <c r="O81" s="888"/>
      <c r="P81" s="924"/>
    </row>
    <row r="82" spans="1:24" ht="3.75" customHeight="1" x14ac:dyDescent="0.25">
      <c r="A82" s="853"/>
      <c r="B82" s="869"/>
      <c r="C82" s="810"/>
      <c r="D82" s="848"/>
      <c r="E82" s="846">
        <f>IF(KabelData!$J$23="",1,KabelData!$J$23)</f>
        <v>1</v>
      </c>
      <c r="F82" s="848"/>
      <c r="G82" s="844"/>
      <c r="H82" s="840" t="str">
        <f>IF(H80="","",IF(H80&gt;0,1000))</f>
        <v/>
      </c>
      <c r="I82" s="838"/>
      <c r="J82" s="796"/>
      <c r="K82" s="857"/>
      <c r="L82" s="888"/>
      <c r="M82" s="859"/>
      <c r="N82" s="919"/>
      <c r="O82" s="888"/>
      <c r="P82" s="924"/>
    </row>
    <row r="83" spans="1:24" ht="9" customHeight="1" thickBot="1" x14ac:dyDescent="0.3">
      <c r="A83" s="853"/>
      <c r="B83" s="869"/>
      <c r="C83" s="810"/>
      <c r="D83" s="885"/>
      <c r="E83" s="893"/>
      <c r="F83" s="885"/>
      <c r="G83" s="65"/>
      <c r="H83" s="842"/>
      <c r="I83" s="838"/>
      <c r="J83" s="796"/>
      <c r="K83" s="857"/>
      <c r="L83" s="888"/>
      <c r="M83" s="859"/>
      <c r="N83" s="920"/>
      <c r="O83" s="889"/>
      <c r="P83" s="925"/>
    </row>
    <row r="84" spans="1:24" s="45" customFormat="1" ht="12" customHeight="1" thickBot="1" x14ac:dyDescent="0.3">
      <c r="A84" s="877" t="s">
        <v>334</v>
      </c>
      <c r="B84" s="794"/>
      <c r="C84" s="794"/>
      <c r="D84" s="794"/>
      <c r="E84" s="900" t="s">
        <v>333</v>
      </c>
      <c r="F84" s="900"/>
      <c r="G84" s="846" t="s">
        <v>134</v>
      </c>
      <c r="H84" s="312" t="s">
        <v>224</v>
      </c>
      <c r="I84" s="313"/>
      <c r="J84" s="300"/>
      <c r="K84" s="910"/>
      <c r="L84" s="911"/>
      <c r="M84" s="912"/>
      <c r="N84" s="298"/>
      <c r="O84" s="304"/>
      <c r="P84" s="305"/>
    </row>
    <row r="85" spans="1:24" s="45" customFormat="1" ht="12" customHeight="1" thickBot="1" x14ac:dyDescent="0.3">
      <c r="A85" s="878"/>
      <c r="B85" s="879"/>
      <c r="C85" s="879"/>
      <c r="D85" s="879"/>
      <c r="E85" s="893" t="s">
        <v>74</v>
      </c>
      <c r="F85" s="893"/>
      <c r="G85" s="893"/>
      <c r="H85" s="302">
        <v>1000</v>
      </c>
      <c r="I85" s="303"/>
      <c r="J85" s="301"/>
      <c r="K85" s="913"/>
      <c r="L85" s="914"/>
      <c r="M85" s="915"/>
      <c r="N85" s="298"/>
      <c r="O85" s="304"/>
      <c r="P85" s="305"/>
    </row>
    <row r="86" spans="1:24" ht="6" customHeight="1" x14ac:dyDescent="0.25">
      <c r="A86" s="867" t="s">
        <v>157</v>
      </c>
      <c r="B86" s="316"/>
      <c r="C86" s="880"/>
      <c r="D86" s="881" t="str">
        <f>IF(U39=0,"",U39)</f>
        <v/>
      </c>
      <c r="E86" s="916" t="s">
        <v>185</v>
      </c>
      <c r="F86" s="894" t="str">
        <f>IF(V86=0,"",V86)</f>
        <v/>
      </c>
      <c r="G86" s="315"/>
      <c r="H86" s="840" t="str">
        <f>H39</f>
        <v/>
      </c>
      <c r="I86" s="896"/>
      <c r="J86" s="795" t="s">
        <v>104</v>
      </c>
      <c r="K86" s="902" t="str">
        <f>IF(W86="","",(W86*10^-3*H86)/E88)</f>
        <v/>
      </c>
      <c r="L86" s="903" t="s">
        <v>140</v>
      </c>
      <c r="M86" s="909" t="str">
        <f>X86</f>
        <v/>
      </c>
      <c r="N86" s="926" t="e">
        <f>SQRT(SUM(#REF!)^2+SUM(#REF!)^2)</f>
        <v>#REF!</v>
      </c>
      <c r="O86" s="887" t="s">
        <v>140</v>
      </c>
      <c r="P86" s="923" t="e">
        <f>DEGREES(ATAN(SUM(#REF!)/SUM(#REF!)))</f>
        <v>#REF!</v>
      </c>
      <c r="U86" s="855">
        <f>U39*1.5</f>
        <v>0</v>
      </c>
      <c r="V86" s="855">
        <f>V39</f>
        <v>0</v>
      </c>
      <c r="W86" s="855" t="str">
        <f>KabelData!N29</f>
        <v/>
      </c>
      <c r="X86" s="855" t="str">
        <f>KabelData!N30</f>
        <v/>
      </c>
    </row>
    <row r="87" spans="1:24" ht="8.25" customHeight="1" thickBot="1" x14ac:dyDescent="0.3">
      <c r="A87" s="853"/>
      <c r="B87" s="869" t="str">
        <f>IF(KabelData!$N$18="","",KabelData!$N$18)</f>
        <v/>
      </c>
      <c r="C87" s="810"/>
      <c r="D87" s="882"/>
      <c r="E87" s="832"/>
      <c r="F87" s="895"/>
      <c r="G87" s="844" t="s">
        <v>134</v>
      </c>
      <c r="H87" s="836"/>
      <c r="I87" s="838"/>
      <c r="J87" s="796"/>
      <c r="K87" s="857"/>
      <c r="L87" s="888"/>
      <c r="M87" s="859"/>
      <c r="N87" s="761"/>
      <c r="O87" s="888"/>
      <c r="P87" s="924"/>
      <c r="U87" s="855"/>
      <c r="V87" s="855"/>
      <c r="W87" s="855"/>
      <c r="X87" s="855"/>
    </row>
    <row r="88" spans="1:24" ht="3.75" customHeight="1" x14ac:dyDescent="0.25">
      <c r="A88" s="853"/>
      <c r="B88" s="869"/>
      <c r="C88" s="810"/>
      <c r="D88" s="848"/>
      <c r="E88" s="846">
        <f>IF(KabelData!$N$23="",1,KabelData!$N$23)</f>
        <v>1</v>
      </c>
      <c r="F88" s="848"/>
      <c r="G88" s="844"/>
      <c r="H88" s="840" t="str">
        <f>IF(H86="","",IF(H86&gt;0,1000))</f>
        <v/>
      </c>
      <c r="I88" s="838"/>
      <c r="J88" s="796"/>
      <c r="K88" s="857"/>
      <c r="L88" s="888"/>
      <c r="M88" s="859"/>
      <c r="N88" s="761"/>
      <c r="O88" s="888"/>
      <c r="P88" s="924"/>
    </row>
    <row r="89" spans="1:24" ht="9.75" customHeight="1" x14ac:dyDescent="0.25">
      <c r="A89" s="854"/>
      <c r="B89" s="870"/>
      <c r="C89" s="875"/>
      <c r="D89" s="849"/>
      <c r="E89" s="847"/>
      <c r="F89" s="849"/>
      <c r="G89" s="33"/>
      <c r="H89" s="841"/>
      <c r="I89" s="839"/>
      <c r="J89" s="851"/>
      <c r="K89" s="858"/>
      <c r="L89" s="889"/>
      <c r="M89" s="860"/>
      <c r="N89" s="927"/>
      <c r="O89" s="889"/>
      <c r="P89" s="925"/>
    </row>
    <row r="90" spans="1:24" ht="6" customHeight="1" x14ac:dyDescent="0.25">
      <c r="A90" s="852" t="s">
        <v>157</v>
      </c>
      <c r="B90" s="219"/>
      <c r="C90" s="874"/>
      <c r="D90" s="884" t="str">
        <f>IF(U43=0,"",U43)</f>
        <v/>
      </c>
      <c r="E90" s="831" t="s">
        <v>185</v>
      </c>
      <c r="F90" s="917" t="str">
        <f>IF(V90=0,"",V90)</f>
        <v/>
      </c>
      <c r="G90" s="34"/>
      <c r="H90" s="835" t="str">
        <f>H43</f>
        <v/>
      </c>
      <c r="I90" s="837"/>
      <c r="J90" s="850" t="s">
        <v>104</v>
      </c>
      <c r="K90" s="856" t="str">
        <f>IF(W90="","",(W90*10^-3*H90)/E92)</f>
        <v/>
      </c>
      <c r="L90" s="887" t="s">
        <v>140</v>
      </c>
      <c r="M90" s="859" t="str">
        <f>X90</f>
        <v/>
      </c>
      <c r="N90" s="926" t="e">
        <f>SQRT(SUM(#REF!)^2+SUM(#REF!)^2)</f>
        <v>#REF!</v>
      </c>
      <c r="O90" s="887" t="s">
        <v>140</v>
      </c>
      <c r="P90" s="923" t="e">
        <f>DEGREES(ATAN(SUM(#REF!)/SUM(#REF!)))</f>
        <v>#REF!</v>
      </c>
      <c r="U90" s="855">
        <f>U43*1.5</f>
        <v>0</v>
      </c>
      <c r="V90" s="855">
        <f>V43</f>
        <v>0</v>
      </c>
      <c r="W90" s="855" t="str">
        <f>KabelData!R29</f>
        <v/>
      </c>
      <c r="X90" s="855" t="str">
        <f>KabelData!R30</f>
        <v/>
      </c>
    </row>
    <row r="91" spans="1:24" ht="8.25" customHeight="1" thickBot="1" x14ac:dyDescent="0.3">
      <c r="A91" s="853"/>
      <c r="B91" s="869" t="str">
        <f>IF(KabelData!$R$18="","",KabelData!$R$18)</f>
        <v>-W10</v>
      </c>
      <c r="C91" s="810"/>
      <c r="D91" s="882"/>
      <c r="E91" s="832"/>
      <c r="F91" s="895"/>
      <c r="G91" s="844" t="s">
        <v>134</v>
      </c>
      <c r="H91" s="836"/>
      <c r="I91" s="838"/>
      <c r="J91" s="796"/>
      <c r="K91" s="857"/>
      <c r="L91" s="888"/>
      <c r="M91" s="859"/>
      <c r="N91" s="761"/>
      <c r="O91" s="888"/>
      <c r="P91" s="924"/>
      <c r="U91" s="855"/>
      <c r="V91" s="855"/>
      <c r="W91" s="855"/>
      <c r="X91" s="855"/>
    </row>
    <row r="92" spans="1:24" ht="3.75" customHeight="1" x14ac:dyDescent="0.25">
      <c r="A92" s="853"/>
      <c r="B92" s="869"/>
      <c r="C92" s="810"/>
      <c r="D92" s="848"/>
      <c r="E92" s="846">
        <f>IF(KabelData!$R$23="",1,KabelData!$R$23)</f>
        <v>1</v>
      </c>
      <c r="F92" s="848"/>
      <c r="G92" s="844"/>
      <c r="H92" s="840" t="str">
        <f>IF(H90="","",IF(H90&gt;0,1000))</f>
        <v/>
      </c>
      <c r="I92" s="838"/>
      <c r="J92" s="796"/>
      <c r="K92" s="857"/>
      <c r="L92" s="888"/>
      <c r="M92" s="859"/>
      <c r="N92" s="761"/>
      <c r="O92" s="888"/>
      <c r="P92" s="924"/>
    </row>
    <row r="93" spans="1:24" ht="9.75" customHeight="1" thickBot="1" x14ac:dyDescent="0.3">
      <c r="A93" s="868"/>
      <c r="B93" s="876"/>
      <c r="C93" s="883"/>
      <c r="D93" s="834"/>
      <c r="E93" s="901"/>
      <c r="F93" s="834"/>
      <c r="G93" s="42"/>
      <c r="H93" s="836"/>
      <c r="I93" s="899"/>
      <c r="J93" s="864"/>
      <c r="K93" s="897"/>
      <c r="L93" s="898"/>
      <c r="M93" s="922"/>
      <c r="N93" s="928"/>
      <c r="O93" s="898"/>
      <c r="P93" s="632"/>
    </row>
    <row r="94" spans="1:24" x14ac:dyDescent="0.25">
      <c r="A94" s="45"/>
      <c r="N94"/>
      <c r="O94"/>
      <c r="Q94"/>
    </row>
    <row r="95" spans="1:24" x14ac:dyDescent="0.25">
      <c r="A95" s="45"/>
      <c r="N95"/>
      <c r="O95"/>
      <c r="Q95"/>
    </row>
    <row r="96" spans="1:24" x14ac:dyDescent="0.25">
      <c r="A96" s="45"/>
      <c r="N96"/>
      <c r="O96"/>
      <c r="Q96"/>
    </row>
    <row r="97" spans="1:17" x14ac:dyDescent="0.25">
      <c r="A97" s="45"/>
      <c r="N97"/>
      <c r="O97"/>
      <c r="Q97"/>
    </row>
    <row r="98" spans="1:17" ht="15" hidden="1" customHeight="1" x14ac:dyDescent="0.25">
      <c r="A98" s="45"/>
      <c r="N98"/>
      <c r="O98"/>
      <c r="Q98"/>
    </row>
    <row r="99" spans="1:17" ht="15" hidden="1" customHeight="1" x14ac:dyDescent="0.25">
      <c r="A99" s="45"/>
      <c r="N99"/>
      <c r="O99"/>
      <c r="Q99"/>
    </row>
    <row r="100" spans="1:17" ht="15" hidden="1" customHeight="1" x14ac:dyDescent="0.25">
      <c r="A100" s="45"/>
      <c r="N100"/>
      <c r="O100"/>
      <c r="Q100"/>
    </row>
    <row r="101" spans="1:17" ht="15" hidden="1" customHeight="1" x14ac:dyDescent="0.25">
      <c r="A101" s="45"/>
      <c r="N101"/>
      <c r="O101"/>
      <c r="Q101"/>
    </row>
    <row r="102" spans="1:17" ht="15" hidden="1" customHeight="1" x14ac:dyDescent="0.25">
      <c r="A102" s="45"/>
      <c r="N102"/>
      <c r="O102"/>
      <c r="Q102"/>
    </row>
    <row r="103" spans="1:17" ht="15" hidden="1" customHeight="1" x14ac:dyDescent="0.25">
      <c r="A103" s="45"/>
      <c r="N103"/>
      <c r="O103"/>
      <c r="Q103"/>
    </row>
    <row r="104" spans="1:17" ht="15" hidden="1" customHeight="1" x14ac:dyDescent="0.25">
      <c r="A104" s="45"/>
      <c r="N104"/>
      <c r="O104"/>
      <c r="Q104"/>
    </row>
    <row r="105" spans="1:17" ht="15" hidden="1" customHeight="1" x14ac:dyDescent="0.25">
      <c r="A105" s="45"/>
      <c r="N105"/>
      <c r="O105"/>
      <c r="Q105"/>
    </row>
    <row r="106" spans="1:17" ht="15" hidden="1" customHeight="1" x14ac:dyDescent="0.25">
      <c r="A106" s="45"/>
      <c r="N106"/>
      <c r="O106"/>
      <c r="Q106"/>
    </row>
    <row r="107" spans="1:17" s="45" customFormat="1" ht="15" hidden="1" customHeight="1" x14ac:dyDescent="0.25"/>
    <row r="108" spans="1:17" s="45" customFormat="1" ht="15" hidden="1" customHeight="1" x14ac:dyDescent="0.25"/>
    <row r="109" spans="1:17" s="45" customFormat="1" ht="15.75" hidden="1" customHeight="1" thickBot="1" x14ac:dyDescent="0.3"/>
    <row r="110" spans="1:17" s="45" customFormat="1" hidden="1" x14ac:dyDescent="0.25"/>
    <row r="111" spans="1:17" ht="15" hidden="1" customHeight="1" x14ac:dyDescent="0.25">
      <c r="A111" s="45"/>
      <c r="N111"/>
      <c r="O111"/>
      <c r="Q111"/>
    </row>
    <row r="112" spans="1:17" hidden="1" x14ac:dyDescent="0.25">
      <c r="A112" s="45"/>
      <c r="N112"/>
      <c r="O112"/>
      <c r="Q112"/>
    </row>
    <row r="113" spans="1:17" ht="15" hidden="1" customHeight="1" x14ac:dyDescent="0.25">
      <c r="A113" s="45"/>
      <c r="N113"/>
      <c r="O113"/>
      <c r="Q113"/>
    </row>
    <row r="114" spans="1:17" ht="15" hidden="1" customHeight="1" x14ac:dyDescent="0.25">
      <c r="A114" s="45"/>
      <c r="N114"/>
      <c r="O114"/>
      <c r="Q114"/>
    </row>
    <row r="115" spans="1:17" ht="15" hidden="1" customHeight="1" x14ac:dyDescent="0.25">
      <c r="A115" s="45"/>
      <c r="N115"/>
      <c r="O115"/>
      <c r="Q115"/>
    </row>
    <row r="116" spans="1:17" ht="15" hidden="1" customHeight="1" x14ac:dyDescent="0.25">
      <c r="A116" s="45"/>
      <c r="N116"/>
      <c r="O116"/>
      <c r="Q116"/>
    </row>
    <row r="117" spans="1:17" ht="15" hidden="1" customHeight="1" x14ac:dyDescent="0.25">
      <c r="A117" s="45"/>
      <c r="N117"/>
      <c r="O117"/>
      <c r="Q117"/>
    </row>
    <row r="118" spans="1:17" ht="15" hidden="1" customHeight="1" x14ac:dyDescent="0.25">
      <c r="A118" s="45"/>
      <c r="N118"/>
      <c r="O118"/>
      <c r="Q118"/>
    </row>
    <row r="119" spans="1:17" ht="15" hidden="1" customHeight="1" x14ac:dyDescent="0.25">
      <c r="A119" s="45"/>
      <c r="N119"/>
      <c r="O119"/>
      <c r="Q119"/>
    </row>
    <row r="120" spans="1:17" ht="15" hidden="1" customHeight="1" x14ac:dyDescent="0.25">
      <c r="A120" s="45"/>
      <c r="N120"/>
      <c r="O120"/>
      <c r="Q120"/>
    </row>
    <row r="121" spans="1:17" ht="15" hidden="1" customHeight="1" x14ac:dyDescent="0.25">
      <c r="A121" s="45"/>
      <c r="N121"/>
      <c r="O121"/>
      <c r="Q121"/>
    </row>
    <row r="122" spans="1:17" ht="15" hidden="1" customHeight="1" x14ac:dyDescent="0.25">
      <c r="A122" s="45"/>
      <c r="N122"/>
      <c r="O122"/>
      <c r="Q122"/>
    </row>
    <row r="123" spans="1:17" ht="15" hidden="1" customHeight="1" x14ac:dyDescent="0.25">
      <c r="A123" s="45"/>
      <c r="N123"/>
      <c r="O123"/>
      <c r="Q123"/>
    </row>
    <row r="124" spans="1:17" ht="15.75" hidden="1" customHeight="1" thickBot="1" x14ac:dyDescent="0.3">
      <c r="A124" s="45"/>
      <c r="N124"/>
      <c r="O124"/>
      <c r="Q124"/>
    </row>
    <row r="125" spans="1:17" hidden="1" x14ac:dyDescent="0.25">
      <c r="A125" s="45"/>
      <c r="N125"/>
      <c r="O125"/>
      <c r="Q125"/>
    </row>
    <row r="126" spans="1:17" ht="15" hidden="1" customHeight="1" x14ac:dyDescent="0.25">
      <c r="A126" s="45"/>
      <c r="N126"/>
      <c r="O126"/>
      <c r="Q126"/>
    </row>
    <row r="127" spans="1:17" x14ac:dyDescent="0.25">
      <c r="A127" s="45"/>
      <c r="N127"/>
      <c r="O127"/>
      <c r="Q127"/>
    </row>
    <row r="128" spans="1:17" x14ac:dyDescent="0.25">
      <c r="A128" s="45"/>
      <c r="N128"/>
      <c r="O128"/>
      <c r="Q128"/>
    </row>
    <row r="129" spans="1:17" x14ac:dyDescent="0.25">
      <c r="A129" s="45"/>
      <c r="N129"/>
      <c r="O129"/>
      <c r="Q129"/>
    </row>
    <row r="130" spans="1:17" x14ac:dyDescent="0.25">
      <c r="A130" s="45"/>
      <c r="N130"/>
      <c r="O130"/>
      <c r="Q130"/>
    </row>
    <row r="131" spans="1:17" x14ac:dyDescent="0.25">
      <c r="A131" s="45"/>
      <c r="N131"/>
      <c r="O131"/>
      <c r="Q131"/>
    </row>
    <row r="132" spans="1:17" x14ac:dyDescent="0.25">
      <c r="A132" s="45"/>
      <c r="N132"/>
      <c r="O132"/>
      <c r="Q132"/>
    </row>
    <row r="133" spans="1:17" x14ac:dyDescent="0.25">
      <c r="A133" s="45"/>
      <c r="N133"/>
      <c r="O133"/>
      <c r="Q133"/>
    </row>
    <row r="134" spans="1:17" x14ac:dyDescent="0.25">
      <c r="A134" s="45"/>
      <c r="N134"/>
      <c r="O134"/>
      <c r="Q134"/>
    </row>
    <row r="135" spans="1:17" x14ac:dyDescent="0.25">
      <c r="A135" s="45"/>
      <c r="N135"/>
      <c r="O135"/>
      <c r="Q135"/>
    </row>
    <row r="136" spans="1:17" x14ac:dyDescent="0.25">
      <c r="A136" s="45"/>
      <c r="N136"/>
      <c r="O136"/>
      <c r="Q136"/>
    </row>
    <row r="137" spans="1:17" x14ac:dyDescent="0.25">
      <c r="A137" s="45"/>
      <c r="N137"/>
      <c r="O137"/>
      <c r="Q137"/>
    </row>
    <row r="138" spans="1:17" x14ac:dyDescent="0.25">
      <c r="A138" s="45"/>
      <c r="N138"/>
      <c r="O138"/>
      <c r="Q138"/>
    </row>
    <row r="139" spans="1:17" x14ac:dyDescent="0.25">
      <c r="A139" s="45"/>
      <c r="N139"/>
      <c r="O139"/>
      <c r="Q139"/>
    </row>
    <row r="140" spans="1:17" x14ac:dyDescent="0.25">
      <c r="A140" s="45"/>
      <c r="N140"/>
      <c r="O140"/>
      <c r="Q140"/>
    </row>
    <row r="141" spans="1:17" x14ac:dyDescent="0.25">
      <c r="A141" s="45"/>
      <c r="N141"/>
      <c r="O141"/>
      <c r="Q141"/>
    </row>
    <row r="142" spans="1:17" x14ac:dyDescent="0.25">
      <c r="A142" s="45"/>
      <c r="N142"/>
      <c r="O142"/>
      <c r="Q142"/>
    </row>
    <row r="143" spans="1:17" x14ac:dyDescent="0.25">
      <c r="A143" s="45"/>
      <c r="N143"/>
      <c r="O143"/>
      <c r="Q143"/>
    </row>
    <row r="144" spans="1:17" x14ac:dyDescent="0.25">
      <c r="A144" s="45"/>
      <c r="N144"/>
      <c r="O144"/>
      <c r="Q144"/>
    </row>
    <row r="145" spans="1:17" x14ac:dyDescent="0.25">
      <c r="A145" s="45"/>
      <c r="N145"/>
      <c r="O145"/>
      <c r="Q145"/>
    </row>
    <row r="146" spans="1:17" x14ac:dyDescent="0.25">
      <c r="A146" s="45"/>
      <c r="N146"/>
      <c r="O146"/>
      <c r="Q146"/>
    </row>
    <row r="147" spans="1:17" x14ac:dyDescent="0.25">
      <c r="A147" s="45"/>
      <c r="N147"/>
      <c r="O147"/>
      <c r="Q147"/>
    </row>
    <row r="148" spans="1:17" x14ac:dyDescent="0.25">
      <c r="A148" s="45"/>
      <c r="N148"/>
      <c r="O148"/>
      <c r="Q148"/>
    </row>
    <row r="149" spans="1:17" x14ac:dyDescent="0.25">
      <c r="A149" s="45"/>
      <c r="N149"/>
      <c r="O149"/>
      <c r="Q149"/>
    </row>
    <row r="150" spans="1:17" x14ac:dyDescent="0.25">
      <c r="A150" s="45"/>
      <c r="N150"/>
      <c r="O150"/>
      <c r="Q150"/>
    </row>
    <row r="151" spans="1:17" x14ac:dyDescent="0.25">
      <c r="A151" s="45"/>
      <c r="N151"/>
      <c r="O151"/>
      <c r="Q151"/>
    </row>
  </sheetData>
  <mergeCells count="434">
    <mergeCell ref="K2:M3"/>
    <mergeCell ref="N2:P3"/>
    <mergeCell ref="A49:B50"/>
    <mergeCell ref="C49:E50"/>
    <mergeCell ref="K49:M50"/>
    <mergeCell ref="N49:P50"/>
    <mergeCell ref="O29:O32"/>
    <mergeCell ref="P29:P32"/>
    <mergeCell ref="O25:O28"/>
    <mergeCell ref="P25:P28"/>
    <mergeCell ref="O21:O24"/>
    <mergeCell ref="P21:P24"/>
    <mergeCell ref="O5:O8"/>
    <mergeCell ref="P5:P8"/>
    <mergeCell ref="G40:G41"/>
    <mergeCell ref="D41:D42"/>
    <mergeCell ref="E41:E42"/>
    <mergeCell ref="F41:F42"/>
    <mergeCell ref="H41:H42"/>
    <mergeCell ref="E39:E40"/>
    <mergeCell ref="N5:N8"/>
    <mergeCell ref="L29:L32"/>
    <mergeCell ref="M29:M32"/>
    <mergeCell ref="G30:G31"/>
    <mergeCell ref="A2:B3"/>
    <mergeCell ref="C2:E3"/>
    <mergeCell ref="F64:F65"/>
    <mergeCell ref="E64:E65"/>
    <mergeCell ref="D64:D65"/>
    <mergeCell ref="E68:E69"/>
    <mergeCell ref="F68:F69"/>
    <mergeCell ref="C68:C71"/>
    <mergeCell ref="D68:D69"/>
    <mergeCell ref="D31:D32"/>
    <mergeCell ref="E31:E32"/>
    <mergeCell ref="F31:F32"/>
    <mergeCell ref="E38:F38"/>
    <mergeCell ref="C29:C32"/>
    <mergeCell ref="F19:F20"/>
    <mergeCell ref="C4:D4"/>
    <mergeCell ref="D62:D63"/>
    <mergeCell ref="E60:E61"/>
    <mergeCell ref="E58:E59"/>
    <mergeCell ref="E43:E44"/>
    <mergeCell ref="F43:F44"/>
    <mergeCell ref="A52:A55"/>
    <mergeCell ref="A56:A59"/>
    <mergeCell ref="C51:D51"/>
    <mergeCell ref="P90:P93"/>
    <mergeCell ref="N39:N42"/>
    <mergeCell ref="N43:N46"/>
    <mergeCell ref="N80:N83"/>
    <mergeCell ref="P52:P55"/>
    <mergeCell ref="P56:P59"/>
    <mergeCell ref="P60:P63"/>
    <mergeCell ref="P39:P42"/>
    <mergeCell ref="H82:H83"/>
    <mergeCell ref="H80:H81"/>
    <mergeCell ref="I80:I83"/>
    <mergeCell ref="H88:H89"/>
    <mergeCell ref="K68:K71"/>
    <mergeCell ref="K72:K75"/>
    <mergeCell ref="L72:L75"/>
    <mergeCell ref="J72:J75"/>
    <mergeCell ref="O43:O46"/>
    <mergeCell ref="K90:K93"/>
    <mergeCell ref="L90:L93"/>
    <mergeCell ref="N52:N55"/>
    <mergeCell ref="O52:O55"/>
    <mergeCell ref="J52:J55"/>
    <mergeCell ref="J56:J59"/>
    <mergeCell ref="N56:N59"/>
    <mergeCell ref="O56:O59"/>
    <mergeCell ref="M52:M55"/>
    <mergeCell ref="E52:E53"/>
    <mergeCell ref="H52:H53"/>
    <mergeCell ref="D54:D55"/>
    <mergeCell ref="E54:E55"/>
    <mergeCell ref="F54:F55"/>
    <mergeCell ref="H54:H55"/>
    <mergeCell ref="G52:G55"/>
    <mergeCell ref="F52:F53"/>
    <mergeCell ref="D52:D53"/>
    <mergeCell ref="F56:F57"/>
    <mergeCell ref="H56:H57"/>
    <mergeCell ref="L21:L24"/>
    <mergeCell ref="M21:M24"/>
    <mergeCell ref="G60:G63"/>
    <mergeCell ref="H58:H59"/>
    <mergeCell ref="H60:H61"/>
    <mergeCell ref="H62:H63"/>
    <mergeCell ref="F62:F63"/>
    <mergeCell ref="E62:E63"/>
    <mergeCell ref="F58:F59"/>
    <mergeCell ref="F60:F61"/>
    <mergeCell ref="G56:G59"/>
    <mergeCell ref="E56:E57"/>
    <mergeCell ref="K56:K59"/>
    <mergeCell ref="L56:L59"/>
    <mergeCell ref="M56:M59"/>
    <mergeCell ref="H43:H44"/>
    <mergeCell ref="M43:M46"/>
    <mergeCell ref="G44:G45"/>
    <mergeCell ref="M39:M42"/>
    <mergeCell ref="I21:I24"/>
    <mergeCell ref="J21:J24"/>
    <mergeCell ref="J60:J63"/>
    <mergeCell ref="L52:L55"/>
    <mergeCell ref="K52:K55"/>
    <mergeCell ref="L76:L79"/>
    <mergeCell ref="O80:O83"/>
    <mergeCell ref="N90:N93"/>
    <mergeCell ref="O13:O16"/>
    <mergeCell ref="P13:P16"/>
    <mergeCell ref="O9:O12"/>
    <mergeCell ref="P9:P12"/>
    <mergeCell ref="N9:N12"/>
    <mergeCell ref="N13:N16"/>
    <mergeCell ref="N17:N20"/>
    <mergeCell ref="N21:N24"/>
    <mergeCell ref="N25:N28"/>
    <mergeCell ref="N29:N32"/>
    <mergeCell ref="N33:N36"/>
    <mergeCell ref="P43:P46"/>
    <mergeCell ref="O39:O42"/>
    <mergeCell ref="O33:O36"/>
    <mergeCell ref="P33:P36"/>
    <mergeCell ref="O17:O20"/>
    <mergeCell ref="P17:P20"/>
    <mergeCell ref="L33:L36"/>
    <mergeCell ref="M33:M36"/>
    <mergeCell ref="K37:M38"/>
    <mergeCell ref="K29:K32"/>
    <mergeCell ref="P80:P83"/>
    <mergeCell ref="N86:N89"/>
    <mergeCell ref="O86:O89"/>
    <mergeCell ref="P86:P89"/>
    <mergeCell ref="N64:N67"/>
    <mergeCell ref="O64:O67"/>
    <mergeCell ref="P64:P67"/>
    <mergeCell ref="P68:P71"/>
    <mergeCell ref="N72:N75"/>
    <mergeCell ref="O72:O75"/>
    <mergeCell ref="P72:P75"/>
    <mergeCell ref="P76:P79"/>
    <mergeCell ref="N68:N71"/>
    <mergeCell ref="O68:O71"/>
    <mergeCell ref="H90:H91"/>
    <mergeCell ref="I90:I93"/>
    <mergeCell ref="E80:E81"/>
    <mergeCell ref="F80:F81"/>
    <mergeCell ref="G91:G92"/>
    <mergeCell ref="E92:E93"/>
    <mergeCell ref="F92:F93"/>
    <mergeCell ref="O90:O93"/>
    <mergeCell ref="M60:M63"/>
    <mergeCell ref="N76:N79"/>
    <mergeCell ref="O76:O79"/>
    <mergeCell ref="N60:N63"/>
    <mergeCell ref="O60:O63"/>
    <mergeCell ref="L68:L71"/>
    <mergeCell ref="M68:M71"/>
    <mergeCell ref="M72:M75"/>
    <mergeCell ref="L80:L83"/>
    <mergeCell ref="M80:M83"/>
    <mergeCell ref="K64:K67"/>
    <mergeCell ref="L64:L67"/>
    <mergeCell ref="M64:M67"/>
    <mergeCell ref="M90:M93"/>
    <mergeCell ref="K60:K63"/>
    <mergeCell ref="L60:L63"/>
    <mergeCell ref="K86:K89"/>
    <mergeCell ref="L86:L89"/>
    <mergeCell ref="M86:M89"/>
    <mergeCell ref="G87:G88"/>
    <mergeCell ref="E88:E89"/>
    <mergeCell ref="F88:F89"/>
    <mergeCell ref="K84:M85"/>
    <mergeCell ref="J90:J93"/>
    <mergeCell ref="J80:J83"/>
    <mergeCell ref="K80:K83"/>
    <mergeCell ref="E86:E87"/>
    <mergeCell ref="F86:F87"/>
    <mergeCell ref="H86:H87"/>
    <mergeCell ref="I86:I89"/>
    <mergeCell ref="J86:J89"/>
    <mergeCell ref="G81:G82"/>
    <mergeCell ref="E84:F84"/>
    <mergeCell ref="E85:F85"/>
    <mergeCell ref="G84:G85"/>
    <mergeCell ref="E82:E83"/>
    <mergeCell ref="F82:F83"/>
    <mergeCell ref="H92:H93"/>
    <mergeCell ref="E90:E91"/>
    <mergeCell ref="F90:F91"/>
    <mergeCell ref="E66:E67"/>
    <mergeCell ref="E70:E71"/>
    <mergeCell ref="F70:F71"/>
    <mergeCell ref="G64:G67"/>
    <mergeCell ref="F66:F67"/>
    <mergeCell ref="H64:H65"/>
    <mergeCell ref="H66:H67"/>
    <mergeCell ref="J64:J67"/>
    <mergeCell ref="A48:M48"/>
    <mergeCell ref="B57:B59"/>
    <mergeCell ref="B61:B63"/>
    <mergeCell ref="B69:B71"/>
    <mergeCell ref="A68:A71"/>
    <mergeCell ref="A60:A63"/>
    <mergeCell ref="A64:A67"/>
    <mergeCell ref="B65:B67"/>
    <mergeCell ref="D56:D57"/>
    <mergeCell ref="J68:J71"/>
    <mergeCell ref="G68:G71"/>
    <mergeCell ref="F39:F40"/>
    <mergeCell ref="H39:H40"/>
    <mergeCell ref="I39:I42"/>
    <mergeCell ref="J39:J42"/>
    <mergeCell ref="C39:C42"/>
    <mergeCell ref="D39:D40"/>
    <mergeCell ref="K43:K46"/>
    <mergeCell ref="L43:L46"/>
    <mergeCell ref="K33:K36"/>
    <mergeCell ref="I43:I46"/>
    <mergeCell ref="J43:J46"/>
    <mergeCell ref="E37:F37"/>
    <mergeCell ref="G37:G38"/>
    <mergeCell ref="H33:H34"/>
    <mergeCell ref="I33:I36"/>
    <mergeCell ref="J33:J36"/>
    <mergeCell ref="D45:D46"/>
    <mergeCell ref="E45:E46"/>
    <mergeCell ref="F45:F46"/>
    <mergeCell ref="H45:H46"/>
    <mergeCell ref="K39:K42"/>
    <mergeCell ref="L39:L42"/>
    <mergeCell ref="A37:D38"/>
    <mergeCell ref="H31:H32"/>
    <mergeCell ref="E29:E30"/>
    <mergeCell ref="F29:F30"/>
    <mergeCell ref="H29:H30"/>
    <mergeCell ref="I29:I32"/>
    <mergeCell ref="J29:J32"/>
    <mergeCell ref="D29:D30"/>
    <mergeCell ref="G34:G35"/>
    <mergeCell ref="D35:D36"/>
    <mergeCell ref="E35:E36"/>
    <mergeCell ref="F35:F36"/>
    <mergeCell ref="H35:H36"/>
    <mergeCell ref="E33:E34"/>
    <mergeCell ref="F33:F34"/>
    <mergeCell ref="D21:D22"/>
    <mergeCell ref="K21:K24"/>
    <mergeCell ref="K25:K28"/>
    <mergeCell ref="L25:L28"/>
    <mergeCell ref="M25:M28"/>
    <mergeCell ref="G26:G27"/>
    <mergeCell ref="D27:D28"/>
    <mergeCell ref="E27:E28"/>
    <mergeCell ref="F27:F28"/>
    <mergeCell ref="H27:H28"/>
    <mergeCell ref="E25:E26"/>
    <mergeCell ref="F25:F26"/>
    <mergeCell ref="H25:H26"/>
    <mergeCell ref="I25:I28"/>
    <mergeCell ref="J25:J28"/>
    <mergeCell ref="G22:G23"/>
    <mergeCell ref="D23:D24"/>
    <mergeCell ref="E23:E24"/>
    <mergeCell ref="F23:F24"/>
    <mergeCell ref="H23:H24"/>
    <mergeCell ref="E21:E22"/>
    <mergeCell ref="F21:F22"/>
    <mergeCell ref="H21:H22"/>
    <mergeCell ref="D25:D26"/>
    <mergeCell ref="H4:I4"/>
    <mergeCell ref="L5:L8"/>
    <mergeCell ref="C17:C20"/>
    <mergeCell ref="D17:D18"/>
    <mergeCell ref="C13:C16"/>
    <mergeCell ref="I17:I20"/>
    <mergeCell ref="J17:J20"/>
    <mergeCell ref="C9:C12"/>
    <mergeCell ref="D9:D10"/>
    <mergeCell ref="E9:E10"/>
    <mergeCell ref="F9:F10"/>
    <mergeCell ref="H9:H10"/>
    <mergeCell ref="G10:G11"/>
    <mergeCell ref="D11:D12"/>
    <mergeCell ref="E11:E12"/>
    <mergeCell ref="F11:F12"/>
    <mergeCell ref="H11:H12"/>
    <mergeCell ref="I9:I12"/>
    <mergeCell ref="J9:J12"/>
    <mergeCell ref="K9:K12"/>
    <mergeCell ref="H19:H20"/>
    <mergeCell ref="K13:K16"/>
    <mergeCell ref="L13:L16"/>
    <mergeCell ref="F5:F6"/>
    <mergeCell ref="M9:M12"/>
    <mergeCell ref="L9:L12"/>
    <mergeCell ref="K17:K20"/>
    <mergeCell ref="L17:L20"/>
    <mergeCell ref="M17:M20"/>
    <mergeCell ref="G18:G19"/>
    <mergeCell ref="D19:D20"/>
    <mergeCell ref="E19:E20"/>
    <mergeCell ref="E17:E18"/>
    <mergeCell ref="F17:F18"/>
    <mergeCell ref="H17:H18"/>
    <mergeCell ref="M13:M16"/>
    <mergeCell ref="G14:G15"/>
    <mergeCell ref="D15:D16"/>
    <mergeCell ref="E15:E16"/>
    <mergeCell ref="F15:F16"/>
    <mergeCell ref="H15:H16"/>
    <mergeCell ref="E13:E14"/>
    <mergeCell ref="F13:F14"/>
    <mergeCell ref="H13:H14"/>
    <mergeCell ref="I13:I16"/>
    <mergeCell ref="J13:J16"/>
    <mergeCell ref="D13:D14"/>
    <mergeCell ref="D7:D8"/>
    <mergeCell ref="F7:F8"/>
    <mergeCell ref="E7:E8"/>
    <mergeCell ref="J5:J8"/>
    <mergeCell ref="K5:K8"/>
    <mergeCell ref="G6:G7"/>
    <mergeCell ref="C5:C8"/>
    <mergeCell ref="D5:D6"/>
    <mergeCell ref="H7:H8"/>
    <mergeCell ref="H5:H6"/>
    <mergeCell ref="I5:I8"/>
    <mergeCell ref="E5:E6"/>
    <mergeCell ref="D74:D75"/>
    <mergeCell ref="D33:D34"/>
    <mergeCell ref="C43:C46"/>
    <mergeCell ref="D43:D44"/>
    <mergeCell ref="C72:C75"/>
    <mergeCell ref="D72:D73"/>
    <mergeCell ref="D70:D71"/>
    <mergeCell ref="D58:D59"/>
    <mergeCell ref="D60:D61"/>
    <mergeCell ref="D66:D67"/>
    <mergeCell ref="A90:A93"/>
    <mergeCell ref="B77:B79"/>
    <mergeCell ref="B81:B83"/>
    <mergeCell ref="B87:B89"/>
    <mergeCell ref="B91:B93"/>
    <mergeCell ref="A84:D85"/>
    <mergeCell ref="C76:C79"/>
    <mergeCell ref="D76:D77"/>
    <mergeCell ref="C86:C89"/>
    <mergeCell ref="D86:D87"/>
    <mergeCell ref="C90:C93"/>
    <mergeCell ref="D90:D91"/>
    <mergeCell ref="C80:C83"/>
    <mergeCell ref="D80:D81"/>
    <mergeCell ref="D78:D79"/>
    <mergeCell ref="D82:D83"/>
    <mergeCell ref="D92:D93"/>
    <mergeCell ref="D88:D89"/>
    <mergeCell ref="A72:A75"/>
    <mergeCell ref="A29:A32"/>
    <mergeCell ref="A33:A36"/>
    <mergeCell ref="B73:B75"/>
    <mergeCell ref="A76:A79"/>
    <mergeCell ref="A80:A83"/>
    <mergeCell ref="A86:A89"/>
    <mergeCell ref="C25:C28"/>
    <mergeCell ref="C33:C36"/>
    <mergeCell ref="A1:M1"/>
    <mergeCell ref="G2:G3"/>
    <mergeCell ref="G49:G50"/>
    <mergeCell ref="J49:J50"/>
    <mergeCell ref="A39:A42"/>
    <mergeCell ref="A43:A46"/>
    <mergeCell ref="B53:B55"/>
    <mergeCell ref="B6:B8"/>
    <mergeCell ref="B10:B12"/>
    <mergeCell ref="B14:B16"/>
    <mergeCell ref="B18:B20"/>
    <mergeCell ref="B22:B24"/>
    <mergeCell ref="B26:B28"/>
    <mergeCell ref="B30:B32"/>
    <mergeCell ref="B34:B36"/>
    <mergeCell ref="B40:B42"/>
    <mergeCell ref="A5:A8"/>
    <mergeCell ref="A9:A12"/>
    <mergeCell ref="A13:A16"/>
    <mergeCell ref="A17:A20"/>
    <mergeCell ref="B44:B46"/>
    <mergeCell ref="C21:C24"/>
    <mergeCell ref="A21:A24"/>
    <mergeCell ref="M5:M8"/>
    <mergeCell ref="J76:J79"/>
    <mergeCell ref="G77:G78"/>
    <mergeCell ref="A25:A28"/>
    <mergeCell ref="X39:X40"/>
    <mergeCell ref="W43:W44"/>
    <mergeCell ref="X43:X44"/>
    <mergeCell ref="U86:U87"/>
    <mergeCell ref="U90:U91"/>
    <mergeCell ref="V86:V87"/>
    <mergeCell ref="V90:V91"/>
    <mergeCell ref="W86:W87"/>
    <mergeCell ref="W90:W91"/>
    <mergeCell ref="X86:X87"/>
    <mergeCell ref="X90:X91"/>
    <mergeCell ref="U39:U40"/>
    <mergeCell ref="V39:V40"/>
    <mergeCell ref="U43:U44"/>
    <mergeCell ref="V43:V44"/>
    <mergeCell ref="W39:W40"/>
    <mergeCell ref="E74:E75"/>
    <mergeCell ref="F74:F75"/>
    <mergeCell ref="H74:H75"/>
    <mergeCell ref="K76:K79"/>
    <mergeCell ref="M76:M79"/>
    <mergeCell ref="E72:E73"/>
    <mergeCell ref="F72:F73"/>
    <mergeCell ref="H72:H73"/>
    <mergeCell ref="I72:I75"/>
    <mergeCell ref="H70:H71"/>
    <mergeCell ref="H68:H69"/>
    <mergeCell ref="I68:I71"/>
    <mergeCell ref="G72:G75"/>
    <mergeCell ref="E78:E79"/>
    <mergeCell ref="F78:F79"/>
    <mergeCell ref="H78:H79"/>
    <mergeCell ref="E76:E77"/>
    <mergeCell ref="F76:F77"/>
    <mergeCell ref="H76:H77"/>
    <mergeCell ref="I76:I79"/>
  </mergeCells>
  <pageMargins left="0.70866141732283472" right="0.70866141732283472" top="0.74803149606299213" bottom="0.74803149606299213" header="0.31496062992125984" footer="0.31496062992125984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10"/>
  <dimension ref="A1:K21"/>
  <sheetViews>
    <sheetView topLeftCell="A2" workbookViewId="0">
      <selection activeCell="A2" sqref="A2"/>
    </sheetView>
  </sheetViews>
  <sheetFormatPr defaultRowHeight="15" x14ac:dyDescent="0.25"/>
  <cols>
    <col min="1" max="1" width="32.28515625" customWidth="1"/>
  </cols>
  <sheetData>
    <row r="1" spans="1:11" x14ac:dyDescent="0.25">
      <c r="A1" s="27" t="s">
        <v>76</v>
      </c>
      <c r="B1" s="25" t="s">
        <v>75</v>
      </c>
      <c r="C1" s="25" t="s">
        <v>73</v>
      </c>
      <c r="D1" s="25" t="s">
        <v>74</v>
      </c>
      <c r="E1" s="25" t="s">
        <v>77</v>
      </c>
      <c r="F1" s="25" t="s">
        <v>78</v>
      </c>
      <c r="G1" s="25" t="s">
        <v>79</v>
      </c>
      <c r="H1" s="25" t="s">
        <v>80</v>
      </c>
      <c r="I1" s="25" t="s">
        <v>81</v>
      </c>
      <c r="J1" s="25" t="s">
        <v>82</v>
      </c>
      <c r="K1" s="25" t="s">
        <v>106</v>
      </c>
    </row>
    <row r="2" spans="1:11" x14ac:dyDescent="0.25">
      <c r="A2" s="31" t="s">
        <v>102</v>
      </c>
      <c r="B2" s="30"/>
      <c r="C2" s="30"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1000</v>
      </c>
    </row>
    <row r="3" spans="1:11" x14ac:dyDescent="0.25">
      <c r="A3" s="26" t="e">
        <f>Transformer!#REF!</f>
        <v>#REF!</v>
      </c>
      <c r="B3" s="13"/>
      <c r="C3" s="13"/>
      <c r="D3" s="13"/>
      <c r="E3" s="13"/>
      <c r="F3" s="13" t="e">
        <f>Transformer!#REF!</f>
        <v>#REF!</v>
      </c>
      <c r="G3" s="13" t="e">
        <f>Transformer!#REF!</f>
        <v>#REF!</v>
      </c>
      <c r="H3" s="13"/>
      <c r="I3" s="13"/>
      <c r="J3" s="13"/>
      <c r="K3" s="13">
        <v>1000</v>
      </c>
    </row>
    <row r="4" spans="1:11" x14ac:dyDescent="0.25">
      <c r="A4" s="26" t="e">
        <f>Transformer!#REF!</f>
        <v>#REF!</v>
      </c>
      <c r="B4" s="13"/>
      <c r="C4" s="13"/>
      <c r="D4" s="13"/>
      <c r="E4" s="13"/>
      <c r="F4" s="13"/>
      <c r="G4" s="13"/>
      <c r="H4" s="13"/>
      <c r="I4" s="13" t="e">
        <f>Transformer!#REF!</f>
        <v>#REF!</v>
      </c>
      <c r="J4" s="13" t="e">
        <f>Transformer!#REF!</f>
        <v>#REF!</v>
      </c>
      <c r="K4" s="13">
        <v>1000</v>
      </c>
    </row>
    <row r="5" spans="1:11" x14ac:dyDescent="0.25">
      <c r="A5" s="26" t="e">
        <f>Transformer!#REF!</f>
        <v>#REF!</v>
      </c>
      <c r="B5" s="13"/>
      <c r="C5" s="13"/>
      <c r="D5" s="13"/>
      <c r="E5" s="13"/>
      <c r="F5" s="13" t="e">
        <f>Transformer!#REF!</f>
        <v>#REF!</v>
      </c>
      <c r="G5" s="13" t="e">
        <f>Transformer!#REF!</f>
        <v>#REF!</v>
      </c>
      <c r="H5" s="13"/>
      <c r="I5" s="13"/>
      <c r="J5" s="13"/>
      <c r="K5" s="13">
        <v>1000</v>
      </c>
    </row>
    <row r="6" spans="1:11" x14ac:dyDescent="0.25">
      <c r="A6" s="26" t="e">
        <f>Transformer!#REF!</f>
        <v>#REF!</v>
      </c>
      <c r="B6" s="13"/>
      <c r="C6" s="13"/>
      <c r="D6" s="13"/>
      <c r="E6" s="13"/>
      <c r="F6" s="13"/>
      <c r="G6" s="13"/>
      <c r="H6" s="13"/>
      <c r="I6" s="13" t="e">
        <f>Transformer!#REF!</f>
        <v>#REF!</v>
      </c>
      <c r="J6" s="13" t="e">
        <f>Transformer!#REF!</f>
        <v>#REF!</v>
      </c>
      <c r="K6" s="13">
        <v>1000</v>
      </c>
    </row>
    <row r="7" spans="1:11" x14ac:dyDescent="0.25">
      <c r="A7" s="26" t="e">
        <f>Transformer!#REF!</f>
        <v>#REF!</v>
      </c>
      <c r="B7" s="13"/>
      <c r="C7" s="13"/>
      <c r="D7" s="13"/>
      <c r="E7" s="13"/>
      <c r="F7" s="13" t="e">
        <f>Transformer!#REF!</f>
        <v>#REF!</v>
      </c>
      <c r="G7" s="13" t="e">
        <f>Transformer!#REF!</f>
        <v>#REF!</v>
      </c>
      <c r="H7" s="13">
        <v>0</v>
      </c>
      <c r="I7" s="13" t="e">
        <f>Transformer!#REF!</f>
        <v>#REF!</v>
      </c>
      <c r="J7" s="13" t="e">
        <f>Transformer!#REF!</f>
        <v>#REF!</v>
      </c>
      <c r="K7" s="13">
        <v>1000</v>
      </c>
    </row>
    <row r="8" spans="1:11" x14ac:dyDescent="0.25">
      <c r="A8" s="26" t="str">
        <f>KabelData!$B$3</f>
        <v>-W1</v>
      </c>
      <c r="B8" s="13" t="str">
        <f>KabelData!$B$4</f>
        <v>CU</v>
      </c>
      <c r="C8" s="13">
        <f>KabelData!$B$7</f>
        <v>15</v>
      </c>
      <c r="D8" s="13">
        <f>KabelData!$B$8</f>
        <v>1</v>
      </c>
      <c r="E8" s="13" t="e">
        <f>(VLOOKUP(KabelData!$B$4,Kabel!$C$5:$K$74,4,))</f>
        <v>#N/A</v>
      </c>
      <c r="F8" s="13">
        <f>KabelData!$B$10</f>
        <v>0.39698866482558415</v>
      </c>
      <c r="G8" s="13">
        <f>KabelData!$B$11</f>
        <v>12.215719134130845</v>
      </c>
      <c r="H8" s="13" t="e">
        <f>(VLOOKUP(KabelData!$B$4,Kabel!$C$5:$K$74,6,))</f>
        <v>#N/A</v>
      </c>
      <c r="I8" s="13">
        <f>KabelData!$B$14</f>
        <v>0.58803061144807767</v>
      </c>
      <c r="J8" s="13">
        <f>KabelData!$B$15</f>
        <v>8.2127801892859527</v>
      </c>
      <c r="K8" s="13">
        <v>1000</v>
      </c>
    </row>
    <row r="9" spans="1:11" x14ac:dyDescent="0.25">
      <c r="A9" s="26" t="str">
        <f>KabelData!$F$3</f>
        <v>-W2</v>
      </c>
      <c r="B9" s="13" t="str">
        <f>KabelData!$F$4</f>
        <v>CU</v>
      </c>
      <c r="C9" s="13">
        <f>KabelData!$F$7</f>
        <v>20</v>
      </c>
      <c r="D9" s="13">
        <f>KabelData!$F$8</f>
        <v>1</v>
      </c>
      <c r="E9" s="13" t="e">
        <f>(VLOOKUP(KabelData!$F$4,Kabel!$C$5:$K$74,4,))</f>
        <v>#N/A</v>
      </c>
      <c r="F9" s="13">
        <f>KabelData!$F$10</f>
        <v>1.1531370256825506</v>
      </c>
      <c r="G9" s="13">
        <f>KabelData!$F$11</f>
        <v>4.2272186653265917</v>
      </c>
      <c r="H9" s="13" t="e">
        <f>(VLOOKUP(KabelData!$F$4,Kabel!$C$5:$K$74,6,))</f>
        <v>#N/A</v>
      </c>
      <c r="I9" s="13">
        <f>KabelData!$F$14</f>
        <v>1.727092933226235</v>
      </c>
      <c r="J9" s="13">
        <f>KabelData!$F$15</f>
        <v>2.8209885935155139</v>
      </c>
      <c r="K9" s="13">
        <v>1000</v>
      </c>
    </row>
    <row r="10" spans="1:11" x14ac:dyDescent="0.25">
      <c r="A10" s="26" t="str">
        <f>KabelData!$J$3</f>
        <v>-W3</v>
      </c>
      <c r="B10" s="13" t="str">
        <f>KabelData!$J$4</f>
        <v>CU</v>
      </c>
      <c r="C10" s="13">
        <f>KabelData!$J$7</f>
        <v>20</v>
      </c>
      <c r="D10" s="13">
        <f>KabelData!$J$8</f>
        <v>1</v>
      </c>
      <c r="E10" s="13" t="e">
        <f>(VLOOKUP(KabelData!$J$4,Kabel!$C$5:$K$74,4,))</f>
        <v>#N/A</v>
      </c>
      <c r="F10" s="13">
        <f>KabelData!$J$10</f>
        <v>3.0815270565094832</v>
      </c>
      <c r="G10" s="13">
        <f>KabelData!$J$11</f>
        <v>1.803848784768499</v>
      </c>
      <c r="H10" s="13" t="e">
        <f>(VLOOKUP(KabelData!$J$4,Kabel!$C$5:$K$74,6,))</f>
        <v>#N/A</v>
      </c>
      <c r="I10" s="13">
        <f>KabelData!$J$14</f>
        <v>4.6210181778478212</v>
      </c>
      <c r="J10" s="13">
        <f>KabelData!$J$15</f>
        <v>1.202786620123433</v>
      </c>
      <c r="K10" s="13">
        <v>1000</v>
      </c>
    </row>
    <row r="11" spans="1:11" x14ac:dyDescent="0.25">
      <c r="A11" s="26" t="str">
        <f>KabelData!$N$3</f>
        <v>-W4</v>
      </c>
      <c r="B11" s="13" t="str">
        <f>KabelData!$N$4</f>
        <v>CU</v>
      </c>
      <c r="C11" s="13">
        <f>KabelData!$N$7</f>
        <v>18</v>
      </c>
      <c r="D11" s="13">
        <f>KabelData!$N$8</f>
        <v>1</v>
      </c>
      <c r="E11" s="13" t="e">
        <f>(VLOOKUP(KabelData!$N$4,Kabel!$C$5:$K$74,4,))</f>
        <v>#N/A</v>
      </c>
      <c r="F11" s="13">
        <f>KabelData!$N$10</f>
        <v>12.100438380488534</v>
      </c>
      <c r="G11" s="13">
        <f>KabelData!$N$11</f>
        <v>0.48771262431497786</v>
      </c>
      <c r="H11" s="13" t="e">
        <f>(VLOOKUP(KabelData!$N$4,Kabel!$C$5:$K$74,6,))</f>
        <v>#N/A</v>
      </c>
      <c r="I11" s="13">
        <f>KabelData!$N$14</f>
        <v>18.150292256600164</v>
      </c>
      <c r="J11" s="13">
        <f>KabelData!$N$15</f>
        <v>0.32514611234865137</v>
      </c>
      <c r="K11" s="13">
        <v>1000</v>
      </c>
    </row>
    <row r="12" spans="1:11" x14ac:dyDescent="0.25">
      <c r="A12" s="26" t="str">
        <f>KabelData!$R$3</f>
        <v>-E5</v>
      </c>
      <c r="B12" s="13" t="str">
        <f>KabelData!$R$4</f>
        <v>CU</v>
      </c>
      <c r="C12" s="13">
        <f>KabelData!$R$7</f>
        <v>0</v>
      </c>
      <c r="D12" s="13">
        <f>KabelData!$R$8</f>
        <v>1</v>
      </c>
      <c r="E12" s="13" t="e">
        <f>(VLOOKUP(KabelData!$R$4,Kabel!$C$5:$K$74,4,))</f>
        <v>#N/A</v>
      </c>
      <c r="F12" s="13" t="str">
        <f>KabelData!$R$10</f>
        <v/>
      </c>
      <c r="G12" s="13" t="str">
        <f>KabelData!$R$11</f>
        <v/>
      </c>
      <c r="H12" s="13" t="e">
        <f>(VLOOKUP(KabelData!$R$4,Kabel!$C$5:$K$74,6,))</f>
        <v>#N/A</v>
      </c>
      <c r="I12" s="13" t="str">
        <f>KabelData!$R$14</f>
        <v/>
      </c>
      <c r="J12" s="13" t="str">
        <f>KabelData!$R$15</f>
        <v/>
      </c>
      <c r="K12" s="13">
        <v>1000</v>
      </c>
    </row>
    <row r="13" spans="1:11" x14ac:dyDescent="0.25">
      <c r="A13" s="26">
        <f>KabelData!$B$18</f>
        <v>0</v>
      </c>
      <c r="B13" s="13" t="str">
        <f>KabelData!$B$19</f>
        <v>CU</v>
      </c>
      <c r="C13" s="13">
        <f>KabelData!$B$22</f>
        <v>0</v>
      </c>
      <c r="D13" s="13">
        <f>KabelData!$B$23</f>
        <v>1</v>
      </c>
      <c r="E13" s="13" t="e">
        <f>(VLOOKUP(KabelData!$B$19,Kabel!$C$5:$K$74,4,))</f>
        <v>#N/A</v>
      </c>
      <c r="F13" s="13" t="str">
        <f>KabelData!$B$25</f>
        <v/>
      </c>
      <c r="G13" s="13" t="str">
        <f>KabelData!$B$26</f>
        <v/>
      </c>
      <c r="H13" s="13" t="e">
        <f>(VLOOKUP(KabelData!$B$19,Kabel!$C$5:$K$74,6,))</f>
        <v>#N/A</v>
      </c>
      <c r="I13" s="13" t="str">
        <f>KabelData!$B$29</f>
        <v/>
      </c>
      <c r="J13" s="13" t="str">
        <f>KabelData!$B$30</f>
        <v/>
      </c>
      <c r="K13" s="13">
        <v>1000</v>
      </c>
    </row>
    <row r="14" spans="1:11" x14ac:dyDescent="0.25">
      <c r="A14" s="26">
        <f>KabelData!$F$18</f>
        <v>0</v>
      </c>
      <c r="B14" s="13" t="str">
        <f>KabelData!$F$19</f>
        <v>CU</v>
      </c>
      <c r="C14" s="13">
        <f>KabelData!$F$22</f>
        <v>0</v>
      </c>
      <c r="D14" s="13">
        <f>KabelData!$F$23</f>
        <v>1</v>
      </c>
      <c r="E14" s="13" t="e">
        <f>(VLOOKUP(KabelData!$F$19,Kabel!$C$5:$K$74,4,))</f>
        <v>#N/A</v>
      </c>
      <c r="F14" s="13" t="str">
        <f>KabelData!$F$25</f>
        <v/>
      </c>
      <c r="G14" s="13" t="str">
        <f>KabelData!$F$26</f>
        <v/>
      </c>
      <c r="H14" s="13" t="e">
        <f>(VLOOKUP(KabelData!$F$19,Kabel!$C$5:$K$74,6,))</f>
        <v>#N/A</v>
      </c>
      <c r="I14" s="13" t="str">
        <f>KabelData!$F$29</f>
        <v/>
      </c>
      <c r="J14" s="13" t="str">
        <f>KabelData!$F$30</f>
        <v/>
      </c>
      <c r="K14" s="13">
        <v>1000</v>
      </c>
    </row>
    <row r="15" spans="1:11" x14ac:dyDescent="0.25">
      <c r="A15" s="26">
        <f>KabelData!$J$18</f>
        <v>0</v>
      </c>
      <c r="B15" s="13" t="str">
        <f>KabelData!$J$19</f>
        <v>CU</v>
      </c>
      <c r="C15" s="13">
        <f>KabelData!$J$22</f>
        <v>0</v>
      </c>
      <c r="D15" s="13">
        <f>KabelData!$J$23</f>
        <v>1</v>
      </c>
      <c r="E15" s="13" t="e">
        <f>(VLOOKUP(KabelData!$J$19,Kabel!$C$5:$K$74,4,))</f>
        <v>#N/A</v>
      </c>
      <c r="F15" s="13" t="str">
        <f>KabelData!$J$25</f>
        <v/>
      </c>
      <c r="G15" s="13" t="str">
        <f>KabelData!$J$26</f>
        <v/>
      </c>
      <c r="H15" s="13" t="e">
        <f>(VLOOKUP(KabelData!$J$19,Kabel!$C$5:$K$74,6,))</f>
        <v>#N/A</v>
      </c>
      <c r="I15" s="13" t="str">
        <f>KabelData!$J$29</f>
        <v/>
      </c>
      <c r="J15" s="13" t="str">
        <f>KabelData!$J$30</f>
        <v/>
      </c>
      <c r="K15" s="13">
        <v>1000</v>
      </c>
    </row>
    <row r="16" spans="1:11" x14ac:dyDescent="0.25">
      <c r="A16" s="26">
        <f>KabelData!$N$18</f>
        <v>0</v>
      </c>
      <c r="B16" s="13" t="str">
        <f>KabelData!$N$19</f>
        <v>CU</v>
      </c>
      <c r="C16" s="13">
        <f>KabelData!$N$22</f>
        <v>0</v>
      </c>
      <c r="D16" s="13">
        <f>KabelData!$N$23</f>
        <v>1</v>
      </c>
      <c r="E16" s="13" t="e">
        <f>(VLOOKUP(KabelData!N19,'Kabel gummi'!$C$5:$K$54,4,))</f>
        <v>#N/A</v>
      </c>
      <c r="F16" s="13" t="str">
        <f>KabelData!$N$25</f>
        <v/>
      </c>
      <c r="G16" s="13" t="str">
        <f>KabelData!$N$26</f>
        <v/>
      </c>
      <c r="H16" s="13" t="e">
        <f>(VLOOKUP(KabelData!$N$19,'Kabel gummi'!C5:K53,6,))</f>
        <v>#N/A</v>
      </c>
      <c r="I16" s="13" t="str">
        <f>KabelData!$N$29</f>
        <v/>
      </c>
      <c r="J16" s="13" t="str">
        <f>KabelData!$N$30</f>
        <v/>
      </c>
      <c r="K16" s="13">
        <v>1000</v>
      </c>
    </row>
    <row r="17" spans="1:11" x14ac:dyDescent="0.25">
      <c r="A17" s="26" t="str">
        <f>KabelData!$R$18</f>
        <v>-W10</v>
      </c>
      <c r="B17" s="13" t="str">
        <f>KabelData!$R$19</f>
        <v>CU</v>
      </c>
      <c r="C17" s="13">
        <f>KabelData!$R$22</f>
        <v>0</v>
      </c>
      <c r="D17" s="13">
        <f>KabelData!$R$23</f>
        <v>1</v>
      </c>
      <c r="E17" s="13" t="e">
        <f>(VLOOKUP(KabelData!$R$19,'Kabel gummi'!C5:K53,4,))</f>
        <v>#N/A</v>
      </c>
      <c r="F17" s="13" t="str">
        <f>KabelData!$R$25</f>
        <v/>
      </c>
      <c r="G17" s="13" t="str">
        <f>KabelData!$R$26</f>
        <v/>
      </c>
      <c r="H17" s="13" t="e">
        <f>(VLOOKUP(KabelData!$R$19,'Kabel gummi'!C5:K53,6,))</f>
        <v>#N/A</v>
      </c>
      <c r="I17" s="13" t="str">
        <f>KabelData!$R$29</f>
        <v/>
      </c>
      <c r="J17" s="13" t="str">
        <f>KabelData!$R$30</f>
        <v/>
      </c>
      <c r="K17" s="13">
        <v>1000</v>
      </c>
    </row>
    <row r="18" spans="1:11" x14ac:dyDescent="0.25">
      <c r="A18" s="26" t="e">
        <f>Transformer!#REF!</f>
        <v>#REF!</v>
      </c>
      <c r="B18" s="13"/>
      <c r="C18" s="13"/>
      <c r="D18" s="13"/>
      <c r="E18" s="28"/>
      <c r="F18" s="28" t="e">
        <f>Transformer!#REF!</f>
        <v>#REF!</v>
      </c>
      <c r="G18" s="29" t="e">
        <f>Transformer!#REF!</f>
        <v>#REF!</v>
      </c>
      <c r="H18" s="13"/>
      <c r="I18" s="28" t="e">
        <f>Transformer!#REF!</f>
        <v>#REF!</v>
      </c>
      <c r="J18" s="29" t="e">
        <f>Transformer!#REF!</f>
        <v>#REF!</v>
      </c>
      <c r="K18" s="13">
        <v>1000</v>
      </c>
    </row>
    <row r="19" spans="1:11" x14ac:dyDescent="0.25">
      <c r="A19" s="26" t="e">
        <f>Transformer!#REF!</f>
        <v>#REF!</v>
      </c>
      <c r="B19" s="13"/>
      <c r="C19" s="13"/>
      <c r="D19" s="13"/>
      <c r="E19" s="13"/>
      <c r="F19" s="28" t="e">
        <f>Transformer!#REF!</f>
        <v>#REF!</v>
      </c>
      <c r="G19" s="29" t="e">
        <f>Transformer!#REF!</f>
        <v>#REF!</v>
      </c>
      <c r="H19" s="13"/>
      <c r="I19" s="28" t="e">
        <f>Transformer!#REF!</f>
        <v>#REF!</v>
      </c>
      <c r="J19" s="28" t="e">
        <f>Transformer!#REF!</f>
        <v>#REF!</v>
      </c>
      <c r="K19" s="13">
        <v>1000</v>
      </c>
    </row>
    <row r="20" spans="1:11" x14ac:dyDescent="0.25">
      <c r="A20" s="26" t="e">
        <f>Transformer!#REF!</f>
        <v>#REF!</v>
      </c>
      <c r="B20" s="13"/>
      <c r="C20" s="13"/>
      <c r="D20" s="13"/>
      <c r="E20" s="13"/>
      <c r="F20" s="28" t="e">
        <f>Transformer!#REF!</f>
        <v>#REF!</v>
      </c>
      <c r="G20" s="29" t="e">
        <f>Transformer!#REF!</f>
        <v>#REF!</v>
      </c>
      <c r="H20" s="13"/>
      <c r="I20" s="28" t="e">
        <f>Transformer!#REF!</f>
        <v>#REF!</v>
      </c>
      <c r="J20" s="29" t="e">
        <f>Transformer!#REF!</f>
        <v>#REF!</v>
      </c>
      <c r="K20" s="13">
        <v>1000</v>
      </c>
    </row>
    <row r="21" spans="1:11" x14ac:dyDescent="0.25">
      <c r="A21" s="26" t="e">
        <f>Transformer!#REF!</f>
        <v>#REF!</v>
      </c>
      <c r="B21" s="13"/>
      <c r="C21" s="13"/>
      <c r="D21" s="13"/>
      <c r="E21" s="13"/>
      <c r="F21" s="28" t="e">
        <f>Transformer!#REF!</f>
        <v>#REF!</v>
      </c>
      <c r="G21" s="29" t="e">
        <f>Transformer!#REF!</f>
        <v>#REF!</v>
      </c>
      <c r="H21" s="13"/>
      <c r="I21" s="28" t="e">
        <f>Transformer!#REF!</f>
        <v>#REF!</v>
      </c>
      <c r="J21" s="29" t="e">
        <f>Transformer!#REF!</f>
        <v>#REF!</v>
      </c>
      <c r="K21" s="13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11"/>
  <dimension ref="A1:K83"/>
  <sheetViews>
    <sheetView workbookViewId="0">
      <selection activeCell="C45" sqref="C45"/>
    </sheetView>
  </sheetViews>
  <sheetFormatPr defaultRowHeight="15" x14ac:dyDescent="0.25"/>
  <sheetData>
    <row r="1" spans="1:11" x14ac:dyDescent="0.25">
      <c r="A1" s="817" t="s">
        <v>120</v>
      </c>
      <c r="B1" s="818"/>
      <c r="C1" s="818"/>
      <c r="D1" s="818"/>
      <c r="E1" s="818"/>
      <c r="F1" s="818"/>
      <c r="G1" s="818"/>
      <c r="H1" s="818"/>
      <c r="I1" s="818"/>
      <c r="J1" s="818"/>
      <c r="K1" s="819"/>
    </row>
    <row r="2" spans="1:11" ht="15.75" thickBot="1" x14ac:dyDescent="0.3">
      <c r="A2" s="820"/>
      <c r="B2" s="821"/>
      <c r="C2" s="821"/>
      <c r="D2" s="821"/>
      <c r="E2" s="821"/>
      <c r="F2" s="821"/>
      <c r="G2" s="821"/>
      <c r="H2" s="821"/>
      <c r="I2" s="821"/>
      <c r="J2" s="821"/>
      <c r="K2" s="822"/>
    </row>
    <row r="3" spans="1:11" ht="15.75" thickBot="1" x14ac:dyDescent="0.3">
      <c r="B3" s="1"/>
      <c r="C3" s="1"/>
      <c r="D3" s="732" t="s">
        <v>0</v>
      </c>
      <c r="E3" s="733"/>
      <c r="F3" s="733"/>
      <c r="G3" s="736"/>
      <c r="H3" s="732" t="s">
        <v>1</v>
      </c>
      <c r="I3" s="733"/>
      <c r="J3" s="733"/>
      <c r="K3" s="736"/>
    </row>
    <row r="4" spans="1:11" ht="15.75" thickBot="1" x14ac:dyDescent="0.3">
      <c r="A4" s="2" t="s">
        <v>45</v>
      </c>
      <c r="B4" s="2" t="s">
        <v>2</v>
      </c>
      <c r="C4" s="2" t="s">
        <v>46</v>
      </c>
      <c r="D4" s="3" t="s">
        <v>3</v>
      </c>
      <c r="E4" s="4" t="s">
        <v>4</v>
      </c>
      <c r="F4" s="5" t="s">
        <v>5</v>
      </c>
      <c r="G4" s="5" t="s">
        <v>6</v>
      </c>
      <c r="H4" s="2" t="s">
        <v>7</v>
      </c>
      <c r="I4" s="2" t="s">
        <v>8</v>
      </c>
      <c r="J4" s="6" t="s">
        <v>3</v>
      </c>
      <c r="K4" s="2" t="s">
        <v>4</v>
      </c>
    </row>
    <row r="5" spans="1:11" x14ac:dyDescent="0.25">
      <c r="A5" s="7" t="s">
        <v>9</v>
      </c>
      <c r="B5" s="7" t="s">
        <v>111</v>
      </c>
      <c r="C5" s="7" t="s">
        <v>121</v>
      </c>
      <c r="D5" s="7">
        <v>26</v>
      </c>
      <c r="E5" s="7">
        <v>0.111</v>
      </c>
      <c r="F5" s="8">
        <f>IMABS(COMPLEX(D5,E5,"i"))</f>
        <v>26.000236941228057</v>
      </c>
      <c r="G5" s="7">
        <f>DEGREES(ACOS((D5/F5)))</f>
        <v>0.24460741875359343</v>
      </c>
      <c r="H5" s="7">
        <f>IMABS(COMPLEX(J5,K5,"i"))</f>
        <v>39.000157961218569</v>
      </c>
      <c r="I5" s="7">
        <f>DEGREES(ACOS((J5/H5)))</f>
        <v>0.16307216290395216</v>
      </c>
      <c r="J5" s="8">
        <v>39</v>
      </c>
      <c r="K5" s="8">
        <v>0.111</v>
      </c>
    </row>
    <row r="6" spans="1:11" x14ac:dyDescent="0.25">
      <c r="A6" s="9" t="s">
        <v>9</v>
      </c>
      <c r="B6" s="7" t="s">
        <v>111</v>
      </c>
      <c r="C6" s="7" t="s">
        <v>112</v>
      </c>
      <c r="D6" s="9">
        <v>19.5</v>
      </c>
      <c r="E6" s="9">
        <v>0.105</v>
      </c>
      <c r="F6" s="10">
        <f t="shared" ref="F6:F53" si="0">IMABS(COMPLEX(D6,E6,"i"))</f>
        <v>19.500282690258622</v>
      </c>
      <c r="G6" s="9">
        <f t="shared" ref="G6:G53" si="1">DEGREES(ACOS((D6/F6)))</f>
        <v>0.30851275418189195</v>
      </c>
      <c r="H6" s="9">
        <f t="shared" ref="H6:H53" si="2">IMABS(COMPLEX(J6,K6,"i"))</f>
        <v>29.250188460931323</v>
      </c>
      <c r="I6" s="9">
        <f t="shared" ref="I6:I53" si="3">DEGREES(ACOS((J6/H6)))</f>
        <v>0.20567627376348468</v>
      </c>
      <c r="J6" s="10">
        <v>29.25</v>
      </c>
      <c r="K6" s="10">
        <v>0.105</v>
      </c>
    </row>
    <row r="7" spans="1:11" x14ac:dyDescent="0.25">
      <c r="A7" s="9" t="s">
        <v>9</v>
      </c>
      <c r="B7" s="7" t="s">
        <v>111</v>
      </c>
      <c r="C7" s="7" t="s">
        <v>113</v>
      </c>
      <c r="D7" s="9">
        <v>13.3</v>
      </c>
      <c r="E7" s="9">
        <v>0.107</v>
      </c>
      <c r="F7" s="10">
        <f t="shared" si="0"/>
        <v>13.300430406569557</v>
      </c>
      <c r="G7" s="9">
        <f t="shared" si="1"/>
        <v>0.46094106365923715</v>
      </c>
      <c r="H7" s="9">
        <f t="shared" si="2"/>
        <v>19.950286940292361</v>
      </c>
      <c r="I7" s="9">
        <f t="shared" si="3"/>
        <v>0.30729772550625756</v>
      </c>
      <c r="J7" s="10">
        <v>19.95</v>
      </c>
      <c r="K7" s="10">
        <v>0.107</v>
      </c>
    </row>
    <row r="8" spans="1:11" x14ac:dyDescent="0.25">
      <c r="A8" s="9" t="s">
        <v>9</v>
      </c>
      <c r="B8" s="7" t="s">
        <v>111</v>
      </c>
      <c r="C8" s="7" t="s">
        <v>114</v>
      </c>
      <c r="D8" s="9">
        <v>7.98</v>
      </c>
      <c r="E8" s="9">
        <v>0.10299999999999999</v>
      </c>
      <c r="F8" s="10">
        <f t="shared" si="0"/>
        <v>7.9806646966277182</v>
      </c>
      <c r="G8" s="9">
        <f t="shared" si="1"/>
        <v>0.73949092723492893</v>
      </c>
      <c r="H8" s="9">
        <f t="shared" si="2"/>
        <v>11.97044314133775</v>
      </c>
      <c r="I8" s="9">
        <f t="shared" si="3"/>
        <v>0.49300915969325609</v>
      </c>
      <c r="J8" s="10">
        <v>11.97</v>
      </c>
      <c r="K8" s="10">
        <v>0.10299999999999999</v>
      </c>
    </row>
    <row r="9" spans="1:11" x14ac:dyDescent="0.25">
      <c r="A9" s="9" t="s">
        <v>9</v>
      </c>
      <c r="B9" s="9" t="s">
        <v>10</v>
      </c>
      <c r="C9" s="9" t="s">
        <v>122</v>
      </c>
      <c r="D9" s="9">
        <v>26</v>
      </c>
      <c r="E9" s="9">
        <v>0.111</v>
      </c>
      <c r="F9" s="10">
        <f t="shared" si="0"/>
        <v>26.000236941228057</v>
      </c>
      <c r="G9" s="9">
        <f t="shared" si="1"/>
        <v>0.24460741875359343</v>
      </c>
      <c r="H9" s="9">
        <f t="shared" si="2"/>
        <v>39.000157961218569</v>
      </c>
      <c r="I9" s="9">
        <f t="shared" si="3"/>
        <v>0.16307216290395216</v>
      </c>
      <c r="J9" s="10">
        <v>39</v>
      </c>
      <c r="K9" s="10">
        <v>0.111</v>
      </c>
    </row>
    <row r="10" spans="1:11" x14ac:dyDescent="0.25">
      <c r="A10" s="9" t="s">
        <v>9</v>
      </c>
      <c r="B10" s="9" t="s">
        <v>10</v>
      </c>
      <c r="C10" s="9" t="s">
        <v>115</v>
      </c>
      <c r="D10" s="9">
        <v>19.5</v>
      </c>
      <c r="E10" s="9">
        <v>0.105</v>
      </c>
      <c r="F10" s="10">
        <f t="shared" si="0"/>
        <v>19.500282690258622</v>
      </c>
      <c r="G10" s="9">
        <f t="shared" si="1"/>
        <v>0.30851275418189195</v>
      </c>
      <c r="H10" s="9">
        <f t="shared" si="2"/>
        <v>29.250188460931323</v>
      </c>
      <c r="I10" s="9">
        <f t="shared" si="3"/>
        <v>0.20567627376348468</v>
      </c>
      <c r="J10" s="10">
        <v>29.25</v>
      </c>
      <c r="K10" s="10">
        <v>0.105</v>
      </c>
    </row>
    <row r="11" spans="1:11" x14ac:dyDescent="0.25">
      <c r="A11" s="9" t="s">
        <v>9</v>
      </c>
      <c r="B11" s="9" t="s">
        <v>10</v>
      </c>
      <c r="C11" s="9" t="s">
        <v>11</v>
      </c>
      <c r="D11" s="9">
        <v>13.3</v>
      </c>
      <c r="E11" s="9">
        <v>0.107</v>
      </c>
      <c r="F11" s="10">
        <f t="shared" si="0"/>
        <v>13.300430406569557</v>
      </c>
      <c r="G11" s="9">
        <f t="shared" si="1"/>
        <v>0.46094106365923715</v>
      </c>
      <c r="H11" s="9">
        <f t="shared" si="2"/>
        <v>19.950286940292361</v>
      </c>
      <c r="I11" s="9">
        <f t="shared" si="3"/>
        <v>0.30729772550625756</v>
      </c>
      <c r="J11" s="10">
        <v>19.95</v>
      </c>
      <c r="K11" s="10">
        <v>0.107</v>
      </c>
    </row>
    <row r="12" spans="1:11" x14ac:dyDescent="0.25">
      <c r="A12" s="9" t="s">
        <v>9</v>
      </c>
      <c r="B12" s="9" t="s">
        <v>10</v>
      </c>
      <c r="C12" s="9" t="s">
        <v>12</v>
      </c>
      <c r="D12" s="9">
        <v>7.98</v>
      </c>
      <c r="E12" s="9">
        <v>0.10299999999999999</v>
      </c>
      <c r="F12" s="10">
        <f t="shared" si="0"/>
        <v>7.9806646966277182</v>
      </c>
      <c r="G12" s="9">
        <f t="shared" si="1"/>
        <v>0.73949092723492893</v>
      </c>
      <c r="H12" s="9">
        <f t="shared" si="2"/>
        <v>11.97044314133775</v>
      </c>
      <c r="I12" s="9">
        <f t="shared" si="3"/>
        <v>0.49300915969325609</v>
      </c>
      <c r="J12" s="10">
        <v>11.97</v>
      </c>
      <c r="K12" s="10">
        <v>0.10299999999999999</v>
      </c>
    </row>
    <row r="13" spans="1:11" x14ac:dyDescent="0.25">
      <c r="A13" s="9" t="s">
        <v>9</v>
      </c>
      <c r="B13" s="9" t="s">
        <v>10</v>
      </c>
      <c r="C13" s="9" t="s">
        <v>13</v>
      </c>
      <c r="D13" s="9">
        <v>4.95</v>
      </c>
      <c r="E13" s="9">
        <v>0.1</v>
      </c>
      <c r="F13" s="10">
        <f t="shared" ref="F13:F17" si="4">IMABS(COMPLEX(D13,E13,"i"))</f>
        <v>4.951009997970111</v>
      </c>
      <c r="G13" s="9">
        <f t="shared" ref="G13:G17" si="5">DEGREES(ACOS((D13/F13)))</f>
        <v>1.1573330681291663</v>
      </c>
      <c r="H13" s="9">
        <f t="shared" ref="H13:H17" si="6">IMABS(COMPLEX(J13,K13,"i"))</f>
        <v>7.425673370139573</v>
      </c>
      <c r="I13" s="9">
        <f t="shared" ref="I13:I17" si="7">DEGREES(ACOS((J13/H13)))</f>
        <v>0.77161367873629183</v>
      </c>
      <c r="J13" s="10">
        <v>7.4249999999999998</v>
      </c>
      <c r="K13" s="10">
        <v>0.1</v>
      </c>
    </row>
    <row r="14" spans="1:11" x14ac:dyDescent="0.25">
      <c r="A14" s="9" t="s">
        <v>9</v>
      </c>
      <c r="B14" s="9" t="s">
        <v>10</v>
      </c>
      <c r="C14" s="9" t="s">
        <v>14</v>
      </c>
      <c r="D14" s="9">
        <v>3.3</v>
      </c>
      <c r="E14" s="9">
        <v>9.9000000000000005E-2</v>
      </c>
      <c r="F14" s="10">
        <f t="shared" si="4"/>
        <v>3.3014846660252712</v>
      </c>
      <c r="G14" s="9">
        <f t="shared" si="5"/>
        <v>1.7183580016552913</v>
      </c>
      <c r="H14" s="9">
        <f t="shared" si="6"/>
        <v>4.9509899010197946</v>
      </c>
      <c r="I14" s="9">
        <f t="shared" si="7"/>
        <v>1.1457628381748222</v>
      </c>
      <c r="J14" s="10">
        <v>4.95</v>
      </c>
      <c r="K14" s="10">
        <v>9.9000000000000005E-2</v>
      </c>
    </row>
    <row r="15" spans="1:11" x14ac:dyDescent="0.25">
      <c r="A15" s="9" t="s">
        <v>9</v>
      </c>
      <c r="B15" s="9" t="s">
        <v>10</v>
      </c>
      <c r="C15" s="9" t="s">
        <v>15</v>
      </c>
      <c r="D15" s="9">
        <v>1.95</v>
      </c>
      <c r="E15" s="9">
        <v>9.2999999999999999E-2</v>
      </c>
      <c r="F15" s="10">
        <f t="shared" si="4"/>
        <v>1.9522164326733855</v>
      </c>
      <c r="G15" s="9">
        <f t="shared" si="5"/>
        <v>2.7304989757358249</v>
      </c>
      <c r="H15" s="9">
        <f t="shared" si="6"/>
        <v>2.8665090266733859</v>
      </c>
      <c r="I15" s="9">
        <f t="shared" si="7"/>
        <v>1.8592101672088888</v>
      </c>
      <c r="J15" s="10">
        <v>2.8650000000000002</v>
      </c>
      <c r="K15" s="10">
        <v>9.2999999999999999E-2</v>
      </c>
    </row>
    <row r="16" spans="1:11" x14ac:dyDescent="0.25">
      <c r="A16" s="9" t="s">
        <v>9</v>
      </c>
      <c r="B16" s="9" t="s">
        <v>10</v>
      </c>
      <c r="C16" s="9" t="s">
        <v>16</v>
      </c>
      <c r="D16" s="9">
        <v>1.21</v>
      </c>
      <c r="E16" s="9">
        <v>0.09</v>
      </c>
      <c r="F16" s="10">
        <f t="shared" si="4"/>
        <v>1.2133424908079333</v>
      </c>
      <c r="G16" s="9">
        <f t="shared" si="5"/>
        <v>4.2538364361191645</v>
      </c>
      <c r="H16" s="9">
        <f t="shared" si="6"/>
        <v>1.8172300349708066</v>
      </c>
      <c r="I16" s="9">
        <f t="shared" si="7"/>
        <v>2.8387878410051712</v>
      </c>
      <c r="J16" s="10">
        <v>1.8149999999999999</v>
      </c>
      <c r="K16" s="10">
        <v>0.09</v>
      </c>
    </row>
    <row r="17" spans="1:11" x14ac:dyDescent="0.25">
      <c r="A17" s="9" t="s">
        <v>9</v>
      </c>
      <c r="B17" s="9" t="s">
        <v>10</v>
      </c>
      <c r="C17" s="9" t="s">
        <v>17</v>
      </c>
      <c r="D17" s="9">
        <v>0.78029999999999999</v>
      </c>
      <c r="E17" s="9">
        <v>8.5999999999999993E-2</v>
      </c>
      <c r="F17" s="10">
        <f t="shared" si="4"/>
        <v>0.78502489769433415</v>
      </c>
      <c r="G17" s="9">
        <f t="shared" si="5"/>
        <v>6.289414062728631</v>
      </c>
      <c r="H17" s="9">
        <f t="shared" si="6"/>
        <v>1.1736550813590849</v>
      </c>
      <c r="I17" s="9">
        <f t="shared" si="7"/>
        <v>4.2021350806907236</v>
      </c>
      <c r="J17" s="10">
        <v>1.1705000000000001</v>
      </c>
      <c r="K17" s="10">
        <v>8.5999999999999993E-2</v>
      </c>
    </row>
    <row r="18" spans="1:11" x14ac:dyDescent="0.25">
      <c r="A18" s="9" t="s">
        <v>43</v>
      </c>
      <c r="B18" s="9" t="s">
        <v>10</v>
      </c>
      <c r="C18" s="9" t="s">
        <v>18</v>
      </c>
      <c r="D18" s="9">
        <v>0.55449999999999999</v>
      </c>
      <c r="E18" s="9">
        <v>8.5999999999999993E-2</v>
      </c>
      <c r="F18" s="10">
        <f t="shared" ref="F18:F19" si="8">IMABS(COMPLEX(D18,E18,"i"))</f>
        <v>0.56112944139476406</v>
      </c>
      <c r="G18" s="9">
        <f t="shared" ref="G18:G19" si="9">DEGREES(ACOS((D18/F18)))</f>
        <v>8.8160303961531739</v>
      </c>
      <c r="H18" s="9">
        <f t="shared" ref="H18:H19" si="10">IMABS(COMPLEX(J18,K18,"i"))</f>
        <v>0.83623396247700921</v>
      </c>
      <c r="I18" s="9">
        <f t="shared" ref="I18:I19" si="11">DEGREES(ACOS((J18/H18)))</f>
        <v>5.9028509811535113</v>
      </c>
      <c r="J18" s="10">
        <v>0.83179999999999998</v>
      </c>
      <c r="K18" s="10">
        <v>8.5999999999999993E-2</v>
      </c>
    </row>
    <row r="19" spans="1:11" x14ac:dyDescent="0.25">
      <c r="A19" s="9" t="s">
        <v>43</v>
      </c>
      <c r="B19" s="9" t="s">
        <v>19</v>
      </c>
      <c r="C19" s="9" t="s">
        <v>123</v>
      </c>
      <c r="D19" s="9">
        <v>26</v>
      </c>
      <c r="E19" s="9">
        <v>0.11799999999999999</v>
      </c>
      <c r="F19" s="10">
        <f t="shared" si="8"/>
        <v>26.000267767851931</v>
      </c>
      <c r="G19" s="9">
        <f t="shared" si="9"/>
        <v>0.260032906292335</v>
      </c>
      <c r="H19" s="9">
        <f t="shared" si="10"/>
        <v>39.000178512411964</v>
      </c>
      <c r="I19" s="9">
        <f t="shared" si="11"/>
        <v>0.17335593209585978</v>
      </c>
      <c r="J19" s="10">
        <v>39</v>
      </c>
      <c r="K19" s="10">
        <v>0.11799999999999999</v>
      </c>
    </row>
    <row r="20" spans="1:11" x14ac:dyDescent="0.25">
      <c r="A20" s="9" t="s">
        <v>9</v>
      </c>
      <c r="B20" s="9" t="s">
        <v>19</v>
      </c>
      <c r="C20" s="9" t="s">
        <v>116</v>
      </c>
      <c r="D20" s="9">
        <v>19.5</v>
      </c>
      <c r="E20" s="9">
        <v>0.113</v>
      </c>
      <c r="F20" s="10">
        <f t="shared" si="0"/>
        <v>19.5003274075078</v>
      </c>
      <c r="G20" s="9">
        <f t="shared" si="1"/>
        <v>0.33201798025022577</v>
      </c>
      <c r="H20" s="9">
        <f t="shared" si="2"/>
        <v>29.25021827268986</v>
      </c>
      <c r="I20" s="9">
        <f t="shared" si="3"/>
        <v>0.22134669660357562</v>
      </c>
      <c r="J20" s="10">
        <v>29.25</v>
      </c>
      <c r="K20" s="10">
        <v>0.113</v>
      </c>
    </row>
    <row r="21" spans="1:11" x14ac:dyDescent="0.25">
      <c r="A21" s="9" t="s">
        <v>9</v>
      </c>
      <c r="B21" s="9" t="s">
        <v>19</v>
      </c>
      <c r="C21" s="9" t="s">
        <v>20</v>
      </c>
      <c r="D21" s="9">
        <v>13.3</v>
      </c>
      <c r="E21" s="9">
        <v>0.114</v>
      </c>
      <c r="F21" s="10">
        <f t="shared" si="0"/>
        <v>13.30048856245514</v>
      </c>
      <c r="G21" s="9">
        <f t="shared" si="1"/>
        <v>0.49109465496817295</v>
      </c>
      <c r="H21" s="9">
        <f t="shared" si="2"/>
        <v>19.950325711626864</v>
      </c>
      <c r="I21" s="9">
        <f t="shared" si="3"/>
        <v>0.32740089084328228</v>
      </c>
      <c r="J21" s="10">
        <v>19.95</v>
      </c>
      <c r="K21" s="10">
        <v>0.114</v>
      </c>
    </row>
    <row r="22" spans="1:11" x14ac:dyDescent="0.25">
      <c r="A22" s="9" t="s">
        <v>9</v>
      </c>
      <c r="B22" s="9" t="s">
        <v>19</v>
      </c>
      <c r="C22" s="9" t="s">
        <v>21</v>
      </c>
      <c r="D22" s="9">
        <v>7.98</v>
      </c>
      <c r="E22" s="9">
        <v>0.111</v>
      </c>
      <c r="F22" s="10">
        <f t="shared" si="0"/>
        <v>7.9807719551431875</v>
      </c>
      <c r="G22" s="9">
        <f t="shared" si="1"/>
        <v>0.7969199753085886</v>
      </c>
      <c r="H22" s="9">
        <f t="shared" si="2"/>
        <v>11.970514650590424</v>
      </c>
      <c r="I22" s="9">
        <f t="shared" si="3"/>
        <v>0.53129901731873264</v>
      </c>
      <c r="J22" s="10">
        <v>11.97</v>
      </c>
      <c r="K22" s="10">
        <v>0.111</v>
      </c>
    </row>
    <row r="23" spans="1:11" x14ac:dyDescent="0.25">
      <c r="A23" s="9" t="s">
        <v>9</v>
      </c>
      <c r="B23" s="9" t="s">
        <v>19</v>
      </c>
      <c r="C23" s="9" t="s">
        <v>22</v>
      </c>
      <c r="D23" s="9">
        <v>4.95</v>
      </c>
      <c r="E23" s="9">
        <v>0.108</v>
      </c>
      <c r="F23" s="10">
        <f t="shared" si="0"/>
        <v>4.9511780416381717</v>
      </c>
      <c r="G23" s="9">
        <f t="shared" si="1"/>
        <v>1.2498914301210402</v>
      </c>
      <c r="H23" s="9">
        <f t="shared" si="2"/>
        <v>7.4257854130051451</v>
      </c>
      <c r="I23" s="9">
        <f t="shared" si="3"/>
        <v>0.83333439028123579</v>
      </c>
      <c r="J23" s="10">
        <v>7.4249999999999998</v>
      </c>
      <c r="K23" s="10">
        <v>0.108</v>
      </c>
    </row>
    <row r="24" spans="1:11" x14ac:dyDescent="0.25">
      <c r="A24" s="9" t="s">
        <v>9</v>
      </c>
      <c r="B24" s="9" t="s">
        <v>19</v>
      </c>
      <c r="C24" s="9" t="s">
        <v>23</v>
      </c>
      <c r="D24" s="9">
        <v>3.3</v>
      </c>
      <c r="E24" s="9">
        <v>0.106</v>
      </c>
      <c r="F24" s="10">
        <f t="shared" si="0"/>
        <v>3.3017019853402876</v>
      </c>
      <c r="G24" s="9">
        <f t="shared" si="1"/>
        <v>1.8397773176497909</v>
      </c>
      <c r="H24" s="9">
        <f t="shared" si="2"/>
        <v>4.9511348194126166</v>
      </c>
      <c r="I24" s="9">
        <f t="shared" si="3"/>
        <v>1.2267524324233867</v>
      </c>
      <c r="J24" s="10">
        <v>4.95</v>
      </c>
      <c r="K24" s="10">
        <v>0.106</v>
      </c>
    </row>
    <row r="25" spans="1:11" x14ac:dyDescent="0.25">
      <c r="A25" s="9" t="s">
        <v>9</v>
      </c>
      <c r="B25" s="9" t="s">
        <v>19</v>
      </c>
      <c r="C25" s="9" t="s">
        <v>24</v>
      </c>
      <c r="D25" s="9">
        <v>1.91</v>
      </c>
      <c r="E25" s="9">
        <v>0.1</v>
      </c>
      <c r="F25" s="10">
        <f t="shared" si="0"/>
        <v>1.9126160095534073</v>
      </c>
      <c r="G25" s="9">
        <f t="shared" si="1"/>
        <v>2.9970425802836522</v>
      </c>
      <c r="H25" s="9">
        <f t="shared" si="2"/>
        <v>2.8667446694813963</v>
      </c>
      <c r="I25" s="9">
        <f t="shared" si="3"/>
        <v>1.9990411475606533</v>
      </c>
      <c r="J25" s="10">
        <v>2.8650000000000002</v>
      </c>
      <c r="K25" s="10">
        <v>0.1</v>
      </c>
    </row>
    <row r="26" spans="1:11" x14ac:dyDescent="0.25">
      <c r="A26" s="9" t="s">
        <v>9</v>
      </c>
      <c r="B26" s="9" t="s">
        <v>19</v>
      </c>
      <c r="C26" s="9" t="s">
        <v>25</v>
      </c>
      <c r="D26" s="9">
        <v>1.21</v>
      </c>
      <c r="E26" s="9">
        <v>9.7000000000000003E-2</v>
      </c>
      <c r="F26" s="10">
        <f t="shared" si="0"/>
        <v>1.2138817899614442</v>
      </c>
      <c r="G26" s="9">
        <f t="shared" si="1"/>
        <v>4.5833312879848869</v>
      </c>
      <c r="H26" s="9">
        <f t="shared" si="2"/>
        <v>1.8175901628254922</v>
      </c>
      <c r="I26" s="9">
        <f t="shared" si="3"/>
        <v>3.0591781546891847</v>
      </c>
      <c r="J26" s="10">
        <v>1.8149999999999999</v>
      </c>
      <c r="K26" s="10">
        <v>9.7000000000000003E-2</v>
      </c>
    </row>
    <row r="27" spans="1:11" x14ac:dyDescent="0.25">
      <c r="A27" s="9" t="s">
        <v>9</v>
      </c>
      <c r="B27" s="9" t="s">
        <v>19</v>
      </c>
      <c r="C27" s="9" t="s">
        <v>26</v>
      </c>
      <c r="D27" s="9">
        <v>0.78029999999999999</v>
      </c>
      <c r="E27" s="9">
        <v>9.4E-2</v>
      </c>
      <c r="F27" s="10">
        <f t="shared" si="0"/>
        <v>0.78594153090417618</v>
      </c>
      <c r="G27" s="9">
        <f t="shared" si="1"/>
        <v>6.8691202913707023</v>
      </c>
      <c r="H27" s="9">
        <f t="shared" si="2"/>
        <v>1.1742683892534962</v>
      </c>
      <c r="I27" s="9">
        <f t="shared" si="3"/>
        <v>4.5914307079430765</v>
      </c>
      <c r="J27" s="10">
        <v>1.1705000000000001</v>
      </c>
      <c r="K27" s="10">
        <v>9.4E-2</v>
      </c>
    </row>
    <row r="28" spans="1:11" x14ac:dyDescent="0.25">
      <c r="A28" s="9" t="s">
        <v>9</v>
      </c>
      <c r="B28" s="9" t="s">
        <v>19</v>
      </c>
      <c r="C28" s="9" t="s">
        <v>27</v>
      </c>
      <c r="D28" s="9">
        <v>0.55449999999999999</v>
      </c>
      <c r="E28" s="9">
        <v>9.2999999999999999E-2</v>
      </c>
      <c r="F28" s="10">
        <f t="shared" si="0"/>
        <v>0.56224483101225575</v>
      </c>
      <c r="G28" s="9">
        <f t="shared" si="1"/>
        <v>9.5209582192206632</v>
      </c>
      <c r="H28" s="9">
        <f t="shared" si="2"/>
        <v>0.83698281941745967</v>
      </c>
      <c r="I28" s="9">
        <f t="shared" si="3"/>
        <v>6.3795017003535825</v>
      </c>
      <c r="J28" s="10">
        <v>0.83179999999999998</v>
      </c>
      <c r="K28" s="10">
        <v>9.2999999999999999E-2</v>
      </c>
    </row>
    <row r="29" spans="1:11" x14ac:dyDescent="0.25">
      <c r="A29" s="9" t="s">
        <v>9</v>
      </c>
      <c r="B29" s="9" t="s">
        <v>19</v>
      </c>
      <c r="C29" s="9" t="s">
        <v>28</v>
      </c>
      <c r="D29" s="9">
        <v>0.38679999999999998</v>
      </c>
      <c r="E29" s="9">
        <v>9.2999999999999999E-2</v>
      </c>
      <c r="F29" s="10">
        <f t="shared" si="0"/>
        <v>0.39782312652735513</v>
      </c>
      <c r="G29" s="9">
        <f t="shared" si="1"/>
        <v>13.519261073172544</v>
      </c>
      <c r="H29" s="9">
        <f t="shared" si="2"/>
        <v>0.58760619465761266</v>
      </c>
      <c r="I29" s="9">
        <f t="shared" si="3"/>
        <v>9.1064523774037891</v>
      </c>
      <c r="J29" s="10">
        <v>0.58020000000000005</v>
      </c>
      <c r="K29" s="10">
        <v>9.2999999999999999E-2</v>
      </c>
    </row>
    <row r="30" spans="1:11" x14ac:dyDescent="0.25">
      <c r="A30" s="9" t="s">
        <v>9</v>
      </c>
      <c r="B30" s="9" t="s">
        <v>19</v>
      </c>
      <c r="C30" s="9" t="s">
        <v>29</v>
      </c>
      <c r="D30" s="9">
        <v>0.2732</v>
      </c>
      <c r="E30" s="9">
        <v>9.0999999999999998E-2</v>
      </c>
      <c r="F30" s="10">
        <f t="shared" si="0"/>
        <v>0.28795701068041391</v>
      </c>
      <c r="G30" s="9">
        <f t="shared" si="1"/>
        <v>18.422364641373196</v>
      </c>
      <c r="H30" s="9">
        <f t="shared" si="2"/>
        <v>0.41978213396951519</v>
      </c>
      <c r="I30" s="9">
        <f t="shared" si="3"/>
        <v>12.519925101680977</v>
      </c>
      <c r="J30" s="10">
        <v>0.4098</v>
      </c>
      <c r="K30" s="10">
        <v>9.0999999999999998E-2</v>
      </c>
    </row>
    <row r="31" spans="1:11" x14ac:dyDescent="0.25">
      <c r="A31" s="9" t="s">
        <v>9</v>
      </c>
      <c r="B31" s="9" t="s">
        <v>19</v>
      </c>
      <c r="C31" s="9" t="s">
        <v>30</v>
      </c>
      <c r="D31" s="9">
        <v>0.20760000000000001</v>
      </c>
      <c r="E31" s="9">
        <v>9.2999999999999999E-2</v>
      </c>
      <c r="F31" s="10">
        <f t="shared" si="0"/>
        <v>0.22747914190096638</v>
      </c>
      <c r="G31" s="9">
        <f t="shared" si="1"/>
        <v>24.131276267419135</v>
      </c>
      <c r="H31" s="9">
        <f t="shared" si="2"/>
        <v>0.32499070755946241</v>
      </c>
      <c r="I31" s="9">
        <f t="shared" si="3"/>
        <v>16.628321112553405</v>
      </c>
      <c r="J31" s="10">
        <v>0.31140000000000001</v>
      </c>
      <c r="K31" s="10">
        <v>9.2999999999999999E-2</v>
      </c>
    </row>
    <row r="32" spans="1:11" x14ac:dyDescent="0.25">
      <c r="A32" s="9" t="s">
        <v>9</v>
      </c>
      <c r="B32" s="9" t="s">
        <v>19</v>
      </c>
      <c r="C32" s="9" t="s">
        <v>31</v>
      </c>
      <c r="D32" s="9">
        <v>0.16300000000000001</v>
      </c>
      <c r="E32" s="9">
        <v>0.09</v>
      </c>
      <c r="F32" s="10">
        <f t="shared" si="0"/>
        <v>0.18619613314996639</v>
      </c>
      <c r="G32" s="9">
        <f t="shared" si="1"/>
        <v>28.905163176835931</v>
      </c>
      <c r="H32" s="9">
        <f t="shared" si="2"/>
        <v>0.26053838488790859</v>
      </c>
      <c r="I32" s="9">
        <f t="shared" si="3"/>
        <v>20.20856833706258</v>
      </c>
      <c r="J32" s="10">
        <v>0.2445</v>
      </c>
      <c r="K32" s="10">
        <v>0.09</v>
      </c>
    </row>
    <row r="33" spans="1:11" x14ac:dyDescent="0.25">
      <c r="A33" s="9" t="s">
        <v>9</v>
      </c>
      <c r="B33" s="9" t="s">
        <v>19</v>
      </c>
      <c r="C33" s="9" t="s">
        <v>32</v>
      </c>
      <c r="D33" s="9">
        <v>0.13150000000000001</v>
      </c>
      <c r="E33" s="9">
        <v>8.8999999999999996E-2</v>
      </c>
      <c r="F33" s="10">
        <f t="shared" si="0"/>
        <v>0.15878680675673279</v>
      </c>
      <c r="G33" s="9">
        <f t="shared" si="1"/>
        <v>34.090380868923674</v>
      </c>
      <c r="H33" s="9">
        <f t="shared" si="2"/>
        <v>0.216444658053739</v>
      </c>
      <c r="I33" s="9">
        <f t="shared" si="3"/>
        <v>24.279645841341683</v>
      </c>
      <c r="J33" s="10">
        <v>0.1973</v>
      </c>
      <c r="K33" s="10">
        <v>8.8999999999999996E-2</v>
      </c>
    </row>
    <row r="34" spans="1:11" x14ac:dyDescent="0.25">
      <c r="A34" s="9" t="s">
        <v>9</v>
      </c>
      <c r="B34" s="9" t="s">
        <v>19</v>
      </c>
      <c r="C34" s="9" t="s">
        <v>33</v>
      </c>
      <c r="D34" s="9">
        <v>0.1091</v>
      </c>
      <c r="E34" s="9">
        <v>8.8999999999999996E-2</v>
      </c>
      <c r="F34" s="10">
        <f t="shared" si="0"/>
        <v>0.14079705252596733</v>
      </c>
      <c r="G34" s="9">
        <f t="shared" si="1"/>
        <v>39.206373708601404</v>
      </c>
      <c r="H34" s="9">
        <f t="shared" si="2"/>
        <v>0.18632951993712646</v>
      </c>
      <c r="I34" s="9">
        <f t="shared" si="3"/>
        <v>28.531928642866099</v>
      </c>
      <c r="J34" s="10">
        <v>0.16370000000000001</v>
      </c>
      <c r="K34" s="10">
        <v>8.8999999999999996E-2</v>
      </c>
    </row>
    <row r="35" spans="1:11" x14ac:dyDescent="0.25">
      <c r="A35" s="9" t="s">
        <v>9</v>
      </c>
      <c r="B35" s="9" t="s">
        <v>19</v>
      </c>
      <c r="C35" s="9" t="s">
        <v>34</v>
      </c>
      <c r="D35" s="9">
        <v>8.4099999999999994E-2</v>
      </c>
      <c r="E35" s="9">
        <v>0.09</v>
      </c>
      <c r="F35" s="10">
        <f t="shared" si="0"/>
        <v>0.12317796069102621</v>
      </c>
      <c r="G35" s="9">
        <f t="shared" si="1"/>
        <v>46.940929239504747</v>
      </c>
      <c r="H35" s="9">
        <f t="shared" si="2"/>
        <v>0.15500464509168749</v>
      </c>
      <c r="I35" s="9">
        <f t="shared" si="3"/>
        <v>35.494708113879881</v>
      </c>
      <c r="J35" s="10">
        <v>0.12620000000000001</v>
      </c>
      <c r="K35" s="10">
        <v>0.09</v>
      </c>
    </row>
    <row r="36" spans="1:11" x14ac:dyDescent="0.25">
      <c r="A36" s="9" t="s">
        <v>9</v>
      </c>
      <c r="B36" s="9" t="s">
        <v>19</v>
      </c>
      <c r="C36" s="9" t="s">
        <v>117</v>
      </c>
      <c r="D36" s="9">
        <v>6.9099999999999995E-2</v>
      </c>
      <c r="E36" s="9">
        <v>8.8999999999999996E-2</v>
      </c>
      <c r="F36" s="10">
        <f t="shared" si="0"/>
        <v>0.11267568504340232</v>
      </c>
      <c r="G36" s="9">
        <f t="shared" si="1"/>
        <v>52.174074761031036</v>
      </c>
      <c r="H36" s="9">
        <f t="shared" si="2"/>
        <v>0.1366553694517709</v>
      </c>
      <c r="I36" s="9">
        <f t="shared" si="3"/>
        <v>40.637675800215355</v>
      </c>
      <c r="J36" s="10">
        <v>0.1037</v>
      </c>
      <c r="K36" s="10">
        <v>8.8999999999999996E-2</v>
      </c>
    </row>
    <row r="37" spans="1:11" x14ac:dyDescent="0.25">
      <c r="A37" s="9" t="s">
        <v>9</v>
      </c>
      <c r="B37" s="9" t="s">
        <v>35</v>
      </c>
      <c r="C37" s="9" t="s">
        <v>124</v>
      </c>
      <c r="D37" s="9">
        <v>26</v>
      </c>
      <c r="E37" s="9">
        <v>0.13100000000000001</v>
      </c>
      <c r="F37" s="10">
        <f t="shared" si="0"/>
        <v>26.000330017136321</v>
      </c>
      <c r="G37" s="9">
        <f t="shared" si="1"/>
        <v>0.28868013858850161</v>
      </c>
      <c r="H37" s="9">
        <f t="shared" si="2"/>
        <v>39.000220012199925</v>
      </c>
      <c r="I37" s="9">
        <f t="shared" si="3"/>
        <v>0.19245433045855972</v>
      </c>
      <c r="J37" s="10">
        <v>39</v>
      </c>
      <c r="K37" s="10">
        <v>0.13100000000000001</v>
      </c>
    </row>
    <row r="38" spans="1:11" x14ac:dyDescent="0.25">
      <c r="A38" s="9" t="s">
        <v>9</v>
      </c>
      <c r="B38" s="9" t="s">
        <v>35</v>
      </c>
      <c r="C38" s="9" t="s">
        <v>118</v>
      </c>
      <c r="D38" s="9">
        <v>19.5</v>
      </c>
      <c r="E38" s="9">
        <v>0.126</v>
      </c>
      <c r="F38" s="10">
        <f t="shared" si="0"/>
        <v>19.50040707267415</v>
      </c>
      <c r="G38" s="9">
        <f t="shared" si="1"/>
        <v>0.37021373074206104</v>
      </c>
      <c r="H38" s="9">
        <f t="shared" si="2"/>
        <v>29.250271383356431</v>
      </c>
      <c r="I38" s="9">
        <f t="shared" si="3"/>
        <v>0.24681106205378786</v>
      </c>
      <c r="J38" s="10">
        <v>29.25</v>
      </c>
      <c r="K38" s="10">
        <v>0.126</v>
      </c>
    </row>
    <row r="39" spans="1:11" x14ac:dyDescent="0.25">
      <c r="A39" s="9" t="s">
        <v>9</v>
      </c>
      <c r="B39" s="9" t="s">
        <v>35</v>
      </c>
      <c r="C39" s="9" t="s">
        <v>36</v>
      </c>
      <c r="D39" s="9">
        <v>13.3</v>
      </c>
      <c r="E39" s="9">
        <v>0.128</v>
      </c>
      <c r="F39" s="10">
        <f t="shared" si="0"/>
        <v>13.300615925587808</v>
      </c>
      <c r="G39" s="9">
        <f t="shared" si="1"/>
        <v>0.55140100476417497</v>
      </c>
      <c r="H39" s="9">
        <f t="shared" si="2"/>
        <v>19.950410622340584</v>
      </c>
      <c r="I39" s="9">
        <f t="shared" si="3"/>
        <v>0.36760697473627479</v>
      </c>
      <c r="J39" s="10">
        <v>19.95</v>
      </c>
      <c r="K39" s="10">
        <v>0.128</v>
      </c>
    </row>
    <row r="40" spans="1:11" x14ac:dyDescent="0.25">
      <c r="A40" s="9" t="s">
        <v>9</v>
      </c>
      <c r="B40" s="9" t="s">
        <v>35</v>
      </c>
      <c r="C40" s="9" t="s">
        <v>37</v>
      </c>
      <c r="D40" s="9">
        <v>7.98</v>
      </c>
      <c r="E40" s="9">
        <v>0.124</v>
      </c>
      <c r="F40" s="10">
        <f t="shared" si="0"/>
        <v>7.9809633503731874</v>
      </c>
      <c r="G40" s="9">
        <f t="shared" si="1"/>
        <v>0.89023871187044623</v>
      </c>
      <c r="H40" s="9">
        <f t="shared" si="2"/>
        <v>11.97064225511731</v>
      </c>
      <c r="I40" s="9">
        <f t="shared" si="3"/>
        <v>0.59351900860498819</v>
      </c>
      <c r="J40" s="10">
        <v>11.97</v>
      </c>
      <c r="K40" s="10">
        <v>0.124</v>
      </c>
    </row>
    <row r="41" spans="1:11" x14ac:dyDescent="0.25">
      <c r="A41" s="9" t="s">
        <v>9</v>
      </c>
      <c r="B41" s="9" t="s">
        <v>35</v>
      </c>
      <c r="C41" s="9" t="s">
        <v>38</v>
      </c>
      <c r="D41" s="9">
        <v>4.95</v>
      </c>
      <c r="E41" s="9">
        <v>0.121</v>
      </c>
      <c r="F41" s="10">
        <f t="shared" si="0"/>
        <v>4.9514786680344285</v>
      </c>
      <c r="G41" s="9">
        <f t="shared" si="1"/>
        <v>1.4002846392054942</v>
      </c>
      <c r="H41" s="9">
        <f t="shared" si="2"/>
        <v>7.4259858604767075</v>
      </c>
      <c r="I41" s="9">
        <f t="shared" si="3"/>
        <v>0.933626357833093</v>
      </c>
      <c r="J41" s="10">
        <v>7.4249999999999998</v>
      </c>
      <c r="K41" s="10">
        <v>0.121</v>
      </c>
    </row>
    <row r="42" spans="1:11" x14ac:dyDescent="0.25">
      <c r="A42" s="9" t="s">
        <v>9</v>
      </c>
      <c r="B42" s="9" t="s">
        <v>35</v>
      </c>
      <c r="C42" s="9" t="s">
        <v>39</v>
      </c>
      <c r="D42" s="9">
        <v>3.3</v>
      </c>
      <c r="E42" s="9">
        <v>0.11899999999999999</v>
      </c>
      <c r="F42" s="10">
        <f t="shared" si="0"/>
        <v>3.3021449089947583</v>
      </c>
      <c r="G42" s="9">
        <f t="shared" si="1"/>
        <v>2.0652256601852268</v>
      </c>
      <c r="H42" s="9">
        <f t="shared" si="2"/>
        <v>4.9514301974278103</v>
      </c>
      <c r="I42" s="9">
        <f t="shared" si="3"/>
        <v>1.3771484266549716</v>
      </c>
      <c r="J42" s="10">
        <v>4.95</v>
      </c>
      <c r="K42" s="10">
        <v>0.11899999999999999</v>
      </c>
    </row>
    <row r="43" spans="1:11" x14ac:dyDescent="0.25">
      <c r="A43" s="9" t="s">
        <v>43</v>
      </c>
      <c r="B43" s="9" t="s">
        <v>35</v>
      </c>
      <c r="C43" s="9" t="s">
        <v>40</v>
      </c>
      <c r="D43" s="9">
        <v>1.91</v>
      </c>
      <c r="E43" s="9">
        <v>0.114</v>
      </c>
      <c r="F43" s="10">
        <f t="shared" si="0"/>
        <v>1.913399069718599</v>
      </c>
      <c r="G43" s="9">
        <f t="shared" si="1"/>
        <v>3.4156959148257839</v>
      </c>
      <c r="H43" s="9">
        <f t="shared" si="2"/>
        <v>2.8672671657869628</v>
      </c>
      <c r="I43" s="9">
        <f t="shared" si="3"/>
        <v>2.2786299944058124</v>
      </c>
      <c r="J43" s="10">
        <v>2.8650000000000002</v>
      </c>
      <c r="K43" s="10">
        <v>0.114</v>
      </c>
    </row>
    <row r="44" spans="1:11" x14ac:dyDescent="0.25">
      <c r="A44" s="9" t="s">
        <v>43</v>
      </c>
      <c r="B44" s="9" t="s">
        <v>35</v>
      </c>
      <c r="C44" s="9" t="s">
        <v>41</v>
      </c>
      <c r="D44" s="9">
        <v>1.21</v>
      </c>
      <c r="E44" s="9">
        <v>0.111</v>
      </c>
      <c r="F44" s="10">
        <f t="shared" si="0"/>
        <v>1.2150806557591147</v>
      </c>
      <c r="G44" s="9">
        <f t="shared" si="1"/>
        <v>5.2413891516449294</v>
      </c>
      <c r="H44" s="9">
        <f t="shared" si="2"/>
        <v>1.818391047052311</v>
      </c>
      <c r="I44" s="9">
        <f t="shared" si="3"/>
        <v>3.4996806043605839</v>
      </c>
      <c r="J44" s="10">
        <v>1.8149999999999999</v>
      </c>
      <c r="K44" s="10">
        <v>0.111</v>
      </c>
    </row>
    <row r="45" spans="1:11" x14ac:dyDescent="0.25">
      <c r="A45" s="9" t="s">
        <v>43</v>
      </c>
      <c r="B45" s="9" t="s">
        <v>35</v>
      </c>
      <c r="C45" s="9" t="s">
        <v>42</v>
      </c>
      <c r="D45" s="9">
        <v>0.78029999999999999</v>
      </c>
      <c r="E45" s="9">
        <v>0.107</v>
      </c>
      <c r="F45" s="10">
        <f t="shared" si="0"/>
        <v>0.78760211401443048</v>
      </c>
      <c r="G45" s="9">
        <f t="shared" si="1"/>
        <v>7.8080864060842901</v>
      </c>
      <c r="H45" s="9">
        <f t="shared" si="2"/>
        <v>1.175380470315889</v>
      </c>
      <c r="I45" s="9">
        <f t="shared" si="3"/>
        <v>5.2231154115450567</v>
      </c>
      <c r="J45" s="10">
        <v>1.1705000000000001</v>
      </c>
      <c r="K45" s="10">
        <v>0.107</v>
      </c>
    </row>
    <row r="46" spans="1:11" x14ac:dyDescent="0.25">
      <c r="A46" s="9"/>
      <c r="B46" s="9"/>
      <c r="C46" s="9" t="s">
        <v>108</v>
      </c>
      <c r="D46" s="9"/>
      <c r="E46" s="9"/>
      <c r="F46" s="10">
        <f t="shared" si="0"/>
        <v>0</v>
      </c>
      <c r="G46" s="9" t="e">
        <f t="shared" si="1"/>
        <v>#DIV/0!</v>
      </c>
      <c r="H46" s="9">
        <f t="shared" si="2"/>
        <v>0</v>
      </c>
      <c r="I46" s="9" t="e">
        <f t="shared" si="3"/>
        <v>#DIV/0!</v>
      </c>
      <c r="J46" s="10"/>
      <c r="K46" s="10"/>
    </row>
    <row r="47" spans="1:11" x14ac:dyDescent="0.25">
      <c r="A47" s="9"/>
      <c r="B47" s="9"/>
      <c r="C47" s="9" t="s">
        <v>108</v>
      </c>
      <c r="D47" s="9"/>
      <c r="E47" s="9"/>
      <c r="F47" s="10">
        <f t="shared" si="0"/>
        <v>0</v>
      </c>
      <c r="G47" s="9" t="e">
        <f t="shared" si="1"/>
        <v>#DIV/0!</v>
      </c>
      <c r="H47" s="9">
        <f t="shared" si="2"/>
        <v>0</v>
      </c>
      <c r="I47" s="9" t="e">
        <f t="shared" si="3"/>
        <v>#DIV/0!</v>
      </c>
      <c r="J47" s="10"/>
      <c r="K47" s="10"/>
    </row>
    <row r="48" spans="1:11" x14ac:dyDescent="0.25">
      <c r="A48" s="9"/>
      <c r="B48" s="9"/>
      <c r="C48" s="9" t="s">
        <v>108</v>
      </c>
      <c r="D48" s="9"/>
      <c r="E48" s="9"/>
      <c r="F48" s="10">
        <f t="shared" si="0"/>
        <v>0</v>
      </c>
      <c r="G48" s="9" t="e">
        <f t="shared" si="1"/>
        <v>#DIV/0!</v>
      </c>
      <c r="H48" s="9">
        <f t="shared" si="2"/>
        <v>0</v>
      </c>
      <c r="I48" s="9" t="e">
        <f t="shared" si="3"/>
        <v>#DIV/0!</v>
      </c>
      <c r="J48" s="10"/>
      <c r="K48" s="10"/>
    </row>
    <row r="49" spans="1:11" x14ac:dyDescent="0.25">
      <c r="A49" s="9"/>
      <c r="B49" s="9"/>
      <c r="C49" s="9" t="s">
        <v>108</v>
      </c>
      <c r="D49" s="9"/>
      <c r="E49" s="9"/>
      <c r="F49" s="10">
        <f t="shared" si="0"/>
        <v>0</v>
      </c>
      <c r="G49" s="9" t="e">
        <f t="shared" si="1"/>
        <v>#DIV/0!</v>
      </c>
      <c r="H49" s="9">
        <f t="shared" si="2"/>
        <v>0</v>
      </c>
      <c r="I49" s="9" t="e">
        <f t="shared" si="3"/>
        <v>#DIV/0!</v>
      </c>
      <c r="J49" s="10"/>
      <c r="K49" s="10"/>
    </row>
    <row r="50" spans="1:11" x14ac:dyDescent="0.25">
      <c r="A50" s="9"/>
      <c r="B50" s="9"/>
      <c r="C50" s="9" t="s">
        <v>108</v>
      </c>
      <c r="D50" s="9"/>
      <c r="E50" s="9"/>
      <c r="F50" s="10">
        <f t="shared" si="0"/>
        <v>0</v>
      </c>
      <c r="G50" s="9" t="e">
        <f t="shared" si="1"/>
        <v>#DIV/0!</v>
      </c>
      <c r="H50" s="9">
        <f t="shared" si="2"/>
        <v>0</v>
      </c>
      <c r="I50" s="9" t="e">
        <f t="shared" si="3"/>
        <v>#DIV/0!</v>
      </c>
      <c r="J50" s="10"/>
      <c r="K50" s="10"/>
    </row>
    <row r="51" spans="1:11" x14ac:dyDescent="0.25">
      <c r="A51" s="9"/>
      <c r="B51" s="9"/>
      <c r="C51" s="9" t="s">
        <v>108</v>
      </c>
      <c r="D51" s="9"/>
      <c r="E51" s="9"/>
      <c r="F51" s="10">
        <f t="shared" si="0"/>
        <v>0</v>
      </c>
      <c r="G51" s="9" t="e">
        <f t="shared" si="1"/>
        <v>#DIV/0!</v>
      </c>
      <c r="H51" s="9">
        <f t="shared" si="2"/>
        <v>0</v>
      </c>
      <c r="I51" s="9" t="e">
        <f t="shared" si="3"/>
        <v>#DIV/0!</v>
      </c>
      <c r="J51" s="10"/>
      <c r="K51" s="10"/>
    </row>
    <row r="52" spans="1:11" x14ac:dyDescent="0.25">
      <c r="A52" s="9"/>
      <c r="B52" s="9"/>
      <c r="C52" s="9" t="s">
        <v>108</v>
      </c>
      <c r="D52" s="9"/>
      <c r="E52" s="9"/>
      <c r="F52" s="10">
        <f t="shared" si="0"/>
        <v>0</v>
      </c>
      <c r="G52" s="9" t="e">
        <f t="shared" si="1"/>
        <v>#DIV/0!</v>
      </c>
      <c r="H52" s="9">
        <f t="shared" si="2"/>
        <v>0</v>
      </c>
      <c r="I52" s="9" t="e">
        <f t="shared" si="3"/>
        <v>#DIV/0!</v>
      </c>
      <c r="J52" s="10"/>
      <c r="K52" s="10"/>
    </row>
    <row r="53" spans="1:11" x14ac:dyDescent="0.25">
      <c r="A53" s="36"/>
      <c r="B53" s="36"/>
      <c r="C53" s="36" t="s">
        <v>108</v>
      </c>
      <c r="D53" s="36"/>
      <c r="E53" s="36"/>
      <c r="F53" s="37">
        <f t="shared" si="0"/>
        <v>0</v>
      </c>
      <c r="G53" s="36" t="e">
        <f t="shared" si="1"/>
        <v>#DIV/0!</v>
      </c>
      <c r="H53" s="36">
        <f t="shared" si="2"/>
        <v>0</v>
      </c>
      <c r="I53" s="36" t="e">
        <f t="shared" si="3"/>
        <v>#DIV/0!</v>
      </c>
      <c r="J53" s="37"/>
      <c r="K53" s="37"/>
    </row>
    <row r="54" spans="1:11" x14ac:dyDescent="0.25">
      <c r="A54" s="41"/>
      <c r="B54" s="41"/>
      <c r="C54" s="38"/>
      <c r="D54" s="38"/>
      <c r="E54" s="39"/>
      <c r="F54" s="40"/>
      <c r="G54" s="39"/>
      <c r="H54" s="38"/>
      <c r="I54" s="38"/>
      <c r="J54" s="11"/>
      <c r="K54" s="40"/>
    </row>
    <row r="55" spans="1:11" ht="15" customHeight="1" x14ac:dyDescent="0.25">
      <c r="A55" s="826" t="s">
        <v>44</v>
      </c>
      <c r="B55" s="826"/>
      <c r="C55" s="826"/>
      <c r="D55" s="826"/>
      <c r="E55" s="826"/>
      <c r="F55" s="826"/>
      <c r="G55" s="826"/>
      <c r="H55" s="826"/>
      <c r="I55" s="826"/>
      <c r="J55" s="826"/>
      <c r="K55" s="826"/>
    </row>
    <row r="56" spans="1:11" x14ac:dyDescent="0.25">
      <c r="A56" s="826"/>
      <c r="B56" s="826"/>
      <c r="C56" s="826"/>
      <c r="D56" s="826"/>
      <c r="E56" s="826"/>
      <c r="F56" s="826"/>
      <c r="G56" s="826"/>
      <c r="H56" s="826"/>
      <c r="I56" s="826"/>
      <c r="J56" s="826"/>
      <c r="K56" s="826"/>
    </row>
    <row r="57" spans="1:11" ht="15" customHeight="1" x14ac:dyDescent="0.25">
      <c r="A57" s="826" t="s">
        <v>119</v>
      </c>
      <c r="B57" s="826"/>
      <c r="C57" s="826"/>
      <c r="D57" s="826"/>
      <c r="E57" s="826"/>
      <c r="F57" s="826"/>
      <c r="G57" s="826"/>
      <c r="H57" s="826"/>
      <c r="I57" s="826"/>
      <c r="J57" s="826"/>
      <c r="K57" s="826"/>
    </row>
    <row r="58" spans="1:11" x14ac:dyDescent="0.25">
      <c r="A58" s="826"/>
      <c r="B58" s="826"/>
      <c r="C58" s="826"/>
      <c r="D58" s="826"/>
      <c r="E58" s="826"/>
      <c r="F58" s="826"/>
      <c r="G58" s="826"/>
      <c r="H58" s="826"/>
      <c r="I58" s="826"/>
      <c r="J58" s="826"/>
      <c r="K58" s="826"/>
    </row>
    <row r="59" spans="1:11" x14ac:dyDescent="0.25">
      <c r="A59" s="41"/>
      <c r="B59" s="41"/>
      <c r="C59" s="38"/>
      <c r="D59" s="38"/>
      <c r="E59" s="39"/>
      <c r="F59" s="40"/>
      <c r="G59" s="39"/>
      <c r="H59" s="38"/>
      <c r="I59" s="38"/>
      <c r="J59" s="11"/>
      <c r="K59" s="40"/>
    </row>
    <row r="60" spans="1:11" x14ac:dyDescent="0.25">
      <c r="A60" s="41"/>
      <c r="B60" s="41"/>
      <c r="C60" s="38"/>
      <c r="D60" s="38"/>
      <c r="E60" s="39"/>
      <c r="F60" s="40"/>
      <c r="G60" s="39"/>
      <c r="H60" s="38"/>
      <c r="I60" s="38"/>
      <c r="J60" s="11"/>
      <c r="K60" s="40"/>
    </row>
    <row r="61" spans="1:11" x14ac:dyDescent="0.25">
      <c r="A61" s="41"/>
      <c r="B61" s="41"/>
      <c r="C61" s="38"/>
      <c r="D61" s="38"/>
      <c r="E61" s="39"/>
      <c r="F61" s="40"/>
      <c r="G61" s="39"/>
      <c r="H61" s="38"/>
      <c r="I61" s="38"/>
      <c r="J61" s="11"/>
      <c r="K61" s="40"/>
    </row>
    <row r="62" spans="1:11" x14ac:dyDescent="0.25">
      <c r="A62" s="41"/>
      <c r="B62" s="41"/>
      <c r="C62" s="38"/>
      <c r="D62" s="38"/>
      <c r="E62" s="39"/>
      <c r="F62" s="40"/>
      <c r="G62" s="39"/>
      <c r="H62" s="38"/>
      <c r="I62" s="38"/>
      <c r="J62" s="11"/>
      <c r="K62" s="40"/>
    </row>
    <row r="63" spans="1:11" x14ac:dyDescent="0.25">
      <c r="A63" s="41"/>
      <c r="B63" s="41"/>
      <c r="C63" s="38"/>
      <c r="D63" s="38"/>
      <c r="E63" s="39"/>
      <c r="F63" s="40"/>
      <c r="G63" s="39"/>
      <c r="H63" s="38"/>
      <c r="I63" s="38"/>
      <c r="J63" s="11"/>
      <c r="K63" s="40"/>
    </row>
    <row r="64" spans="1:11" x14ac:dyDescent="0.25">
      <c r="A64" s="41"/>
      <c r="B64" s="41"/>
      <c r="C64" s="38"/>
      <c r="D64" s="38"/>
      <c r="E64" s="39"/>
      <c r="F64" s="40"/>
      <c r="G64" s="39"/>
      <c r="H64" s="38"/>
      <c r="I64" s="38"/>
      <c r="J64" s="11"/>
      <c r="K64" s="40"/>
    </row>
    <row r="65" spans="1:11" x14ac:dyDescent="0.25">
      <c r="A65" s="41"/>
      <c r="B65" s="41"/>
      <c r="C65" s="38"/>
      <c r="D65" s="38"/>
      <c r="E65" s="39"/>
      <c r="F65" s="40"/>
      <c r="G65" s="39"/>
      <c r="H65" s="38"/>
      <c r="I65" s="38"/>
      <c r="J65" s="11"/>
      <c r="K65" s="40"/>
    </row>
    <row r="66" spans="1:11" x14ac:dyDescent="0.25">
      <c r="A66" s="41"/>
      <c r="B66" s="41"/>
      <c r="C66" s="38"/>
      <c r="D66" s="38"/>
      <c r="E66" s="39"/>
      <c r="F66" s="40"/>
      <c r="G66" s="39"/>
      <c r="H66" s="38"/>
      <c r="I66" s="38"/>
      <c r="J66" s="11"/>
      <c r="K66" s="40"/>
    </row>
    <row r="67" spans="1:11" x14ac:dyDescent="0.25">
      <c r="A67" s="41"/>
      <c r="B67" s="41"/>
      <c r="C67" s="38"/>
      <c r="D67" s="38"/>
      <c r="E67" s="39"/>
      <c r="F67" s="40"/>
      <c r="G67" s="39"/>
      <c r="H67" s="38"/>
      <c r="I67" s="38"/>
      <c r="J67" s="11"/>
      <c r="K67" s="40"/>
    </row>
    <row r="68" spans="1:11" x14ac:dyDescent="0.25">
      <c r="A68" s="41"/>
      <c r="B68" s="41"/>
      <c r="C68" s="38"/>
      <c r="D68" s="38"/>
      <c r="E68" s="39"/>
      <c r="F68" s="40"/>
      <c r="G68" s="39"/>
      <c r="H68" s="38"/>
      <c r="I68" s="38"/>
      <c r="J68" s="11"/>
      <c r="K68" s="40"/>
    </row>
    <row r="69" spans="1:11" x14ac:dyDescent="0.25">
      <c r="A69" s="41"/>
      <c r="B69" s="41"/>
      <c r="C69" s="38"/>
      <c r="D69" s="38"/>
      <c r="E69" s="39"/>
      <c r="F69" s="40"/>
      <c r="G69" s="39"/>
      <c r="H69" s="38"/>
      <c r="I69" s="38"/>
      <c r="J69" s="11"/>
      <c r="K69" s="40"/>
    </row>
    <row r="70" spans="1:11" x14ac:dyDescent="0.25">
      <c r="A70" s="41"/>
      <c r="B70" s="41"/>
      <c r="C70" s="38"/>
      <c r="D70" s="38"/>
      <c r="E70" s="39"/>
      <c r="F70" s="40"/>
      <c r="G70" s="39"/>
      <c r="H70" s="38"/>
      <c r="I70" s="38"/>
      <c r="J70" s="11"/>
      <c r="K70" s="40"/>
    </row>
    <row r="71" spans="1:11" x14ac:dyDescent="0.25">
      <c r="A71" s="41"/>
      <c r="B71" s="41"/>
      <c r="C71" s="38"/>
      <c r="D71" s="38"/>
      <c r="E71" s="39"/>
      <c r="F71" s="40"/>
      <c r="G71" s="39"/>
      <c r="H71" s="38"/>
      <c r="I71" s="38"/>
      <c r="J71" s="11"/>
      <c r="K71" s="40"/>
    </row>
    <row r="72" spans="1:11" x14ac:dyDescent="0.25">
      <c r="A72" s="41"/>
      <c r="B72" s="41"/>
      <c r="C72" s="38"/>
      <c r="D72" s="38"/>
      <c r="E72" s="39"/>
      <c r="F72" s="40"/>
      <c r="G72" s="39"/>
      <c r="H72" s="38"/>
      <c r="I72" s="38"/>
      <c r="J72" s="11"/>
      <c r="K72" s="40"/>
    </row>
    <row r="73" spans="1:11" x14ac:dyDescent="0.25">
      <c r="A73" s="41"/>
      <c r="B73" s="41"/>
      <c r="C73" s="38"/>
      <c r="D73" s="38"/>
      <c r="E73" s="39"/>
      <c r="F73" s="40"/>
      <c r="G73" s="39"/>
      <c r="H73" s="38"/>
      <c r="I73" s="38"/>
      <c r="J73" s="11"/>
      <c r="K73" s="40"/>
    </row>
    <row r="74" spans="1:11" x14ac:dyDescent="0.25">
      <c r="A74" s="41"/>
      <c r="B74" s="41"/>
      <c r="C74" s="38"/>
      <c r="D74" s="38"/>
      <c r="E74" s="39"/>
      <c r="F74" s="40"/>
      <c r="G74" s="39"/>
      <c r="H74" s="38"/>
      <c r="I74" s="38"/>
      <c r="J74" s="11"/>
      <c r="K74" s="40"/>
    </row>
    <row r="75" spans="1:11" x14ac:dyDescent="0.25">
      <c r="A75" s="41"/>
      <c r="B75" s="41"/>
      <c r="C75" s="38"/>
      <c r="D75" s="38"/>
      <c r="E75" s="39"/>
      <c r="F75" s="40"/>
      <c r="G75" s="39"/>
      <c r="H75" s="38"/>
      <c r="I75" s="38"/>
      <c r="J75" s="11"/>
      <c r="K75" s="40"/>
    </row>
    <row r="76" spans="1:11" x14ac:dyDescent="0.25">
      <c r="A76" s="41"/>
      <c r="B76" s="41"/>
      <c r="C76" s="38"/>
      <c r="D76" s="38"/>
      <c r="E76" s="39"/>
      <c r="F76" s="40"/>
      <c r="G76" s="39"/>
      <c r="H76" s="38"/>
      <c r="I76" s="38"/>
      <c r="J76" s="11"/>
      <c r="K76" s="40"/>
    </row>
    <row r="77" spans="1:11" x14ac:dyDescent="0.25">
      <c r="A77" s="41"/>
      <c r="B77" s="41"/>
      <c r="C77" s="38"/>
      <c r="D77" s="38"/>
      <c r="E77" s="39"/>
      <c r="F77" s="40"/>
      <c r="G77" s="39"/>
      <c r="H77" s="38"/>
      <c r="I77" s="38"/>
      <c r="J77" s="11"/>
      <c r="K77" s="40"/>
    </row>
    <row r="78" spans="1:11" x14ac:dyDescent="0.25">
      <c r="A78" s="41"/>
      <c r="B78" s="41"/>
      <c r="C78" s="38"/>
      <c r="D78" s="38"/>
      <c r="E78" s="39"/>
      <c r="F78" s="40"/>
      <c r="G78" s="39"/>
      <c r="H78" s="38"/>
      <c r="I78" s="38"/>
      <c r="J78" s="11"/>
      <c r="K78" s="40"/>
    </row>
    <row r="79" spans="1:11" x14ac:dyDescent="0.25">
      <c r="A79" s="41"/>
      <c r="B79" s="41"/>
      <c r="C79" s="38"/>
      <c r="D79" s="38"/>
      <c r="E79" s="39"/>
      <c r="F79" s="40"/>
      <c r="G79" s="39"/>
      <c r="H79" s="38"/>
      <c r="I79" s="38"/>
      <c r="J79" s="11"/>
      <c r="K79" s="40"/>
    </row>
    <row r="80" spans="1:1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</row>
    <row r="81" spans="1:1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</row>
    <row r="82" spans="1:1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</row>
    <row r="83" spans="1:1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</row>
  </sheetData>
  <mergeCells count="5">
    <mergeCell ref="A1:K2"/>
    <mergeCell ref="D3:G3"/>
    <mergeCell ref="H3:K3"/>
    <mergeCell ref="A55:K56"/>
    <mergeCell ref="A57:K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1"/>
  <dimension ref="A1:AP52"/>
  <sheetViews>
    <sheetView topLeftCell="N1" zoomScale="70" zoomScaleNormal="70" workbookViewId="0">
      <selection activeCell="W30" sqref="W30"/>
    </sheetView>
  </sheetViews>
  <sheetFormatPr defaultRowHeight="15" x14ac:dyDescent="0.25"/>
  <cols>
    <col min="1" max="2" width="4.28515625" style="45" customWidth="1"/>
    <col min="3" max="3" width="12.7109375" style="522" customWidth="1"/>
    <col min="4" max="4" width="5.5703125" style="45" customWidth="1"/>
    <col min="5" max="6" width="3.140625" style="522" customWidth="1"/>
    <col min="7" max="7" width="2.28515625" style="522" customWidth="1"/>
    <col min="8" max="8" width="4.140625" style="522" customWidth="1"/>
    <col min="9" max="9" width="3" style="45" customWidth="1"/>
    <col min="10" max="10" width="9.85546875" style="45" customWidth="1"/>
    <col min="11" max="11" width="3.140625" style="45" customWidth="1"/>
    <col min="12" max="12" width="7.85546875" style="45" customWidth="1"/>
    <col min="13" max="13" width="4.42578125" style="45" customWidth="1"/>
    <col min="14" max="14" width="9.7109375" style="45" customWidth="1"/>
    <col min="15" max="15" width="2.28515625" style="45" customWidth="1"/>
    <col min="16" max="16" width="7.85546875" style="45" customWidth="1"/>
    <col min="17" max="17" width="3.7109375" style="45" customWidth="1"/>
    <col min="18" max="18" width="9.85546875" style="435" customWidth="1"/>
    <col min="19" max="19" width="3.7109375" style="435" customWidth="1"/>
    <col min="20" max="20" width="9.42578125" style="435" customWidth="1"/>
    <col min="21" max="21" width="3.28515625" style="523" customWidth="1"/>
    <col min="22" max="22" width="11.28515625" style="523" customWidth="1"/>
    <col min="23" max="23" width="10.5703125" style="45" customWidth="1"/>
    <col min="24" max="24" width="21.42578125" style="45" customWidth="1"/>
    <col min="25" max="25" width="13.5703125" style="45" customWidth="1"/>
    <col min="26" max="27" width="9.140625" style="45" customWidth="1"/>
    <col min="28" max="28" width="12.28515625" style="45" customWidth="1"/>
    <col min="29" max="29" width="9.140625" style="381" customWidth="1"/>
    <col min="30" max="30" width="11.85546875" style="381" customWidth="1"/>
    <col min="31" max="34" width="9.140625" style="45" customWidth="1"/>
    <col min="35" max="35" width="14.85546875" style="45" customWidth="1"/>
    <col min="36" max="37" width="9.140625" style="45" customWidth="1"/>
    <col min="38" max="16384" width="9.140625" style="45"/>
  </cols>
  <sheetData>
    <row r="1" spans="1:42" ht="15.75" thickBot="1" x14ac:dyDescent="0.3"/>
    <row r="2" spans="1:42" hidden="1" x14ac:dyDescent="0.25">
      <c r="X2" s="45" t="s">
        <v>156</v>
      </c>
      <c r="Y2" s="143" t="s">
        <v>140</v>
      </c>
      <c r="Z2" s="45" t="s">
        <v>139</v>
      </c>
      <c r="AA2" s="45" t="s">
        <v>216</v>
      </c>
      <c r="AB2" s="143" t="s">
        <v>140</v>
      </c>
      <c r="AC2" s="155" t="s">
        <v>240</v>
      </c>
      <c r="AD2" s="155" t="s">
        <v>201</v>
      </c>
      <c r="AE2" s="155" t="s">
        <v>200</v>
      </c>
      <c r="AF2" s="224" t="s">
        <v>154</v>
      </c>
      <c r="AG2" s="224" t="s">
        <v>155</v>
      </c>
      <c r="AH2" s="224"/>
      <c r="AI2" s="224"/>
      <c r="AL2" s="155" t="s">
        <v>200</v>
      </c>
      <c r="AM2" s="224" t="s">
        <v>154</v>
      </c>
      <c r="AN2" s="224" t="s">
        <v>155</v>
      </c>
    </row>
    <row r="3" spans="1:42" hidden="1" x14ac:dyDescent="0.25">
      <c r="W3" s="185" t="str">
        <f>IF(KabelData!B3="","",KabelData!B3)</f>
        <v>-W1</v>
      </c>
      <c r="X3" s="45">
        <f>Kabeludskrif!K5</f>
        <v>6.0000000000000001E-3</v>
      </c>
      <c r="Y3" s="45">
        <f>Kabeludskrif!M5</f>
        <v>12.215719134130845</v>
      </c>
      <c r="Z3" s="45">
        <f>IF(KabelData!B6="","",IF(KabelData!B6&gt;0,KabelData!B6))</f>
        <v>50</v>
      </c>
      <c r="AA3" s="45">
        <f>IF(KabelData!B9="","",IF(KabelData!B9&gt;0,KabelData!B9))</f>
        <v>121</v>
      </c>
      <c r="AB3" s="45">
        <f>IF(KabelData!D9="","",IF(KabelData!D9&gt;0,KabelData!D9))</f>
        <v>90</v>
      </c>
      <c r="AC3" s="436">
        <f t="shared" ref="AC3:AC12" si="0">IF(J21="","",J21*N21)</f>
        <v>0.72599999999999998</v>
      </c>
      <c r="AD3" s="441">
        <f t="shared" ref="AD3:AD12" si="1">IF(L21="","",P21-L21)</f>
        <v>-77.78428086586915</v>
      </c>
      <c r="AE3" s="436">
        <f>IF(AD3="","",RADIANS(180+AD3))</f>
        <v>1.7840008461843508</v>
      </c>
      <c r="AF3" s="436">
        <f>IF(AE3="","",AC3*COS(AE3))</f>
        <v>-0.15361647674951409</v>
      </c>
      <c r="AG3" s="436">
        <f>IF(AE3="","",AC3*SIN(AE3))</f>
        <v>0.70956182117632705</v>
      </c>
      <c r="AH3" s="531">
        <f>IF(AC3="","",SQRT(SUM(AF3)^2+SUM(AG3)^2))</f>
        <v>0.72599999999999987</v>
      </c>
      <c r="AI3" s="436"/>
      <c r="AJ3" s="436">
        <v>230</v>
      </c>
      <c r="AK3" s="436">
        <v>0</v>
      </c>
      <c r="AL3" s="436">
        <f>RADIANS(180+AK3)</f>
        <v>3.1415926535897931</v>
      </c>
      <c r="AM3" s="436">
        <f>AJ3*COS(AL3)</f>
        <v>-230</v>
      </c>
      <c r="AN3" s="436">
        <f>AJ3*SIN(AL3)</f>
        <v>2.817841446289826E-14</v>
      </c>
      <c r="AO3" s="436">
        <f t="shared" ref="AO3:AO12" si="2">-1*(SQRT(SUM(AF3+AM3)^2+SUM(AG3+AN3)^2)-230)</f>
        <v>-0.15471026095636375</v>
      </c>
      <c r="AP3" s="436"/>
    </row>
    <row r="4" spans="1:42" hidden="1" x14ac:dyDescent="0.25">
      <c r="W4" s="185" t="str">
        <f>IF(KabelData!F3="","",KabelData!F3)</f>
        <v>-W2</v>
      </c>
      <c r="X4" s="45">
        <f>Kabeludskrif!K9</f>
        <v>2.3099999999999999E-2</v>
      </c>
      <c r="Y4" s="45">
        <f>Kabeludskrif!M9</f>
        <v>4.2272186653265917</v>
      </c>
      <c r="Z4" s="45">
        <f>IF(KabelData!F6="","",IF(KabelData!F6&gt;0,KabelData!F6))</f>
        <v>16</v>
      </c>
      <c r="AA4" s="45">
        <f>IF(KabelData!F9="","",IF(KabelData!F9&gt;0,KabelData!F9))</f>
        <v>50</v>
      </c>
      <c r="AB4" s="45">
        <f>IF(KabelData!H9="","",IF(KabelData!H9&gt;0,KabelData!H9))</f>
        <v>90</v>
      </c>
      <c r="AC4" s="436">
        <f t="shared" si="0"/>
        <v>1.155</v>
      </c>
      <c r="AD4" s="441">
        <f t="shared" si="1"/>
        <v>-85.772781334673411</v>
      </c>
      <c r="AE4" s="436">
        <f t="shared" ref="AE4" si="3">IF(AD4="","",RADIANS(180+AD4))</f>
        <v>1.6445752107066058</v>
      </c>
      <c r="AF4" s="436">
        <f t="shared" ref="AF4" si="4">IF(AE4="","",AC4*COS(AE4))</f>
        <v>-8.5137323504017967E-2</v>
      </c>
      <c r="AG4" s="436">
        <f t="shared" ref="AG4" si="5">IF(AE4="","",AC4*SIN(AE4))</f>
        <v>1.1518579062308736</v>
      </c>
      <c r="AH4" s="436">
        <f>IF(AC4="","",SQRT(SUM(AF4)^2+SUM(AG4)^2))</f>
        <v>1.1549999999999998</v>
      </c>
      <c r="AI4" s="436"/>
      <c r="AJ4" s="436">
        <v>230</v>
      </c>
      <c r="AK4" s="436">
        <v>0</v>
      </c>
      <c r="AL4" s="436">
        <f t="shared" ref="AL4" si="6">RADIANS(180+AK4)</f>
        <v>3.1415926535897931</v>
      </c>
      <c r="AM4" s="436">
        <f t="shared" ref="AM4" si="7">AJ4*COS(AL4)</f>
        <v>-230</v>
      </c>
      <c r="AN4" s="436">
        <f t="shared" ref="AN4" si="8">AJ4*SIN(AL4)</f>
        <v>2.817841446289826E-14</v>
      </c>
      <c r="AO4" s="436">
        <f t="shared" si="2"/>
        <v>-8.8020535211370543E-2</v>
      </c>
      <c r="AP4" s="436">
        <f t="shared" ref="AP4:AP10" si="9">-1*(SQRT(SUM(AG4+AN4)^2+SUM(AJ4+AO4)^2)-230)</f>
        <v>8.5135152044728102E-2</v>
      </c>
    </row>
    <row r="5" spans="1:42" hidden="1" x14ac:dyDescent="0.25">
      <c r="W5" s="185" t="str">
        <f>IF(KabelData!J3="","",KabelData!J3)</f>
        <v>-W3</v>
      </c>
      <c r="X5" s="45">
        <f>Kabeludskrif!K13</f>
        <v>6.1600000000000002E-2</v>
      </c>
      <c r="Y5" s="45">
        <f>Kabeludskrif!M13</f>
        <v>1.803848784768499</v>
      </c>
      <c r="Z5" s="45">
        <f>IF(KabelData!J6="","",IF(KabelData!J6&gt;0,KabelData!J6))</f>
        <v>6</v>
      </c>
      <c r="AA5" s="45">
        <f>IF(KabelData!J9="","",IF(KabelData!J9&gt;0,KabelData!J9))</f>
        <v>26</v>
      </c>
      <c r="AB5" s="45">
        <f>IF(KabelData!L9="","",IF(KabelData!L9&gt;0,KabelData!L9))</f>
        <v>90</v>
      </c>
      <c r="AC5" s="436">
        <f t="shared" si="0"/>
        <v>1.6016000000000001</v>
      </c>
      <c r="AD5" s="441">
        <f t="shared" si="1"/>
        <v>-88.196151215231495</v>
      </c>
      <c r="AE5" s="436">
        <f t="shared" ref="AE5" si="10">IF(AD5="","",RADIANS(180+AD5))</f>
        <v>1.6022794272972056</v>
      </c>
      <c r="AF5" s="436">
        <f t="shared" ref="AF5" si="11">IF(AE5="","",AC5*COS(AE5))</f>
        <v>-5.0415004363441186E-2</v>
      </c>
      <c r="AG5" s="436">
        <f t="shared" ref="AG5" si="12">IF(AE5="","",AC5*SIN(AE5))</f>
        <v>1.6008063241176413</v>
      </c>
      <c r="AH5" s="531">
        <f t="shared" ref="AH5:AH16" si="13">IF(AC5="","",SQRT(SUM(AF5)^2+SUM(AG5)^2))</f>
        <v>1.6016000000000001</v>
      </c>
      <c r="AI5" s="436"/>
      <c r="AJ5" s="436">
        <v>230</v>
      </c>
      <c r="AK5" s="436">
        <v>0</v>
      </c>
      <c r="AL5" s="436">
        <f t="shared" ref="AL5" si="14">RADIANS(180+AK5)</f>
        <v>3.1415926535897931</v>
      </c>
      <c r="AM5" s="436">
        <f t="shared" ref="AM5" si="15">AJ5*COS(AL5)</f>
        <v>-230</v>
      </c>
      <c r="AN5" s="436">
        <f t="shared" ref="AN5" si="16">AJ5*SIN(AL5)</f>
        <v>2.817841446289826E-14</v>
      </c>
      <c r="AO5" s="436">
        <f t="shared" si="2"/>
        <v>-5.5984544126090441E-2</v>
      </c>
      <c r="AP5" s="436">
        <f t="shared" si="9"/>
        <v>5.0412427291973927E-2</v>
      </c>
    </row>
    <row r="6" spans="1:42" hidden="1" x14ac:dyDescent="0.25">
      <c r="W6" s="185" t="str">
        <f>IF(KabelData!N3="","",KabelData!N3)</f>
        <v>-W4</v>
      </c>
      <c r="X6" s="45">
        <f>Kabeludskrif!K17</f>
        <v>0.21779999999999999</v>
      </c>
      <c r="Y6" s="45">
        <f>Kabeludskrif!M17</f>
        <v>0.48771262431497786</v>
      </c>
      <c r="Z6" s="45">
        <f>IF(KabelData!N6="","",IF(KabelData!N6&gt;0,KabelData!N6))</f>
        <v>1.5</v>
      </c>
      <c r="AA6" s="45">
        <f>IF(KabelData!N9="","",IF(KabelData!N9&gt;0,KabelData!N9))</f>
        <v>10</v>
      </c>
      <c r="AB6" s="45">
        <f>IF(KabelData!P9="","",IF(KabelData!P9&gt;0,KabelData!P9))</f>
        <v>90</v>
      </c>
      <c r="AC6" s="436">
        <f t="shared" si="0"/>
        <v>2.1779999999999999</v>
      </c>
      <c r="AD6" s="441">
        <f t="shared" si="1"/>
        <v>-89.51228737568502</v>
      </c>
      <c r="AE6" s="436">
        <f t="shared" ref="AE6" si="17">IF(AD6="","",RADIANS(180+AD6))</f>
        <v>1.5793085178927351</v>
      </c>
      <c r="AF6" s="436">
        <f t="shared" ref="AF6" si="18">IF(AE6="","",AC6*COS(AE6))</f>
        <v>-1.8539328323953264E-2</v>
      </c>
      <c r="AG6" s="436">
        <f t="shared" ref="AG6" si="19">IF(AE6="","",AC6*SIN(AE6))</f>
        <v>2.1779210943707983</v>
      </c>
      <c r="AH6" s="531">
        <f t="shared" si="13"/>
        <v>2.1779999999999999</v>
      </c>
      <c r="AI6" s="436"/>
      <c r="AJ6" s="436">
        <v>230</v>
      </c>
      <c r="AK6" s="436">
        <v>0</v>
      </c>
      <c r="AL6" s="436">
        <f t="shared" ref="AL6" si="20">RADIANS(180+AK6)</f>
        <v>3.1415926535897931</v>
      </c>
      <c r="AM6" s="436">
        <f t="shared" ref="AM6" si="21">AJ6*COS(AL6)</f>
        <v>-230</v>
      </c>
      <c r="AN6" s="436">
        <f t="shared" ref="AN6" si="22">AJ6*SIN(AL6)</f>
        <v>2.817841446289826E-14</v>
      </c>
      <c r="AO6" s="436">
        <f t="shared" si="2"/>
        <v>-2.884987546457296E-2</v>
      </c>
      <c r="AP6" s="436">
        <f t="shared" si="9"/>
        <v>1.8537203767408528E-2</v>
      </c>
    </row>
    <row r="7" spans="1:42" hidden="1" x14ac:dyDescent="0.25">
      <c r="W7" s="185" t="str">
        <f>IF(KabelData!R3="","",KabelData!R3)</f>
        <v>-E5</v>
      </c>
      <c r="X7" s="45" t="str">
        <f>Kabeludskrif!K21</f>
        <v/>
      </c>
      <c r="Y7" s="45" t="str">
        <f>Kabeludskrif!M21</f>
        <v/>
      </c>
      <c r="Z7" s="45" t="str">
        <f>IF(KabelData!R6="","",IF(KabelData!R6&gt;0,KabelData!R6))</f>
        <v/>
      </c>
      <c r="AA7" s="45" t="str">
        <f>IF(KabelData!R9="","",IF(KabelData!R9&gt;0,KabelData!R9))</f>
        <v/>
      </c>
      <c r="AB7" s="45" t="str">
        <f>IF(KabelData!T9="","",IF(KabelData!T9&gt;0,KabelData!T9))</f>
        <v/>
      </c>
      <c r="AC7" s="436" t="str">
        <f t="shared" si="0"/>
        <v/>
      </c>
      <c r="AD7" s="441" t="str">
        <f t="shared" si="1"/>
        <v/>
      </c>
      <c r="AE7" s="436" t="str">
        <f t="shared" ref="AE7" si="23">IF(AD7="","",RADIANS(180+AD7))</f>
        <v/>
      </c>
      <c r="AF7" s="436" t="str">
        <f t="shared" ref="AF7" si="24">IF(AE7="","",AC7*COS(AE7))</f>
        <v/>
      </c>
      <c r="AG7" s="436" t="str">
        <f t="shared" ref="AG7" si="25">IF(AE7="","",AC7*SIN(AE7))</f>
        <v/>
      </c>
      <c r="AH7" s="531" t="str">
        <f t="shared" si="13"/>
        <v/>
      </c>
      <c r="AI7" s="436"/>
      <c r="AJ7" s="436">
        <v>230</v>
      </c>
      <c r="AK7" s="436">
        <v>0</v>
      </c>
      <c r="AL7" s="436">
        <f t="shared" ref="AL7" si="26">RADIANS(180+AK7)</f>
        <v>3.1415926535897931</v>
      </c>
      <c r="AM7" s="436">
        <f t="shared" ref="AM7" si="27">AJ7*COS(AL7)</f>
        <v>-230</v>
      </c>
      <c r="AN7" s="436">
        <f t="shared" ref="AN7" si="28">AJ7*SIN(AL7)</f>
        <v>2.817841446289826E-14</v>
      </c>
      <c r="AO7" s="436" t="e">
        <f t="shared" si="2"/>
        <v>#VALUE!</v>
      </c>
      <c r="AP7" s="436" t="e">
        <f t="shared" si="9"/>
        <v>#VALUE!</v>
      </c>
    </row>
    <row r="8" spans="1:42" hidden="1" x14ac:dyDescent="0.25">
      <c r="W8" s="185" t="str">
        <f>IF(KabelData!B18="","",KabelData!B18)</f>
        <v/>
      </c>
      <c r="X8" s="45" t="str">
        <f>Kabeludskrif!K25</f>
        <v/>
      </c>
      <c r="Y8" s="45" t="str">
        <f>Kabeludskrif!M25</f>
        <v/>
      </c>
      <c r="Z8" s="45" t="str">
        <f>IF(KabelData!B21="","",IF(KabelData!B21&gt;0,KabelData!B21))</f>
        <v/>
      </c>
      <c r="AA8" s="45" t="str">
        <f>IF(KabelData!B24="","",IF(KabelData!B24&gt;0,KabelData!B24))</f>
        <v/>
      </c>
      <c r="AB8" s="45" t="str">
        <f>IF(KabelData!D24="","",IF(KabelData!D24&gt;0,KabelData!D24))</f>
        <v/>
      </c>
      <c r="AC8" s="436" t="str">
        <f t="shared" si="0"/>
        <v/>
      </c>
      <c r="AD8" s="441" t="str">
        <f t="shared" si="1"/>
        <v/>
      </c>
      <c r="AE8" s="436" t="str">
        <f t="shared" ref="AE8" si="29">IF(AD8="","",RADIANS(180+AD8))</f>
        <v/>
      </c>
      <c r="AF8" s="436" t="str">
        <f t="shared" ref="AF8" si="30">IF(AE8="","",AC8*COS(AE8))</f>
        <v/>
      </c>
      <c r="AG8" s="436" t="str">
        <f t="shared" ref="AG8" si="31">IF(AE8="","",AC8*SIN(AE8))</f>
        <v/>
      </c>
      <c r="AH8" s="531" t="str">
        <f t="shared" si="13"/>
        <v/>
      </c>
      <c r="AI8" s="436"/>
      <c r="AJ8" s="436">
        <v>230</v>
      </c>
      <c r="AK8" s="436">
        <v>0</v>
      </c>
      <c r="AL8" s="436">
        <f t="shared" ref="AL8" si="32">RADIANS(180+AK8)</f>
        <v>3.1415926535897931</v>
      </c>
      <c r="AM8" s="436">
        <f t="shared" ref="AM8" si="33">AJ8*COS(AL8)</f>
        <v>-230</v>
      </c>
      <c r="AN8" s="436">
        <f t="shared" ref="AN8" si="34">AJ8*SIN(AL8)</f>
        <v>2.817841446289826E-14</v>
      </c>
      <c r="AO8" s="436" t="e">
        <f t="shared" si="2"/>
        <v>#VALUE!</v>
      </c>
      <c r="AP8" s="436" t="e">
        <f t="shared" si="9"/>
        <v>#VALUE!</v>
      </c>
    </row>
    <row r="9" spans="1:42" hidden="1" x14ac:dyDescent="0.25">
      <c r="W9" s="185" t="str">
        <f>IF(KabelData!F18="","",KabelData!F18)</f>
        <v/>
      </c>
      <c r="X9" s="45" t="str">
        <f>Kabeludskrif!K29</f>
        <v/>
      </c>
      <c r="Y9" s="45" t="str">
        <f>Kabeludskrif!M29</f>
        <v/>
      </c>
      <c r="Z9" s="45" t="str">
        <f>IF(KabelData!F21="","",IF(KabelData!F21&gt;0,KabelData!F21))</f>
        <v/>
      </c>
      <c r="AA9" s="45" t="str">
        <f>IF(KabelData!F24="","",IF(KabelData!F24&gt;0,KabelData!F24))</f>
        <v/>
      </c>
      <c r="AB9" s="45" t="str">
        <f>IF(KabelData!H24="","",IF(KabelData!H24&gt;0,KabelData!H24))</f>
        <v/>
      </c>
      <c r="AC9" s="436" t="str">
        <f t="shared" si="0"/>
        <v/>
      </c>
      <c r="AD9" s="441" t="str">
        <f t="shared" si="1"/>
        <v/>
      </c>
      <c r="AE9" s="436" t="str">
        <f t="shared" ref="AE9" si="35">IF(AD9="","",RADIANS(180+AD9))</f>
        <v/>
      </c>
      <c r="AF9" s="436" t="str">
        <f t="shared" ref="AF9" si="36">IF(AE9="","",AC9*COS(AE9))</f>
        <v/>
      </c>
      <c r="AG9" s="436" t="str">
        <f t="shared" ref="AG9" si="37">IF(AE9="","",AC9*SIN(AE9))</f>
        <v/>
      </c>
      <c r="AH9" s="531" t="str">
        <f t="shared" si="13"/>
        <v/>
      </c>
      <c r="AI9" s="436"/>
      <c r="AJ9" s="436">
        <v>230</v>
      </c>
      <c r="AK9" s="436">
        <v>0</v>
      </c>
      <c r="AL9" s="436">
        <f t="shared" ref="AL9" si="38">RADIANS(180+AK9)</f>
        <v>3.1415926535897931</v>
      </c>
      <c r="AM9" s="436">
        <f t="shared" ref="AM9" si="39">AJ9*COS(AL9)</f>
        <v>-230</v>
      </c>
      <c r="AN9" s="436">
        <f t="shared" ref="AN9" si="40">AJ9*SIN(AL9)</f>
        <v>2.817841446289826E-14</v>
      </c>
      <c r="AO9" s="436" t="e">
        <f t="shared" si="2"/>
        <v>#VALUE!</v>
      </c>
      <c r="AP9" s="436" t="e">
        <f t="shared" si="9"/>
        <v>#VALUE!</v>
      </c>
    </row>
    <row r="10" spans="1:42" hidden="1" x14ac:dyDescent="0.25">
      <c r="W10" s="185" t="str">
        <f>IF(KabelData!J18="","",KabelData!J18)</f>
        <v/>
      </c>
      <c r="X10" s="45" t="str">
        <f>Kabeludskrif!K33</f>
        <v/>
      </c>
      <c r="Y10" s="45" t="str">
        <f>Kabeludskrif!M33</f>
        <v/>
      </c>
      <c r="Z10" s="45" t="str">
        <f>IF(KabelData!J21="","",IF(KabelData!J21&gt;0,KabelData!J21))</f>
        <v/>
      </c>
      <c r="AA10" s="45" t="str">
        <f>IF(KabelData!J24="","",IF(KabelData!J24&gt;0,KabelData!J24))</f>
        <v/>
      </c>
      <c r="AB10" s="45" t="str">
        <f>IF(KabelData!L24="","",IF(KabelData!L24&gt;0,KabelData!L24))</f>
        <v/>
      </c>
      <c r="AC10" s="436" t="str">
        <f t="shared" si="0"/>
        <v/>
      </c>
      <c r="AD10" s="441" t="str">
        <f t="shared" si="1"/>
        <v/>
      </c>
      <c r="AE10" s="436" t="str">
        <f t="shared" ref="AE10" si="41">IF(AD10="","",RADIANS(180+AD10))</f>
        <v/>
      </c>
      <c r="AF10" s="436" t="str">
        <f t="shared" ref="AF10" si="42">IF(AE10="","",AC10*COS(AE10))</f>
        <v/>
      </c>
      <c r="AG10" s="436" t="str">
        <f t="shared" ref="AG10" si="43">IF(AE10="","",AC10*SIN(AE10))</f>
        <v/>
      </c>
      <c r="AH10" s="531" t="str">
        <f t="shared" si="13"/>
        <v/>
      </c>
      <c r="AI10" s="436"/>
      <c r="AJ10" s="436">
        <v>230</v>
      </c>
      <c r="AK10" s="436">
        <v>0</v>
      </c>
      <c r="AL10" s="436">
        <f t="shared" ref="AL10" si="44">RADIANS(180+AK10)</f>
        <v>3.1415926535897931</v>
      </c>
      <c r="AM10" s="436">
        <f t="shared" ref="AM10" si="45">AJ10*COS(AL10)</f>
        <v>-230</v>
      </c>
      <c r="AN10" s="436">
        <f t="shared" ref="AN10" si="46">AJ10*SIN(AL10)</f>
        <v>2.817841446289826E-14</v>
      </c>
      <c r="AO10" s="436" t="e">
        <f t="shared" si="2"/>
        <v>#VALUE!</v>
      </c>
      <c r="AP10" s="436" t="e">
        <f t="shared" si="9"/>
        <v>#VALUE!</v>
      </c>
    </row>
    <row r="11" spans="1:42" hidden="1" x14ac:dyDescent="0.25">
      <c r="W11" s="185" t="str">
        <f>IF(KabelData!N18="","",KabelData!N18)</f>
        <v/>
      </c>
      <c r="X11" s="45" t="str">
        <f>Kabeludskrif!K39</f>
        <v/>
      </c>
      <c r="Y11" s="45" t="str">
        <f>Kabeludskrif!M39</f>
        <v/>
      </c>
      <c r="Z11" s="45" t="str">
        <f>IF(KabelData!N21="","",IF(KabelData!N21&gt;0,KabelData!N21))</f>
        <v/>
      </c>
      <c r="AA11" s="45" t="str">
        <f>IF(KabelData!N24="","",IF(KabelData!N24&gt;0,KabelData!N24))</f>
        <v/>
      </c>
      <c r="AB11" s="45" t="str">
        <f>IF(KabelData!P24="","",IF(KabelData!P24&gt;0,KabelData!P24))</f>
        <v/>
      </c>
      <c r="AC11" s="436" t="str">
        <f t="shared" si="0"/>
        <v/>
      </c>
      <c r="AD11" s="441" t="str">
        <f t="shared" si="1"/>
        <v/>
      </c>
      <c r="AE11" s="436" t="str">
        <f t="shared" ref="AE11" si="47">IF(AD11="","",RADIANS(180+AD11))</f>
        <v/>
      </c>
      <c r="AF11" s="436" t="str">
        <f t="shared" ref="AF11" si="48">IF(AE11="","",AC11*COS(AE11))</f>
        <v/>
      </c>
      <c r="AG11" s="436" t="str">
        <f t="shared" ref="AG11" si="49">IF(AE11="","",AC11*SIN(AE11))</f>
        <v/>
      </c>
      <c r="AH11" s="531" t="str">
        <f t="shared" si="13"/>
        <v/>
      </c>
      <c r="AI11" s="436"/>
      <c r="AJ11" s="436">
        <v>230</v>
      </c>
      <c r="AK11" s="436">
        <v>0</v>
      </c>
      <c r="AL11" s="436">
        <f>RADIANS(180+AK11)</f>
        <v>3.1415926535897931</v>
      </c>
      <c r="AM11" s="436">
        <f>AJ11*COS(AL11)</f>
        <v>-230</v>
      </c>
      <c r="AN11" s="436">
        <f>AJ11*SIN(AL11)</f>
        <v>2.817841446289826E-14</v>
      </c>
      <c r="AO11" s="436" t="e">
        <f t="shared" si="2"/>
        <v>#VALUE!</v>
      </c>
      <c r="AP11" s="436" t="e">
        <f t="shared" ref="AP11" si="50">-1*(SQRT(SUM(AG11+AN11)^2+SUM(AJ11+AO11)^2)-230)</f>
        <v>#VALUE!</v>
      </c>
    </row>
    <row r="12" spans="1:42" hidden="1" x14ac:dyDescent="0.25">
      <c r="W12" s="185" t="str">
        <f>IF(KabelData!R18="","",KabelData!R18)</f>
        <v>-W10</v>
      </c>
      <c r="X12" s="45" t="str">
        <f>Kabeludskrif!K43</f>
        <v/>
      </c>
      <c r="Y12" s="45" t="str">
        <f>Kabeludskrif!M43</f>
        <v/>
      </c>
      <c r="Z12" s="45" t="str">
        <f>IF(KabelData!R21="","",IF(KabelData!R21&gt;0,KabelData!R21))</f>
        <v/>
      </c>
      <c r="AA12" s="45" t="str">
        <f>IF(KabelData!R24="","",IF(KabelData!R24&gt;0,KabelData!R24))</f>
        <v/>
      </c>
      <c r="AB12" s="45" t="str">
        <f>IF(KabelData!T24="","",IF(KabelData!T24&gt;0,KabelData!T24))</f>
        <v/>
      </c>
      <c r="AC12" s="436" t="str">
        <f t="shared" si="0"/>
        <v/>
      </c>
      <c r="AD12" s="441" t="str">
        <f t="shared" si="1"/>
        <v/>
      </c>
      <c r="AE12" s="436" t="str">
        <f t="shared" ref="AE12:AE16" si="51">IF(AD12="","",RADIANS(180+AD12))</f>
        <v/>
      </c>
      <c r="AF12" s="436" t="str">
        <f t="shared" ref="AF12:AF16" si="52">IF(AE12="","",AC12*COS(AE12))</f>
        <v/>
      </c>
      <c r="AG12" s="436" t="str">
        <f t="shared" ref="AG12:AG16" si="53">IF(AE12="","",AC12*SIN(AE12))</f>
        <v/>
      </c>
      <c r="AH12" s="531" t="str">
        <f t="shared" si="13"/>
        <v/>
      </c>
      <c r="AI12" s="436">
        <f>SQRT(SUM(AF3:AF12)^2+SUM(AG3:AG12)^2)</f>
        <v>5.6485346880790885</v>
      </c>
      <c r="AJ12" s="436">
        <v>230</v>
      </c>
      <c r="AK12" s="436">
        <v>0</v>
      </c>
      <c r="AL12" s="436">
        <f t="shared" ref="AL12" si="54">RADIANS(180+AK12)</f>
        <v>3.1415926535897931</v>
      </c>
      <c r="AM12" s="436">
        <f t="shared" ref="AM12" si="55">AJ12*COS(AL12)</f>
        <v>-230</v>
      </c>
      <c r="AN12" s="436">
        <f t="shared" ref="AN12" si="56">AJ12*SIN(AL12)</f>
        <v>2.817841446289826E-14</v>
      </c>
      <c r="AO12" s="436" t="e">
        <f t="shared" si="2"/>
        <v>#VALUE!</v>
      </c>
      <c r="AP12" s="436" t="e">
        <f>-1*(SQRT(SUM(AG12+AN12)^2+SUM(AJ12+AO12)^2)-230)</f>
        <v>#VALUE!</v>
      </c>
    </row>
    <row r="13" spans="1:42" hidden="1" x14ac:dyDescent="0.25">
      <c r="W13" s="530" t="s">
        <v>416</v>
      </c>
      <c r="AA13" s="45">
        <f>(2/3)*J35</f>
        <v>33.333333333333329</v>
      </c>
      <c r="AB13" s="529">
        <f>L35</f>
        <v>90</v>
      </c>
      <c r="AC13" s="531">
        <f>IF(J35="","",2/3*J35*N35)</f>
        <v>0.76999999999999991</v>
      </c>
      <c r="AD13" s="533">
        <f>IF(L35="","",P35-L35)</f>
        <v>-85.772781334673411</v>
      </c>
      <c r="AE13" s="531">
        <f t="shared" si="51"/>
        <v>1.6445752107066058</v>
      </c>
      <c r="AF13" s="531">
        <f t="shared" si="52"/>
        <v>-5.6758215669345302E-2</v>
      </c>
      <c r="AG13" s="531">
        <f t="shared" si="53"/>
        <v>0.76790527082058235</v>
      </c>
      <c r="AH13" s="531">
        <f t="shared" si="13"/>
        <v>0.76999999999999991</v>
      </c>
      <c r="AI13" s="531">
        <f>SQRT(SUM(AF3:AF13)^2+SUM(AG3:AG13)^2)</f>
        <v>6.4184087977201898</v>
      </c>
    </row>
    <row r="14" spans="1:42" s="435" customFormat="1" hidden="1" x14ac:dyDescent="0.25">
      <c r="C14" s="522"/>
      <c r="E14" s="522"/>
      <c r="F14" s="522"/>
      <c r="G14" s="522"/>
      <c r="H14" s="522"/>
      <c r="U14" s="523"/>
      <c r="V14" s="523"/>
      <c r="W14" s="530" t="s">
        <v>417</v>
      </c>
      <c r="Z14" s="530" t="s">
        <v>274</v>
      </c>
      <c r="AA14" s="530" t="s">
        <v>154</v>
      </c>
      <c r="AB14" s="530" t="s">
        <v>155</v>
      </c>
      <c r="AC14" s="530" t="s">
        <v>418</v>
      </c>
      <c r="AD14" s="530" t="s">
        <v>419</v>
      </c>
      <c r="AE14" s="531"/>
      <c r="AF14" s="531"/>
      <c r="AG14" s="531"/>
      <c r="AH14" s="531"/>
    </row>
    <row r="15" spans="1:42" s="522" customFormat="1" hidden="1" x14ac:dyDescent="0.25">
      <c r="U15" s="523"/>
      <c r="V15" s="523"/>
      <c r="W15" s="530" t="s">
        <v>413</v>
      </c>
      <c r="X15" s="522">
        <f>L39</f>
        <v>6.0000000000000001E-3</v>
      </c>
      <c r="Y15" s="522">
        <f>N39</f>
        <v>12.215719134130845</v>
      </c>
      <c r="Z15" s="522">
        <f>IF(Y15="","",RADIANS(180+Y15))</f>
        <v>3.354797172979247</v>
      </c>
      <c r="AA15" s="530">
        <f>IF(Z15="","",X15*COS(Z15))</f>
        <v>-5.8641472824489853E-3</v>
      </c>
      <c r="AB15" s="522">
        <f>IF(Z15="","",X15*SIN(Z15))</f>
        <v>-1.2695576590868905E-3</v>
      </c>
      <c r="AC15" s="522">
        <f>IF(X15="","",SQRT(SUM(AA15:AA16)^2+SUM(AB15:AB16)^2))</f>
        <v>1.7511639644373588E-2</v>
      </c>
      <c r="AD15" s="522">
        <f>DEGREES(ATAN(SUM(AB15:AB16)/SUM(AA15:AA16)))</f>
        <v>6.9564852939936257</v>
      </c>
      <c r="AE15" s="531"/>
      <c r="AF15" s="531"/>
      <c r="AG15" s="531"/>
      <c r="AH15" s="531"/>
    </row>
    <row r="16" spans="1:42" ht="15.75" hidden="1" thickBot="1" x14ac:dyDescent="0.3">
      <c r="A16" s="468"/>
      <c r="W16" s="530" t="s">
        <v>415</v>
      </c>
      <c r="X16" s="45">
        <f>P39/2</f>
        <v>1.155E-2</v>
      </c>
      <c r="Y16" s="45">
        <f>R39</f>
        <v>4.2272186653265917</v>
      </c>
      <c r="Z16" s="530">
        <f>IF(Y16="","",RADIANS(180+Y16))</f>
        <v>3.2153715375015026</v>
      </c>
      <c r="AA16" s="530">
        <f>IF(Z16="","",X16*COS(Z16))</f>
        <v>-1.1518579062308736E-2</v>
      </c>
      <c r="AB16" s="530">
        <f>IF(Z16="","",X16*SIN(Z16))</f>
        <v>-8.5137323504018154E-4</v>
      </c>
      <c r="AC16" s="381">
        <f>E39*AC15</f>
        <v>2.118908396969204</v>
      </c>
      <c r="AD16" s="532">
        <f>V39</f>
        <v>-18.920598619727969</v>
      </c>
      <c r="AE16" s="531">
        <f t="shared" si="51"/>
        <v>2.8113659112272456</v>
      </c>
      <c r="AF16" s="531">
        <f t="shared" si="52"/>
        <v>-2.0044213287895793</v>
      </c>
      <c r="AG16" s="531">
        <f t="shared" si="53"/>
        <v>0.68707199873085978</v>
      </c>
      <c r="AH16" s="531">
        <f t="shared" si="13"/>
        <v>2.118908396969204</v>
      </c>
      <c r="AI16" s="530">
        <f>SQRT((AF16+SUM(AF3:AF12))^2+(AG16+SUM(AG3:AG12))^2)</f>
        <v>6.7364415496558943</v>
      </c>
    </row>
    <row r="17" spans="1:30" ht="7.5" customHeight="1" x14ac:dyDescent="0.25">
      <c r="A17" s="932" t="s">
        <v>389</v>
      </c>
      <c r="B17" s="795"/>
      <c r="C17" s="795"/>
      <c r="D17" s="944" t="s">
        <v>404</v>
      </c>
      <c r="E17" s="944"/>
      <c r="F17" s="944"/>
      <c r="G17" s="944"/>
      <c r="H17" s="944"/>
      <c r="I17" s="944"/>
      <c r="J17" s="944"/>
      <c r="K17" s="944"/>
      <c r="L17" s="944"/>
      <c r="M17" s="944"/>
      <c r="N17" s="944"/>
      <c r="O17" s="944"/>
      <c r="P17" s="944"/>
      <c r="Q17" s="747" t="s">
        <v>104</v>
      </c>
      <c r="R17" s="944" t="s">
        <v>358</v>
      </c>
      <c r="S17" s="944"/>
      <c r="T17" s="946"/>
      <c r="U17" s="526"/>
      <c r="V17" s="526"/>
      <c r="W17" s="155"/>
      <c r="X17" s="155"/>
      <c r="Y17" s="155"/>
      <c r="Z17" s="155"/>
    </row>
    <row r="18" spans="1:30" ht="18" customHeight="1" x14ac:dyDescent="0.25">
      <c r="A18" s="943"/>
      <c r="B18" s="796"/>
      <c r="C18" s="796"/>
      <c r="D18" s="945"/>
      <c r="E18" s="945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45"/>
      <c r="Q18" s="748"/>
      <c r="R18" s="945"/>
      <c r="S18" s="945"/>
      <c r="T18" s="947"/>
      <c r="U18" s="526"/>
      <c r="V18" s="526"/>
      <c r="W18" s="155"/>
      <c r="X18" s="155"/>
      <c r="Y18" s="155"/>
      <c r="Z18" s="155"/>
    </row>
    <row r="19" spans="1:30" s="381" customFormat="1" ht="18" customHeight="1" thickBot="1" x14ac:dyDescent="0.3">
      <c r="A19" s="933"/>
      <c r="B19" s="864"/>
      <c r="C19" s="864"/>
      <c r="D19" s="945"/>
      <c r="E19" s="945"/>
      <c r="F19" s="945"/>
      <c r="G19" s="945"/>
      <c r="H19" s="945"/>
      <c r="I19" s="945"/>
      <c r="J19" s="945"/>
      <c r="K19" s="945"/>
      <c r="L19" s="945"/>
      <c r="M19" s="945"/>
      <c r="N19" s="945"/>
      <c r="O19" s="945"/>
      <c r="P19" s="945"/>
      <c r="Q19" s="748"/>
      <c r="R19" s="945"/>
      <c r="S19" s="945"/>
      <c r="T19" s="947"/>
      <c r="U19" s="526"/>
      <c r="V19" s="526"/>
      <c r="W19" s="155"/>
      <c r="X19" s="155"/>
      <c r="Y19" s="155"/>
      <c r="Z19" s="155"/>
    </row>
    <row r="20" spans="1:30" ht="25.5" customHeight="1" x14ac:dyDescent="0.25">
      <c r="A20" s="941" t="s">
        <v>222</v>
      </c>
      <c r="B20" s="942"/>
      <c r="C20" s="942"/>
      <c r="D20" s="452"/>
      <c r="E20" s="452"/>
      <c r="F20" s="452"/>
      <c r="G20" s="535"/>
      <c r="H20" s="452"/>
      <c r="I20" s="452"/>
      <c r="J20" s="948" t="s">
        <v>401</v>
      </c>
      <c r="K20" s="948"/>
      <c r="L20" s="948"/>
      <c r="M20" s="477" t="s">
        <v>134</v>
      </c>
      <c r="N20" s="948" t="s">
        <v>402</v>
      </c>
      <c r="O20" s="948"/>
      <c r="P20" s="948"/>
      <c r="Q20" s="452"/>
      <c r="R20" s="948" t="s">
        <v>403</v>
      </c>
      <c r="S20" s="948"/>
      <c r="T20" s="949"/>
      <c r="U20" s="527"/>
      <c r="V20" s="527"/>
      <c r="W20" s="155"/>
    </row>
    <row r="21" spans="1:30" ht="21.95" customHeight="1" x14ac:dyDescent="0.25">
      <c r="A21" s="962" t="s">
        <v>366</v>
      </c>
      <c r="B21" s="963"/>
      <c r="C21" s="963"/>
      <c r="D21" s="458"/>
      <c r="E21" s="458"/>
      <c r="F21" s="458"/>
      <c r="G21" s="536"/>
      <c r="H21" s="534" t="s">
        <v>421</v>
      </c>
      <c r="I21" s="459"/>
      <c r="J21" s="448">
        <f>IF(A21="","",VLOOKUP(A21,$W$3:$AB$12,5,))</f>
        <v>121</v>
      </c>
      <c r="K21" s="447" t="s">
        <v>140</v>
      </c>
      <c r="L21" s="460">
        <f t="shared" ref="L21" si="57">IF(A21="","",VLOOKUP(A21,$W$3:$AB$12,6,))</f>
        <v>90</v>
      </c>
      <c r="M21" s="461" t="s">
        <v>134</v>
      </c>
      <c r="N21" s="449">
        <f>IF(A21="","",VLOOKUP(A21,$W$3:$AB$12,2,))</f>
        <v>6.0000000000000001E-3</v>
      </c>
      <c r="O21" s="447" t="s">
        <v>140</v>
      </c>
      <c r="P21" s="450">
        <f>IF(A21="","",VLOOKUP(A21,$W$3:$AB$12,3,))</f>
        <v>12.215719134130845</v>
      </c>
      <c r="Q21" s="451" t="s">
        <v>104</v>
      </c>
      <c r="R21" s="451">
        <f>IF(J21="","",J21*N21)</f>
        <v>0.72599999999999998</v>
      </c>
      <c r="S21" s="447" t="s">
        <v>140</v>
      </c>
      <c r="T21" s="462">
        <f>IF(L21="","",P21-L21)</f>
        <v>-77.78428086586915</v>
      </c>
      <c r="U21" s="525"/>
      <c r="V21" s="525"/>
    </row>
    <row r="22" spans="1:30" ht="21.95" customHeight="1" x14ac:dyDescent="0.25">
      <c r="A22" s="962" t="s">
        <v>420</v>
      </c>
      <c r="B22" s="963"/>
      <c r="C22" s="963"/>
      <c r="D22" s="458"/>
      <c r="E22" s="458"/>
      <c r="F22" s="458"/>
      <c r="G22" s="536"/>
      <c r="H22" s="534" t="s">
        <v>422</v>
      </c>
      <c r="I22" s="459"/>
      <c r="J22" s="448">
        <f>IF(A22="","",VLOOKUP(A22,$W$3:$AB$12,5,))</f>
        <v>50</v>
      </c>
      <c r="K22" s="447" t="s">
        <v>140</v>
      </c>
      <c r="L22" s="460">
        <f t="shared" ref="L22" si="58">IF(A22="","",VLOOKUP(A22,$W$3:$AB$12,6,))</f>
        <v>90</v>
      </c>
      <c r="M22" s="461" t="s">
        <v>134</v>
      </c>
      <c r="N22" s="449">
        <f t="shared" ref="N22" si="59">IF(A22="","",VLOOKUP(A22,$W$3:$AB$12,2,))</f>
        <v>2.3099999999999999E-2</v>
      </c>
      <c r="O22" s="447" t="s">
        <v>140</v>
      </c>
      <c r="P22" s="450">
        <f t="shared" ref="P22" si="60">IF(A22="","",VLOOKUP(A22,$W$3:$AB$12,3,))</f>
        <v>4.2272186653265917</v>
      </c>
      <c r="Q22" s="451" t="s">
        <v>104</v>
      </c>
      <c r="R22" s="451">
        <f t="shared" ref="R22:R30" si="61">IF(J22="","",J22*N22)</f>
        <v>1.155</v>
      </c>
      <c r="S22" s="447" t="s">
        <v>140</v>
      </c>
      <c r="T22" s="462">
        <f t="shared" ref="T22:T30" si="62">IF(L22="","",P22-L22)</f>
        <v>-85.772781334673411</v>
      </c>
      <c r="U22" s="525"/>
      <c r="V22" s="525"/>
    </row>
    <row r="23" spans="1:30" ht="21.95" customHeight="1" x14ac:dyDescent="0.25">
      <c r="A23" s="962" t="s">
        <v>439</v>
      </c>
      <c r="B23" s="963"/>
      <c r="C23" s="963"/>
      <c r="D23" s="458"/>
      <c r="E23" s="458"/>
      <c r="F23" s="458"/>
      <c r="G23" s="536"/>
      <c r="H23" s="534" t="s">
        <v>423</v>
      </c>
      <c r="I23" s="459"/>
      <c r="J23" s="448">
        <f t="shared" ref="J23" si="63">IF(A23="","",VLOOKUP(A23,$W$3:$AB$12,5,))</f>
        <v>26</v>
      </c>
      <c r="K23" s="447" t="s">
        <v>140</v>
      </c>
      <c r="L23" s="460">
        <f t="shared" ref="L23" si="64">IF(A23="","",VLOOKUP(A23,$W$3:$AB$12,6,))</f>
        <v>90</v>
      </c>
      <c r="M23" s="461" t="s">
        <v>134</v>
      </c>
      <c r="N23" s="449">
        <f t="shared" ref="N23" si="65">IF(A23="","",VLOOKUP(A23,$W$3:$AB$12,2,))</f>
        <v>6.1600000000000002E-2</v>
      </c>
      <c r="O23" s="447" t="s">
        <v>140</v>
      </c>
      <c r="P23" s="450">
        <f t="shared" ref="P23" si="66">IF(A23="","",VLOOKUP(A23,$W$3:$AB$12,3,))</f>
        <v>1.803848784768499</v>
      </c>
      <c r="Q23" s="451" t="s">
        <v>104</v>
      </c>
      <c r="R23" s="451">
        <f t="shared" si="61"/>
        <v>1.6016000000000001</v>
      </c>
      <c r="S23" s="447" t="s">
        <v>140</v>
      </c>
      <c r="T23" s="462">
        <f t="shared" si="62"/>
        <v>-88.196151215231495</v>
      </c>
      <c r="U23" s="525"/>
      <c r="V23" s="525"/>
    </row>
    <row r="24" spans="1:30" ht="21.95" customHeight="1" x14ac:dyDescent="0.25">
      <c r="A24" s="962" t="s">
        <v>440</v>
      </c>
      <c r="B24" s="963"/>
      <c r="C24" s="963"/>
      <c r="D24" s="458"/>
      <c r="E24" s="458"/>
      <c r="F24" s="458"/>
      <c r="G24" s="536"/>
      <c r="H24" s="534" t="s">
        <v>424</v>
      </c>
      <c r="I24" s="459"/>
      <c r="J24" s="448">
        <f t="shared" ref="J24" si="67">IF(A24="","",VLOOKUP(A24,$W$3:$AB$12,5,))</f>
        <v>10</v>
      </c>
      <c r="K24" s="447" t="s">
        <v>140</v>
      </c>
      <c r="L24" s="460">
        <f t="shared" ref="L24" si="68">IF(A24="","",VLOOKUP(A24,$W$3:$AB$12,6,))</f>
        <v>90</v>
      </c>
      <c r="M24" s="461" t="s">
        <v>134</v>
      </c>
      <c r="N24" s="449">
        <f t="shared" ref="N24" si="69">IF(A24="","",VLOOKUP(A24,$W$3:$AB$12,2,))</f>
        <v>0.21779999999999999</v>
      </c>
      <c r="O24" s="447" t="s">
        <v>140</v>
      </c>
      <c r="P24" s="450">
        <f t="shared" ref="P24" si="70">IF(A24="","",VLOOKUP(A24,$W$3:$AB$12,3,))</f>
        <v>0.48771262431497786</v>
      </c>
      <c r="Q24" s="451" t="s">
        <v>104</v>
      </c>
      <c r="R24" s="451">
        <f t="shared" si="61"/>
        <v>2.1779999999999999</v>
      </c>
      <c r="S24" s="447" t="s">
        <v>140</v>
      </c>
      <c r="T24" s="462">
        <f t="shared" si="62"/>
        <v>-89.51228737568502</v>
      </c>
      <c r="U24" s="525"/>
      <c r="V24" s="525"/>
    </row>
    <row r="25" spans="1:30" ht="21.95" customHeight="1" x14ac:dyDescent="0.25">
      <c r="A25" s="962"/>
      <c r="B25" s="963"/>
      <c r="C25" s="963"/>
      <c r="D25" s="458"/>
      <c r="E25" s="458"/>
      <c r="F25" s="458"/>
      <c r="G25" s="536"/>
      <c r="H25" s="534" t="s">
        <v>425</v>
      </c>
      <c r="I25" s="459"/>
      <c r="J25" s="448" t="str">
        <f t="shared" ref="J25" si="71">IF(A25="","",VLOOKUP(A25,$W$3:$AB$12,5,))</f>
        <v/>
      </c>
      <c r="K25" s="447" t="s">
        <v>140</v>
      </c>
      <c r="L25" s="460" t="str">
        <f t="shared" ref="L25" si="72">IF(A25="","",VLOOKUP(A25,$W$3:$AB$12,6,))</f>
        <v/>
      </c>
      <c r="M25" s="461" t="s">
        <v>134</v>
      </c>
      <c r="N25" s="449" t="str">
        <f t="shared" ref="N25" si="73">IF(A25="","",VLOOKUP(A25,$W$3:$AB$12,2,))</f>
        <v/>
      </c>
      <c r="O25" s="447" t="s">
        <v>140</v>
      </c>
      <c r="P25" s="450" t="str">
        <f t="shared" ref="P25" si="74">IF(A25="","",VLOOKUP(A25,$W$3:$AB$12,3,))</f>
        <v/>
      </c>
      <c r="Q25" s="451" t="s">
        <v>104</v>
      </c>
      <c r="R25" s="451" t="str">
        <f t="shared" si="61"/>
        <v/>
      </c>
      <c r="S25" s="447" t="s">
        <v>140</v>
      </c>
      <c r="T25" s="462" t="str">
        <f t="shared" si="62"/>
        <v/>
      </c>
      <c r="U25" s="525"/>
      <c r="V25" s="525"/>
    </row>
    <row r="26" spans="1:30" ht="21.95" customHeight="1" x14ac:dyDescent="0.25">
      <c r="A26" s="962"/>
      <c r="B26" s="963"/>
      <c r="C26" s="963"/>
      <c r="D26" s="458"/>
      <c r="E26" s="458"/>
      <c r="F26" s="458"/>
      <c r="G26" s="536"/>
      <c r="H26" s="534" t="s">
        <v>426</v>
      </c>
      <c r="I26" s="459"/>
      <c r="J26" s="448" t="str">
        <f t="shared" ref="J26" si="75">IF(A26="","",VLOOKUP(A26,$W$3:$AB$12,5,))</f>
        <v/>
      </c>
      <c r="K26" s="447" t="s">
        <v>140</v>
      </c>
      <c r="L26" s="460" t="str">
        <f t="shared" ref="L26" si="76">IF(A26="","",VLOOKUP(A26,$W$3:$AB$12,6,))</f>
        <v/>
      </c>
      <c r="M26" s="461" t="s">
        <v>134</v>
      </c>
      <c r="N26" s="449" t="str">
        <f t="shared" ref="N26" si="77">IF(A26="","",VLOOKUP(A26,$W$3:$AB$12,2,))</f>
        <v/>
      </c>
      <c r="O26" s="447" t="s">
        <v>140</v>
      </c>
      <c r="P26" s="450" t="str">
        <f t="shared" ref="P26" si="78">IF(A26="","",VLOOKUP(A26,$W$3:$AB$12,3,))</f>
        <v/>
      </c>
      <c r="Q26" s="451" t="s">
        <v>104</v>
      </c>
      <c r="R26" s="451" t="str">
        <f t="shared" si="61"/>
        <v/>
      </c>
      <c r="S26" s="447" t="s">
        <v>140</v>
      </c>
      <c r="T26" s="462" t="str">
        <f t="shared" si="62"/>
        <v/>
      </c>
      <c r="U26" s="525"/>
      <c r="V26" s="525"/>
    </row>
    <row r="27" spans="1:30" ht="21.95" customHeight="1" x14ac:dyDescent="0.25">
      <c r="A27" s="962"/>
      <c r="B27" s="963"/>
      <c r="C27" s="963"/>
      <c r="D27" s="458"/>
      <c r="E27" s="458"/>
      <c r="F27" s="458"/>
      <c r="G27" s="536"/>
      <c r="H27" s="534" t="s">
        <v>427</v>
      </c>
      <c r="I27" s="459"/>
      <c r="J27" s="448" t="str">
        <f t="shared" ref="J27" si="79">IF(A27="","",VLOOKUP(A27,$W$3:$AB$12,5,))</f>
        <v/>
      </c>
      <c r="K27" s="447" t="s">
        <v>140</v>
      </c>
      <c r="L27" s="460" t="str">
        <f t="shared" ref="L27" si="80">IF(A27="","",VLOOKUP(A27,$W$3:$AB$12,6,))</f>
        <v/>
      </c>
      <c r="M27" s="461" t="s">
        <v>134</v>
      </c>
      <c r="N27" s="449" t="str">
        <f t="shared" ref="N27" si="81">IF(A27="","",VLOOKUP(A27,$W$3:$AB$12,2,))</f>
        <v/>
      </c>
      <c r="O27" s="447" t="s">
        <v>140</v>
      </c>
      <c r="P27" s="450" t="str">
        <f t="shared" ref="P27" si="82">IF(A27="","",VLOOKUP(A27,$W$3:$AB$12,3,))</f>
        <v/>
      </c>
      <c r="Q27" s="451" t="s">
        <v>104</v>
      </c>
      <c r="R27" s="451" t="str">
        <f t="shared" si="61"/>
        <v/>
      </c>
      <c r="S27" s="447" t="s">
        <v>140</v>
      </c>
      <c r="T27" s="462" t="str">
        <f t="shared" si="62"/>
        <v/>
      </c>
      <c r="U27" s="525"/>
      <c r="V27" s="525"/>
    </row>
    <row r="28" spans="1:30" ht="21.95" customHeight="1" x14ac:dyDescent="0.25">
      <c r="A28" s="962"/>
      <c r="B28" s="963"/>
      <c r="C28" s="963"/>
      <c r="D28" s="458"/>
      <c r="E28" s="458"/>
      <c r="F28" s="458"/>
      <c r="G28" s="536"/>
      <c r="H28" s="534" t="s">
        <v>428</v>
      </c>
      <c r="I28" s="459"/>
      <c r="J28" s="448" t="str">
        <f t="shared" ref="J28" si="83">IF(A28="","",VLOOKUP(A28,$W$3:$AB$12,5,))</f>
        <v/>
      </c>
      <c r="K28" s="447" t="s">
        <v>140</v>
      </c>
      <c r="L28" s="460" t="str">
        <f t="shared" ref="L28" si="84">IF(A28="","",VLOOKUP(A28,$W$3:$AB$12,6,))</f>
        <v/>
      </c>
      <c r="M28" s="461" t="s">
        <v>134</v>
      </c>
      <c r="N28" s="449" t="str">
        <f t="shared" ref="N28" si="85">IF(A28="","",VLOOKUP(A28,$W$3:$AB$12,2,))</f>
        <v/>
      </c>
      <c r="O28" s="447" t="s">
        <v>140</v>
      </c>
      <c r="P28" s="450" t="str">
        <f t="shared" ref="P28" si="86">IF(A28="","",VLOOKUP(A28,$W$3:$AB$12,3,))</f>
        <v/>
      </c>
      <c r="Q28" s="451" t="s">
        <v>104</v>
      </c>
      <c r="R28" s="451" t="str">
        <f t="shared" si="61"/>
        <v/>
      </c>
      <c r="S28" s="447" t="s">
        <v>140</v>
      </c>
      <c r="T28" s="462" t="str">
        <f t="shared" si="62"/>
        <v/>
      </c>
      <c r="U28" s="525"/>
      <c r="V28" s="525"/>
    </row>
    <row r="29" spans="1:30" ht="21.95" customHeight="1" x14ac:dyDescent="0.25">
      <c r="A29" s="962"/>
      <c r="B29" s="963"/>
      <c r="C29" s="963"/>
      <c r="D29" s="458"/>
      <c r="E29" s="458"/>
      <c r="F29" s="458"/>
      <c r="G29" s="536"/>
      <c r="H29" s="534" t="s">
        <v>429</v>
      </c>
      <c r="I29" s="459"/>
      <c r="J29" s="448" t="str">
        <f t="shared" ref="J29" si="87">IF(A29="","",VLOOKUP(A29,$W$3:$AB$12,5,))</f>
        <v/>
      </c>
      <c r="K29" s="447" t="s">
        <v>140</v>
      </c>
      <c r="L29" s="460" t="str">
        <f t="shared" ref="L29" si="88">IF(A29="","",VLOOKUP(A29,$W$3:$AB$12,6,))</f>
        <v/>
      </c>
      <c r="M29" s="461" t="s">
        <v>134</v>
      </c>
      <c r="N29" s="449" t="str">
        <f t="shared" ref="N29" si="89">IF(A29="","",VLOOKUP(A29,$W$3:$AB$12,2,))</f>
        <v/>
      </c>
      <c r="O29" s="447" t="s">
        <v>140</v>
      </c>
      <c r="P29" s="450" t="str">
        <f t="shared" ref="P29" si="90">IF(A29="","",VLOOKUP(A29,$W$3:$AB$12,3,))</f>
        <v/>
      </c>
      <c r="Q29" s="451" t="s">
        <v>104</v>
      </c>
      <c r="R29" s="451" t="str">
        <f t="shared" si="61"/>
        <v/>
      </c>
      <c r="S29" s="447" t="s">
        <v>140</v>
      </c>
      <c r="T29" s="462" t="str">
        <f t="shared" si="62"/>
        <v/>
      </c>
      <c r="U29" s="525"/>
      <c r="V29" s="525"/>
    </row>
    <row r="30" spans="1:30" ht="21.95" customHeight="1" thickBot="1" x14ac:dyDescent="0.3">
      <c r="A30" s="964"/>
      <c r="B30" s="965"/>
      <c r="C30" s="965"/>
      <c r="D30" s="463"/>
      <c r="E30" s="463"/>
      <c r="F30" s="463"/>
      <c r="G30" s="537"/>
      <c r="H30" s="538" t="s">
        <v>430</v>
      </c>
      <c r="I30" s="464"/>
      <c r="J30" s="454" t="str">
        <f t="shared" ref="J30" si="91">IF(A30="","",VLOOKUP(A30,$W$3:$AB$12,5,))</f>
        <v/>
      </c>
      <c r="K30" s="453" t="s">
        <v>140</v>
      </c>
      <c r="L30" s="465" t="str">
        <f t="shared" ref="L30" si="92">IF(A30="","",VLOOKUP(A30,$W$3:$AB$12,6,))</f>
        <v/>
      </c>
      <c r="M30" s="466" t="s">
        <v>134</v>
      </c>
      <c r="N30" s="455" t="str">
        <f t="shared" ref="N30" si="93">IF(A30="","",VLOOKUP(A30,$W$3:$AB$12,2,))</f>
        <v/>
      </c>
      <c r="O30" s="453" t="s">
        <v>140</v>
      </c>
      <c r="P30" s="456" t="str">
        <f t="shared" ref="P30" si="94">IF(A30="","",VLOOKUP(A30,$W$3:$AB$12,3,))</f>
        <v/>
      </c>
      <c r="Q30" s="457" t="s">
        <v>104</v>
      </c>
      <c r="R30" s="457" t="str">
        <f t="shared" si="61"/>
        <v/>
      </c>
      <c r="S30" s="453" t="s">
        <v>140</v>
      </c>
      <c r="T30" s="467" t="str">
        <f t="shared" si="62"/>
        <v/>
      </c>
      <c r="U30" s="525"/>
      <c r="V30" s="525"/>
      <c r="AC30" s="45"/>
      <c r="AD30" s="45"/>
    </row>
    <row r="31" spans="1:30" ht="22.5" customHeight="1" thickBot="1" x14ac:dyDescent="0.3">
      <c r="A31" s="960" t="s">
        <v>405</v>
      </c>
      <c r="B31" s="961"/>
      <c r="C31" s="961"/>
      <c r="D31" s="961"/>
      <c r="E31" s="961"/>
      <c r="F31" s="961"/>
      <c r="G31" s="961"/>
      <c r="H31" s="961"/>
      <c r="I31" s="961"/>
      <c r="J31" s="961"/>
      <c r="K31" s="961"/>
      <c r="L31" s="961"/>
      <c r="M31" s="961"/>
      <c r="N31" s="469"/>
      <c r="O31" s="958" t="s">
        <v>215</v>
      </c>
      <c r="P31" s="958"/>
      <c r="Q31" s="474" t="s">
        <v>104</v>
      </c>
      <c r="R31" s="959">
        <f>AI12</f>
        <v>5.6485346880790885</v>
      </c>
      <c r="S31" s="959"/>
      <c r="T31" s="473"/>
      <c r="U31" s="524"/>
      <c r="V31" s="524"/>
    </row>
    <row r="32" spans="1:30" ht="21" customHeight="1" thickBot="1" x14ac:dyDescent="0.3">
      <c r="A32" s="470"/>
      <c r="B32" s="469"/>
      <c r="C32" s="507"/>
      <c r="D32" s="469"/>
      <c r="E32" s="507"/>
      <c r="F32" s="507"/>
      <c r="G32" s="507"/>
      <c r="H32" s="507"/>
      <c r="I32" s="469"/>
      <c r="J32" s="469"/>
      <c r="K32" s="469"/>
      <c r="L32" s="469"/>
      <c r="M32" s="469"/>
      <c r="N32" s="469"/>
      <c r="O32" s="956" t="s">
        <v>390</v>
      </c>
      <c r="P32" s="956"/>
      <c r="Q32" s="475" t="s">
        <v>104</v>
      </c>
      <c r="R32" s="957">
        <f>R31/230</f>
        <v>2.4558846469909079E-2</v>
      </c>
      <c r="S32" s="957"/>
      <c r="T32" s="476"/>
      <c r="U32" s="386"/>
      <c r="V32" s="386"/>
    </row>
    <row r="33" spans="1:30" ht="15.75" thickBot="1" x14ac:dyDescent="0.3">
      <c r="A33" s="988" t="s">
        <v>406</v>
      </c>
      <c r="B33" s="989"/>
      <c r="C33" s="989"/>
      <c r="D33" s="990"/>
      <c r="E33" s="952" t="s">
        <v>434</v>
      </c>
      <c r="F33" s="952"/>
      <c r="G33" s="950" t="s">
        <v>104</v>
      </c>
      <c r="H33" s="954" t="s">
        <v>433</v>
      </c>
      <c r="I33" s="950" t="s">
        <v>275</v>
      </c>
      <c r="J33" s="540">
        <v>2</v>
      </c>
      <c r="K33" s="952" t="s">
        <v>134</v>
      </c>
      <c r="L33" s="952" t="s">
        <v>432</v>
      </c>
      <c r="M33" s="952" t="s">
        <v>134</v>
      </c>
      <c r="N33" s="952" t="s">
        <v>431</v>
      </c>
      <c r="O33" s="950" t="s">
        <v>104</v>
      </c>
      <c r="P33" s="541"/>
      <c r="Q33" s="541"/>
      <c r="R33" s="966" t="s">
        <v>358</v>
      </c>
      <c r="S33" s="966"/>
      <c r="T33" s="986"/>
      <c r="U33" s="524"/>
      <c r="V33" s="524"/>
    </row>
    <row r="34" spans="1:30" ht="15.75" thickBot="1" x14ac:dyDescent="0.3">
      <c r="A34" s="991"/>
      <c r="B34" s="992"/>
      <c r="C34" s="992"/>
      <c r="D34" s="993"/>
      <c r="E34" s="953"/>
      <c r="F34" s="953"/>
      <c r="G34" s="951"/>
      <c r="H34" s="955"/>
      <c r="I34" s="951"/>
      <c r="J34" s="543">
        <v>3</v>
      </c>
      <c r="K34" s="953"/>
      <c r="L34" s="953"/>
      <c r="M34" s="953"/>
      <c r="N34" s="953"/>
      <c r="O34" s="951"/>
      <c r="P34" s="542"/>
      <c r="Q34" s="542"/>
      <c r="R34" s="951"/>
      <c r="S34" s="951"/>
      <c r="T34" s="987"/>
      <c r="U34" s="524"/>
      <c r="V34" s="524"/>
    </row>
    <row r="35" spans="1:30" ht="15.75" thickBot="1" x14ac:dyDescent="0.3">
      <c r="A35" s="970" t="s">
        <v>420</v>
      </c>
      <c r="B35" s="970"/>
      <c r="C35" s="974"/>
      <c r="D35" s="997" t="s">
        <v>407</v>
      </c>
      <c r="E35" s="967" t="s">
        <v>140</v>
      </c>
      <c r="F35" s="997" t="s">
        <v>408</v>
      </c>
      <c r="G35" s="966" t="s">
        <v>275</v>
      </c>
      <c r="H35" s="544">
        <v>2</v>
      </c>
      <c r="I35" s="971" t="s">
        <v>134</v>
      </c>
      <c r="J35" s="966">
        <f>IF(A35="","",VLOOKUP(A35,$W$3:$AB$12,5,))</f>
        <v>50</v>
      </c>
      <c r="K35" s="967" t="s">
        <v>140</v>
      </c>
      <c r="L35" s="972">
        <f>IF(A35="","",VLOOKUP(A35,$W$3:$AB$12,6,))</f>
        <v>90</v>
      </c>
      <c r="M35" s="971" t="s">
        <v>134</v>
      </c>
      <c r="N35" s="966">
        <f>IF(A35="","",VLOOKUP(A35,$W$3:$AB$12,2,))</f>
        <v>2.3099999999999999E-2</v>
      </c>
      <c r="O35" s="967" t="s">
        <v>140</v>
      </c>
      <c r="P35" s="966">
        <f>IF(A35="","",VLOOKUP(A35,$W$3:$AB$12,3,))</f>
        <v>4.2272186653265917</v>
      </c>
      <c r="Q35" s="966" t="s">
        <v>104</v>
      </c>
      <c r="R35" s="966">
        <f>IF(J35="","",(2/3)*J35*N35)</f>
        <v>0.76999999999999991</v>
      </c>
      <c r="S35" s="967" t="s">
        <v>140</v>
      </c>
      <c r="T35" s="995">
        <f>IF(L35="","",P35-L35)</f>
        <v>-85.772781334673411</v>
      </c>
      <c r="U35" s="528"/>
      <c r="V35" s="528"/>
    </row>
    <row r="36" spans="1:30" ht="15.75" thickBot="1" x14ac:dyDescent="0.3">
      <c r="A36" s="975"/>
      <c r="B36" s="975"/>
      <c r="C36" s="976"/>
      <c r="D36" s="998"/>
      <c r="E36" s="968"/>
      <c r="F36" s="998"/>
      <c r="G36" s="950"/>
      <c r="H36" s="545">
        <v>3</v>
      </c>
      <c r="I36" s="952"/>
      <c r="J36" s="950"/>
      <c r="K36" s="968"/>
      <c r="L36" s="973"/>
      <c r="M36" s="952"/>
      <c r="N36" s="950"/>
      <c r="O36" s="968"/>
      <c r="P36" s="950"/>
      <c r="Q36" s="950"/>
      <c r="R36" s="950"/>
      <c r="S36" s="968"/>
      <c r="T36" s="996"/>
      <c r="U36" s="528"/>
      <c r="V36" s="528"/>
    </row>
    <row r="37" spans="1:30" ht="21" thickBot="1" x14ac:dyDescent="0.3">
      <c r="A37" s="988" t="s">
        <v>409</v>
      </c>
      <c r="B37" s="989"/>
      <c r="C37" s="989"/>
      <c r="D37" s="990"/>
      <c r="E37" s="971" t="s">
        <v>434</v>
      </c>
      <c r="F37" s="971"/>
      <c r="G37" s="966" t="s">
        <v>104</v>
      </c>
      <c r="H37" s="994" t="s">
        <v>433</v>
      </c>
      <c r="I37" s="966" t="s">
        <v>275</v>
      </c>
      <c r="J37" s="971" t="s">
        <v>432</v>
      </c>
      <c r="K37" s="971" t="s">
        <v>410</v>
      </c>
      <c r="L37" s="971" t="s">
        <v>411</v>
      </c>
      <c r="M37" s="966" t="s">
        <v>185</v>
      </c>
      <c r="N37" s="547" t="s">
        <v>412</v>
      </c>
      <c r="O37" s="966" t="s">
        <v>435</v>
      </c>
      <c r="P37" s="539"/>
      <c r="Q37" s="539"/>
      <c r="R37" s="539"/>
      <c r="S37" s="539"/>
      <c r="T37" s="966" t="s">
        <v>358</v>
      </c>
      <c r="U37" s="966"/>
      <c r="V37" s="986"/>
    </row>
    <row r="38" spans="1:30" ht="15.75" thickBot="1" x14ac:dyDescent="0.3">
      <c r="A38" s="991"/>
      <c r="B38" s="992"/>
      <c r="C38" s="992"/>
      <c r="D38" s="993"/>
      <c r="E38" s="953"/>
      <c r="F38" s="953"/>
      <c r="G38" s="951"/>
      <c r="H38" s="955"/>
      <c r="I38" s="951"/>
      <c r="J38" s="953"/>
      <c r="K38" s="953"/>
      <c r="L38" s="953"/>
      <c r="M38" s="951"/>
      <c r="N38" s="543">
        <v>2</v>
      </c>
      <c r="O38" s="951"/>
      <c r="P38" s="542"/>
      <c r="Q38" s="542"/>
      <c r="R38" s="542"/>
      <c r="S38" s="542"/>
      <c r="T38" s="951"/>
      <c r="U38" s="951"/>
      <c r="V38" s="987"/>
    </row>
    <row r="39" spans="1:30" ht="15.75" thickBot="1" x14ac:dyDescent="0.3">
      <c r="A39" s="969" t="s">
        <v>366</v>
      </c>
      <c r="B39" s="970"/>
      <c r="C39" s="970"/>
      <c r="D39" s="546" t="s">
        <v>413</v>
      </c>
      <c r="E39" s="966">
        <f>IF(A39="","",VLOOKUP(A39,$W$3:$AB$12,5,))</f>
        <v>121</v>
      </c>
      <c r="F39" s="966"/>
      <c r="G39" s="966"/>
      <c r="H39" s="967" t="s">
        <v>140</v>
      </c>
      <c r="I39" s="984">
        <f>IF(A39="","",VLOOKUP(A39,$W$3:$AB$12,6,))</f>
        <v>90</v>
      </c>
      <c r="J39" s="984"/>
      <c r="K39" s="971" t="s">
        <v>410</v>
      </c>
      <c r="L39" s="966">
        <f>IF(A39="","",VLOOKUP(A39,$W$3:$AB$12,2,))</f>
        <v>6.0000000000000001E-3</v>
      </c>
      <c r="M39" s="967" t="s">
        <v>140</v>
      </c>
      <c r="N39" s="966">
        <f>IF(A39="","",VLOOKUP(A39,$W$3:$AB$12,3,))</f>
        <v>12.215719134130845</v>
      </c>
      <c r="O39" s="966" t="s">
        <v>185</v>
      </c>
      <c r="P39" s="549">
        <f>IF(A40="","",VLOOKUP(A40,$W$3:$AB$12,2,))</f>
        <v>2.3099999999999999E-2</v>
      </c>
      <c r="Q39" s="550" t="s">
        <v>140</v>
      </c>
      <c r="R39" s="549">
        <f>IF(A40="","",VLOOKUP(A40,$W$3:$AB$12,3,))</f>
        <v>4.2272186653265917</v>
      </c>
      <c r="S39" s="966" t="s">
        <v>414</v>
      </c>
      <c r="T39" s="982">
        <v>7.4448261379993053</v>
      </c>
      <c r="U39" s="967" t="s">
        <v>140</v>
      </c>
      <c r="V39" s="979">
        <v>-18.920598619727969</v>
      </c>
    </row>
    <row r="40" spans="1:30" ht="15.75" thickBot="1" x14ac:dyDescent="0.3">
      <c r="A40" s="977" t="s">
        <v>420</v>
      </c>
      <c r="B40" s="975"/>
      <c r="C40" s="975"/>
      <c r="D40" s="548" t="s">
        <v>415</v>
      </c>
      <c r="E40" s="951"/>
      <c r="F40" s="951"/>
      <c r="G40" s="951"/>
      <c r="H40" s="978"/>
      <c r="I40" s="985"/>
      <c r="J40" s="985"/>
      <c r="K40" s="953"/>
      <c r="L40" s="951"/>
      <c r="M40" s="978"/>
      <c r="N40" s="951"/>
      <c r="O40" s="951"/>
      <c r="P40" s="981">
        <v>2</v>
      </c>
      <c r="Q40" s="981"/>
      <c r="R40" s="981"/>
      <c r="S40" s="951"/>
      <c r="T40" s="983"/>
      <c r="U40" s="978"/>
      <c r="V40" s="980"/>
    </row>
    <row r="42" spans="1:30" x14ac:dyDescent="0.25">
      <c r="AC42" s="45"/>
      <c r="AD42" s="45"/>
    </row>
    <row r="43" spans="1:30" x14ac:dyDescent="0.25">
      <c r="AC43" s="45"/>
      <c r="AD43" s="45"/>
    </row>
    <row r="44" spans="1:30" x14ac:dyDescent="0.25">
      <c r="AC44" s="45"/>
      <c r="AD44" s="45"/>
    </row>
    <row r="45" spans="1:30" x14ac:dyDescent="0.25">
      <c r="AC45" s="45"/>
      <c r="AD45" s="45"/>
    </row>
    <row r="46" spans="1:30" x14ac:dyDescent="0.25">
      <c r="AC46" s="45"/>
      <c r="AD46" s="45"/>
    </row>
    <row r="47" spans="1:30" x14ac:dyDescent="0.25">
      <c r="AC47" s="45"/>
      <c r="AD47" s="45"/>
    </row>
    <row r="48" spans="1:30" x14ac:dyDescent="0.25">
      <c r="AC48" s="45"/>
      <c r="AD48" s="45"/>
    </row>
    <row r="49" spans="29:30" x14ac:dyDescent="0.25">
      <c r="AC49" s="45"/>
      <c r="AD49" s="45"/>
    </row>
    <row r="50" spans="29:30" x14ac:dyDescent="0.25">
      <c r="AC50" s="45"/>
      <c r="AD50" s="45"/>
    </row>
    <row r="51" spans="29:30" x14ac:dyDescent="0.25">
      <c r="AC51" s="45"/>
      <c r="AD51" s="45"/>
    </row>
    <row r="52" spans="29:30" x14ac:dyDescent="0.25">
      <c r="AC52" s="45"/>
      <c r="AD52" s="45"/>
    </row>
  </sheetData>
  <mergeCells count="77">
    <mergeCell ref="R33:T34"/>
    <mergeCell ref="T37:V38"/>
    <mergeCell ref="A33:D34"/>
    <mergeCell ref="A37:D38"/>
    <mergeCell ref="E37:F38"/>
    <mergeCell ref="G37:G38"/>
    <mergeCell ref="H37:H38"/>
    <mergeCell ref="J37:J38"/>
    <mergeCell ref="K37:K38"/>
    <mergeCell ref="L37:L38"/>
    <mergeCell ref="M37:M38"/>
    <mergeCell ref="T35:T36"/>
    <mergeCell ref="D35:D36"/>
    <mergeCell ref="F35:F36"/>
    <mergeCell ref="E35:E36"/>
    <mergeCell ref="I35:I36"/>
    <mergeCell ref="A40:C40"/>
    <mergeCell ref="E39:G40"/>
    <mergeCell ref="H39:H40"/>
    <mergeCell ref="I37:I38"/>
    <mergeCell ref="V39:V40"/>
    <mergeCell ref="O39:O40"/>
    <mergeCell ref="S39:S40"/>
    <mergeCell ref="P40:R40"/>
    <mergeCell ref="T39:T40"/>
    <mergeCell ref="U39:U40"/>
    <mergeCell ref="I39:J40"/>
    <mergeCell ref="K39:K40"/>
    <mergeCell ref="L39:L40"/>
    <mergeCell ref="M39:M40"/>
    <mergeCell ref="N39:N40"/>
    <mergeCell ref="O37:O38"/>
    <mergeCell ref="J35:J36"/>
    <mergeCell ref="K35:K36"/>
    <mergeCell ref="O35:O36"/>
    <mergeCell ref="A39:C39"/>
    <mergeCell ref="S35:S36"/>
    <mergeCell ref="Q35:Q36"/>
    <mergeCell ref="M35:M36"/>
    <mergeCell ref="N35:N36"/>
    <mergeCell ref="L35:L36"/>
    <mergeCell ref="P35:P36"/>
    <mergeCell ref="R35:R36"/>
    <mergeCell ref="A35:C36"/>
    <mergeCell ref="G35:G36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O32:P32"/>
    <mergeCell ref="R32:S32"/>
    <mergeCell ref="O31:P31"/>
    <mergeCell ref="R31:S31"/>
    <mergeCell ref="A31:M31"/>
    <mergeCell ref="G33:G34"/>
    <mergeCell ref="O33:O34"/>
    <mergeCell ref="E33:F34"/>
    <mergeCell ref="I33:I34"/>
    <mergeCell ref="N33:N34"/>
    <mergeCell ref="M33:M34"/>
    <mergeCell ref="L33:L34"/>
    <mergeCell ref="H33:H34"/>
    <mergeCell ref="K33:K34"/>
    <mergeCell ref="A20:C20"/>
    <mergeCell ref="A17:C19"/>
    <mergeCell ref="D17:P19"/>
    <mergeCell ref="Q17:Q19"/>
    <mergeCell ref="R17:T19"/>
    <mergeCell ref="J20:L20"/>
    <mergeCell ref="N20:P20"/>
    <mergeCell ref="R20:T20"/>
  </mergeCells>
  <dataValidations count="1">
    <dataValidation type="list" allowBlank="1" showInputMessage="1" showErrorMessage="1" sqref="A35 A21:A30 A39:A40" xr:uid="{00000000-0002-0000-0A00-000000000000}">
      <formula1>$W$2:$W$12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11"/>
  <sheetViews>
    <sheetView showGridLines="0" topLeftCell="A10" zoomScaleNormal="100" workbookViewId="0">
      <selection activeCell="E18" sqref="E18:G18"/>
    </sheetView>
  </sheetViews>
  <sheetFormatPr defaultRowHeight="15" x14ac:dyDescent="0.25"/>
  <cols>
    <col min="1" max="1" width="2.85546875" style="45" customWidth="1"/>
    <col min="2" max="2" width="4" style="45" customWidth="1"/>
    <col min="3" max="3" width="4.5703125" style="45" customWidth="1"/>
    <col min="4" max="4" width="4.28515625" style="45" customWidth="1"/>
    <col min="5" max="5" width="3.42578125" style="45" customWidth="1"/>
    <col min="6" max="6" width="2.5703125" style="45" customWidth="1"/>
    <col min="7" max="7" width="2.140625" style="45" customWidth="1"/>
    <col min="8" max="8" width="5.42578125" style="45" customWidth="1"/>
    <col min="9" max="9" width="2.140625" style="45" customWidth="1"/>
    <col min="10" max="10" width="1.28515625" style="45" customWidth="1"/>
    <col min="11" max="11" width="3.85546875" style="45" customWidth="1"/>
    <col min="12" max="12" width="2" style="45" customWidth="1"/>
    <col min="13" max="13" width="5" style="45" customWidth="1"/>
    <col min="14" max="14" width="3.28515625" style="45" customWidth="1"/>
    <col min="15" max="15" width="3" style="45" customWidth="1"/>
    <col min="16" max="16" width="2.7109375" style="45" customWidth="1"/>
    <col min="17" max="17" width="3.7109375" style="45" customWidth="1"/>
    <col min="18" max="18" width="2.85546875" style="45" customWidth="1"/>
    <col min="19" max="20" width="4.42578125" style="45" customWidth="1"/>
    <col min="21" max="21" width="2.42578125" style="45" customWidth="1"/>
    <col min="22" max="22" width="3.7109375" style="45" customWidth="1"/>
    <col min="23" max="23" width="2.28515625" style="45" customWidth="1"/>
    <col min="24" max="25" width="7.7109375" style="45" customWidth="1"/>
    <col min="26" max="26" width="13.7109375" style="45" customWidth="1"/>
    <col min="27" max="27" width="4.5703125" style="45" hidden="1" customWidth="1"/>
    <col min="28" max="39" width="6.7109375" style="45" hidden="1" customWidth="1"/>
    <col min="40" max="47" width="9.140625" style="45" customWidth="1"/>
    <col min="48" max="16384" width="9.140625" style="45"/>
  </cols>
  <sheetData>
    <row r="1" spans="1:39" s="234" customFormat="1" ht="21" x14ac:dyDescent="0.35">
      <c r="A1" s="235" t="s">
        <v>259</v>
      </c>
      <c r="C1" s="235"/>
      <c r="H1" s="235" t="s">
        <v>252</v>
      </c>
      <c r="I1" s="235"/>
      <c r="K1" s="238" t="s">
        <v>262</v>
      </c>
      <c r="L1" s="238"/>
    </row>
    <row r="2" spans="1:39" s="234" customFormat="1" ht="15.75" customHeight="1" x14ac:dyDescent="0.35">
      <c r="C2" s="235"/>
      <c r="H2" s="235"/>
      <c r="I2" s="235"/>
      <c r="K2" s="244"/>
      <c r="L2" s="244"/>
    </row>
    <row r="3" spans="1:39" s="234" customFormat="1" ht="15.75" customHeight="1" x14ac:dyDescent="0.35">
      <c r="Z3" s="82"/>
      <c r="AA3" s="232"/>
      <c r="AB3" s="82"/>
      <c r="AC3" s="40"/>
      <c r="AD3" s="40"/>
    </row>
    <row r="4" spans="1:39" s="234" customFormat="1" ht="15.75" customHeight="1" x14ac:dyDescent="0.35">
      <c r="Z4" s="652"/>
      <c r="AA4" s="652"/>
      <c r="AB4" s="224"/>
      <c r="AC4" s="240"/>
      <c r="AD4" s="40"/>
    </row>
    <row r="5" spans="1:39" s="234" customFormat="1" ht="15.75" customHeight="1" x14ac:dyDescent="0.35">
      <c r="Z5" s="40"/>
      <c r="AA5" s="245"/>
      <c r="AB5" s="115"/>
      <c r="AC5" s="240"/>
      <c r="AD5" s="40"/>
    </row>
    <row r="6" spans="1:39" s="234" customFormat="1" ht="9" customHeight="1" x14ac:dyDescent="0.35">
      <c r="Z6" s="243"/>
      <c r="AA6" s="243"/>
      <c r="AB6" s="243"/>
      <c r="AC6" s="40"/>
      <c r="AD6" s="40"/>
    </row>
    <row r="7" spans="1:39" s="234" customFormat="1" ht="15.75" customHeight="1" thickBot="1" x14ac:dyDescent="0.4">
      <c r="AA7" s="338"/>
      <c r="AB7" s="332"/>
      <c r="AC7" s="40"/>
      <c r="AD7" s="40"/>
    </row>
    <row r="8" spans="1:39" s="234" customFormat="1" ht="15.75" customHeight="1" x14ac:dyDescent="0.35">
      <c r="R8" s="247"/>
      <c r="S8" s="247"/>
      <c r="T8" s="247"/>
      <c r="U8" s="247"/>
      <c r="V8" s="247"/>
      <c r="W8" s="247"/>
      <c r="X8" s="247"/>
      <c r="Z8" s="40"/>
      <c r="AA8" s="246"/>
      <c r="AB8" s="17" t="s">
        <v>241</v>
      </c>
      <c r="AC8" s="18"/>
      <c r="AD8" s="19"/>
      <c r="AE8" s="17" t="s">
        <v>242</v>
      </c>
      <c r="AF8" s="18"/>
      <c r="AG8" s="19"/>
      <c r="AH8" s="17" t="s">
        <v>243</v>
      </c>
      <c r="AI8" s="18"/>
      <c r="AJ8" s="19"/>
      <c r="AK8" s="1032" t="s">
        <v>264</v>
      </c>
      <c r="AL8" s="1033"/>
      <c r="AM8" s="1049"/>
    </row>
    <row r="9" spans="1:39" s="234" customFormat="1" ht="7.5" customHeight="1" x14ac:dyDescent="0.35">
      <c r="A9" s="235"/>
      <c r="C9" s="235"/>
      <c r="H9" s="235"/>
      <c r="I9" s="235"/>
      <c r="K9" s="244"/>
      <c r="L9" s="244"/>
      <c r="R9" s="694" t="s">
        <v>264</v>
      </c>
      <c r="S9" s="694"/>
      <c r="T9" s="694"/>
      <c r="U9" s="694"/>
      <c r="V9" s="694"/>
      <c r="W9" s="694"/>
      <c r="X9" s="694"/>
      <c r="Y9" s="309"/>
      <c r="AB9" s="82"/>
      <c r="AC9" s="224"/>
      <c r="AD9" s="339"/>
    </row>
    <row r="10" spans="1:39" s="234" customFormat="1" ht="7.5" customHeight="1" thickBot="1" x14ac:dyDescent="0.4">
      <c r="R10" s="627"/>
      <c r="S10" s="627"/>
      <c r="T10" s="627"/>
      <c r="U10" s="627"/>
      <c r="V10" s="627"/>
      <c r="W10" s="627"/>
      <c r="X10" s="627"/>
      <c r="Y10" s="309"/>
    </row>
    <row r="11" spans="1:39" x14ac:dyDescent="0.25">
      <c r="A11" s="1032" t="s">
        <v>222</v>
      </c>
      <c r="B11" s="1033"/>
      <c r="C11" s="1033"/>
      <c r="D11" s="1033"/>
      <c r="E11" s="1033" t="s">
        <v>241</v>
      </c>
      <c r="F11" s="1033"/>
      <c r="G11" s="1033"/>
      <c r="H11" s="1033" t="s">
        <v>242</v>
      </c>
      <c r="I11" s="1033"/>
      <c r="J11" s="1033" t="s">
        <v>243</v>
      </c>
      <c r="K11" s="1033"/>
      <c r="L11" s="1033"/>
      <c r="M11" s="1033" t="s">
        <v>50</v>
      </c>
      <c r="N11" s="1033"/>
      <c r="O11" s="1033" t="s">
        <v>244</v>
      </c>
      <c r="P11" s="1033"/>
      <c r="Q11" s="1049"/>
      <c r="R11" s="1032" t="s">
        <v>203</v>
      </c>
      <c r="S11" s="1033"/>
      <c r="T11" s="1033" t="s">
        <v>265</v>
      </c>
      <c r="U11" s="1033"/>
      <c r="V11" s="1033" t="s">
        <v>50</v>
      </c>
      <c r="W11" s="1033"/>
      <c r="X11" s="249" t="s">
        <v>244</v>
      </c>
      <c r="Y11" s="74"/>
      <c r="AA11" s="45">
        <v>400</v>
      </c>
      <c r="AB11" s="20" t="s">
        <v>245</v>
      </c>
      <c r="AC11" s="10" t="s">
        <v>246</v>
      </c>
      <c r="AD11" s="21" t="s">
        <v>247</v>
      </c>
      <c r="AE11" s="20" t="s">
        <v>245</v>
      </c>
      <c r="AF11" s="10" t="s">
        <v>246</v>
      </c>
      <c r="AG11" s="21" t="s">
        <v>247</v>
      </c>
      <c r="AH11" s="20" t="s">
        <v>245</v>
      </c>
      <c r="AI11" s="10" t="s">
        <v>246</v>
      </c>
      <c r="AJ11" s="21" t="s">
        <v>247</v>
      </c>
      <c r="AK11" s="20" t="s">
        <v>245</v>
      </c>
      <c r="AL11" s="10" t="s">
        <v>246</v>
      </c>
      <c r="AM11" s="21" t="s">
        <v>247</v>
      </c>
    </row>
    <row r="12" spans="1:39" ht="15.75" customHeight="1" x14ac:dyDescent="0.25">
      <c r="A12" s="1027" t="s">
        <v>442</v>
      </c>
      <c r="B12" s="1028"/>
      <c r="C12" s="1028"/>
      <c r="D12" s="1028"/>
      <c r="E12" s="1014">
        <v>6</v>
      </c>
      <c r="F12" s="1014"/>
      <c r="G12" s="1014"/>
      <c r="H12" s="1014"/>
      <c r="I12" s="1014"/>
      <c r="J12" s="1014"/>
      <c r="K12" s="1014"/>
      <c r="L12" s="1014"/>
      <c r="M12" s="1016">
        <v>0.95</v>
      </c>
      <c r="N12" s="1016"/>
      <c r="O12" s="1034">
        <f>DEGREES(ACOS(M12))*-1</f>
        <v>-18.194872338766785</v>
      </c>
      <c r="P12" s="1034"/>
      <c r="Q12" s="1035"/>
      <c r="R12" s="1015">
        <v>4</v>
      </c>
      <c r="S12" s="718"/>
      <c r="T12" s="1036">
        <f t="shared" ref="T12:T30" si="0">E12*R12</f>
        <v>24</v>
      </c>
      <c r="U12" s="1036"/>
      <c r="V12" s="718">
        <v>0.95</v>
      </c>
      <c r="W12" s="718"/>
      <c r="X12" s="250">
        <f>DEGREES(ACOS(V12))*-1</f>
        <v>-18.194872338766785</v>
      </c>
      <c r="AA12" s="45">
        <v>230</v>
      </c>
      <c r="AB12" s="20">
        <f t="shared" ref="AB12:AB28" si="1">E12*M12</f>
        <v>5.6999999999999993</v>
      </c>
      <c r="AC12" s="10">
        <f t="shared" ref="AC12:AC28" si="2">E12*SIN(RADIANS((-1*O12)))</f>
        <v>1.8734993995195202</v>
      </c>
      <c r="AD12" s="21">
        <f>IMABS(COMPLEX(AB12,AC12,"i"))</f>
        <v>6</v>
      </c>
      <c r="AE12" s="20">
        <f t="shared" ref="AE12:AE28" si="3">H12*M12</f>
        <v>0</v>
      </c>
      <c r="AF12" s="10">
        <f t="shared" ref="AF12:AF28" si="4">H12*SIN(RADIANS((-1*O12)))</f>
        <v>0</v>
      </c>
      <c r="AG12" s="21">
        <f>IMABS(COMPLEX(AE12,AF12,"i"))</f>
        <v>0</v>
      </c>
      <c r="AH12" s="20">
        <f t="shared" ref="AH12:AH28" si="5">J12*M12</f>
        <v>0</v>
      </c>
      <c r="AI12" s="10">
        <f t="shared" ref="AI12:AI28" si="6">J12*SIN(RADIANS((-1*O12)))</f>
        <v>0</v>
      </c>
      <c r="AJ12" s="21">
        <f>IMABS(COMPLEX(AH12,AI12,"i"))</f>
        <v>0</v>
      </c>
      <c r="AK12" s="20">
        <f>T12*V12</f>
        <v>22.799999999999997</v>
      </c>
      <c r="AL12" s="10">
        <f>T12*SIN(RADIANS((-1*X12)))</f>
        <v>7.4939975980780806</v>
      </c>
      <c r="AM12" s="21">
        <f>IMABS(COMPLEX(AK12,AL12,"i"))</f>
        <v>24</v>
      </c>
    </row>
    <row r="13" spans="1:39" ht="15.75" customHeight="1" x14ac:dyDescent="0.25">
      <c r="A13" s="1027" t="s">
        <v>443</v>
      </c>
      <c r="B13" s="1028"/>
      <c r="C13" s="1028"/>
      <c r="D13" s="1028"/>
      <c r="E13" s="1014"/>
      <c r="F13" s="1014"/>
      <c r="G13" s="1014"/>
      <c r="H13" s="1014">
        <v>8</v>
      </c>
      <c r="I13" s="1014"/>
      <c r="J13" s="1014"/>
      <c r="K13" s="1014"/>
      <c r="L13" s="1014"/>
      <c r="M13" s="1016">
        <v>0.95</v>
      </c>
      <c r="N13" s="1016"/>
      <c r="O13" s="1034">
        <f>DEGREES(ACOS(M13))*-1</f>
        <v>-18.194872338766785</v>
      </c>
      <c r="P13" s="1034"/>
      <c r="Q13" s="1035"/>
      <c r="R13" s="1015">
        <v>6</v>
      </c>
      <c r="S13" s="718"/>
      <c r="T13" s="1036">
        <f t="shared" si="0"/>
        <v>0</v>
      </c>
      <c r="U13" s="1036"/>
      <c r="V13" s="718"/>
      <c r="W13" s="718"/>
      <c r="X13" s="250">
        <f t="shared" ref="X13:X30" si="7">DEGREES(ACOS(V13))*-1</f>
        <v>-90</v>
      </c>
      <c r="AB13" s="20">
        <f t="shared" si="1"/>
        <v>0</v>
      </c>
      <c r="AC13" s="10">
        <f t="shared" si="2"/>
        <v>0</v>
      </c>
      <c r="AD13" s="21">
        <f t="shared" ref="AD13:AD29" si="8">IMABS(COMPLEX(AB13,AC13,"i"))</f>
        <v>0</v>
      </c>
      <c r="AE13" s="20">
        <f t="shared" si="3"/>
        <v>7.6</v>
      </c>
      <c r="AF13" s="10">
        <f t="shared" si="4"/>
        <v>2.4979991993593602</v>
      </c>
      <c r="AG13" s="21">
        <f t="shared" ref="AG13:AG29" si="9">IMABS(COMPLEX(AE13,AF13,"i"))</f>
        <v>7.9999999999999991</v>
      </c>
      <c r="AH13" s="20">
        <f t="shared" si="5"/>
        <v>0</v>
      </c>
      <c r="AI13" s="10">
        <f t="shared" si="6"/>
        <v>0</v>
      </c>
      <c r="AJ13" s="21">
        <f t="shared" ref="AJ13:AJ29" si="10">IMABS(COMPLEX(AH13,AI13,"i"))</f>
        <v>0</v>
      </c>
      <c r="AK13" s="20">
        <f t="shared" ref="AK13:AK28" si="11">T13*V13</f>
        <v>0</v>
      </c>
      <c r="AL13" s="10">
        <f t="shared" ref="AL13:AL28" si="12">T13*SIN(RADIANS((-1*X13)))</f>
        <v>0</v>
      </c>
      <c r="AM13" s="21">
        <f t="shared" ref="AM13:AM24" si="13">IMABS(COMPLEX(AK13,AL13,"i"))</f>
        <v>0</v>
      </c>
    </row>
    <row r="14" spans="1:39" ht="15.75" customHeight="1" x14ac:dyDescent="0.25">
      <c r="A14" s="1027" t="s">
        <v>444</v>
      </c>
      <c r="B14" s="1028"/>
      <c r="C14" s="1028"/>
      <c r="D14" s="1028"/>
      <c r="E14" s="1014">
        <v>6</v>
      </c>
      <c r="F14" s="1014"/>
      <c r="G14" s="1014"/>
      <c r="H14" s="1014"/>
      <c r="I14" s="1014"/>
      <c r="J14" s="1014"/>
      <c r="K14" s="1014"/>
      <c r="L14" s="1014"/>
      <c r="M14" s="1016">
        <v>0.95</v>
      </c>
      <c r="N14" s="1016"/>
      <c r="O14" s="1034">
        <f>DEGREES(ACOS(M14))*-1</f>
        <v>-18.194872338766785</v>
      </c>
      <c r="P14" s="1034"/>
      <c r="Q14" s="1035"/>
      <c r="R14" s="1015">
        <v>4</v>
      </c>
      <c r="S14" s="718"/>
      <c r="T14" s="1036">
        <f t="shared" si="0"/>
        <v>24</v>
      </c>
      <c r="U14" s="1036"/>
      <c r="V14" s="718"/>
      <c r="W14" s="718"/>
      <c r="X14" s="250">
        <f t="shared" si="7"/>
        <v>-90</v>
      </c>
      <c r="AA14" s="45" t="s">
        <v>218</v>
      </c>
      <c r="AB14" s="20">
        <f t="shared" si="1"/>
        <v>5.6999999999999993</v>
      </c>
      <c r="AC14" s="10">
        <f t="shared" si="2"/>
        <v>1.8734993995195202</v>
      </c>
      <c r="AD14" s="21">
        <f t="shared" si="8"/>
        <v>6</v>
      </c>
      <c r="AE14" s="20">
        <f t="shared" si="3"/>
        <v>0</v>
      </c>
      <c r="AF14" s="10">
        <f t="shared" si="4"/>
        <v>0</v>
      </c>
      <c r="AG14" s="21">
        <f t="shared" si="9"/>
        <v>0</v>
      </c>
      <c r="AH14" s="20">
        <f t="shared" si="5"/>
        <v>0</v>
      </c>
      <c r="AI14" s="10">
        <f t="shared" si="6"/>
        <v>0</v>
      </c>
      <c r="AJ14" s="21">
        <f t="shared" si="10"/>
        <v>0</v>
      </c>
      <c r="AK14" s="20">
        <f t="shared" si="11"/>
        <v>0</v>
      </c>
      <c r="AL14" s="10">
        <f t="shared" si="12"/>
        <v>24</v>
      </c>
      <c r="AM14" s="21">
        <f t="shared" si="13"/>
        <v>24</v>
      </c>
    </row>
    <row r="15" spans="1:39" ht="15.75" customHeight="1" x14ac:dyDescent="0.25">
      <c r="A15" s="1027" t="s">
        <v>445</v>
      </c>
      <c r="B15" s="1028"/>
      <c r="C15" s="1028"/>
      <c r="D15" s="1028"/>
      <c r="E15" s="1014">
        <v>22</v>
      </c>
      <c r="F15" s="1014"/>
      <c r="G15" s="1014"/>
      <c r="H15" s="1014">
        <v>22</v>
      </c>
      <c r="I15" s="1014"/>
      <c r="J15" s="1014">
        <v>22</v>
      </c>
      <c r="K15" s="1014"/>
      <c r="L15" s="1014"/>
      <c r="M15" s="1016">
        <v>0.9</v>
      </c>
      <c r="N15" s="1016"/>
      <c r="O15" s="1034">
        <f t="shared" ref="O15:O30" si="14">DEGREES(ACOS(M15))*-1</f>
        <v>-25.841932763167126</v>
      </c>
      <c r="P15" s="1034"/>
      <c r="Q15" s="1035"/>
      <c r="R15" s="1015">
        <v>6</v>
      </c>
      <c r="S15" s="718"/>
      <c r="T15" s="1036">
        <f t="shared" si="0"/>
        <v>132</v>
      </c>
      <c r="U15" s="1036"/>
      <c r="V15" s="718"/>
      <c r="W15" s="718"/>
      <c r="X15" s="250">
        <f t="shared" si="7"/>
        <v>-90</v>
      </c>
      <c r="AA15" s="45" t="s">
        <v>256</v>
      </c>
      <c r="AB15" s="20">
        <f t="shared" si="1"/>
        <v>19.8</v>
      </c>
      <c r="AC15" s="10">
        <f t="shared" si="2"/>
        <v>9.5895776757894797</v>
      </c>
      <c r="AD15" s="21">
        <f t="shared" si="8"/>
        <v>22</v>
      </c>
      <c r="AE15" s="20">
        <f t="shared" si="3"/>
        <v>19.8</v>
      </c>
      <c r="AF15" s="10">
        <f t="shared" si="4"/>
        <v>9.5895776757894797</v>
      </c>
      <c r="AG15" s="21">
        <f t="shared" si="9"/>
        <v>22</v>
      </c>
      <c r="AH15" s="20">
        <f t="shared" si="5"/>
        <v>19.8</v>
      </c>
      <c r="AI15" s="10">
        <f t="shared" si="6"/>
        <v>9.5895776757894797</v>
      </c>
      <c r="AJ15" s="21">
        <f t="shared" si="10"/>
        <v>22</v>
      </c>
      <c r="AK15" s="20">
        <f t="shared" si="11"/>
        <v>0</v>
      </c>
      <c r="AL15" s="10">
        <f t="shared" si="12"/>
        <v>132</v>
      </c>
      <c r="AM15" s="21">
        <f t="shared" si="13"/>
        <v>132</v>
      </c>
    </row>
    <row r="16" spans="1:39" ht="15.75" customHeight="1" x14ac:dyDescent="0.25">
      <c r="A16" s="1027" t="s">
        <v>446</v>
      </c>
      <c r="B16" s="1028"/>
      <c r="C16" s="1028"/>
      <c r="D16" s="1028"/>
      <c r="E16" s="1014"/>
      <c r="F16" s="1014"/>
      <c r="G16" s="1014"/>
      <c r="H16" s="1014"/>
      <c r="I16" s="1014"/>
      <c r="J16" s="1014">
        <v>8</v>
      </c>
      <c r="K16" s="1014"/>
      <c r="L16" s="1014"/>
      <c r="M16" s="1016">
        <v>0.9</v>
      </c>
      <c r="N16" s="1016"/>
      <c r="O16" s="1034">
        <f t="shared" si="14"/>
        <v>-25.841932763167126</v>
      </c>
      <c r="P16" s="1034"/>
      <c r="Q16" s="1035"/>
      <c r="R16" s="1015">
        <v>4</v>
      </c>
      <c r="S16" s="718"/>
      <c r="T16" s="1036">
        <f>J16*R16</f>
        <v>32</v>
      </c>
      <c r="U16" s="1036"/>
      <c r="V16" s="718"/>
      <c r="W16" s="718"/>
      <c r="X16" s="250">
        <f t="shared" si="7"/>
        <v>-90</v>
      </c>
      <c r="AA16" s="45" t="s">
        <v>257</v>
      </c>
      <c r="AB16" s="20">
        <f t="shared" si="1"/>
        <v>0</v>
      </c>
      <c r="AC16" s="10">
        <f t="shared" si="2"/>
        <v>0</v>
      </c>
      <c r="AD16" s="21">
        <f t="shared" si="8"/>
        <v>0</v>
      </c>
      <c r="AE16" s="20">
        <f t="shared" si="3"/>
        <v>0</v>
      </c>
      <c r="AF16" s="10">
        <f t="shared" si="4"/>
        <v>0</v>
      </c>
      <c r="AG16" s="21">
        <f t="shared" si="9"/>
        <v>0</v>
      </c>
      <c r="AH16" s="20">
        <f t="shared" si="5"/>
        <v>7.2</v>
      </c>
      <c r="AI16" s="10">
        <f t="shared" si="6"/>
        <v>3.4871191548325382</v>
      </c>
      <c r="AJ16" s="21">
        <f t="shared" si="10"/>
        <v>8</v>
      </c>
      <c r="AK16" s="20">
        <f t="shared" si="11"/>
        <v>0</v>
      </c>
      <c r="AL16" s="10">
        <f t="shared" si="12"/>
        <v>32</v>
      </c>
      <c r="AM16" s="21">
        <f t="shared" si="13"/>
        <v>32</v>
      </c>
    </row>
    <row r="17" spans="1:39" ht="15.75" customHeight="1" x14ac:dyDescent="0.25">
      <c r="A17" s="1027" t="s">
        <v>447</v>
      </c>
      <c r="B17" s="1028"/>
      <c r="C17" s="1028"/>
      <c r="D17" s="1028"/>
      <c r="E17" s="1014"/>
      <c r="F17" s="1014"/>
      <c r="G17" s="1014"/>
      <c r="H17" s="1014"/>
      <c r="I17" s="1014"/>
      <c r="J17" s="1014">
        <v>11</v>
      </c>
      <c r="K17" s="1014"/>
      <c r="L17" s="1014"/>
      <c r="M17" s="1016">
        <v>0.9</v>
      </c>
      <c r="N17" s="1016"/>
      <c r="O17" s="1034">
        <f t="shared" si="14"/>
        <v>-25.841932763167126</v>
      </c>
      <c r="P17" s="1034"/>
      <c r="Q17" s="1035"/>
      <c r="R17" s="1015">
        <v>5</v>
      </c>
      <c r="S17" s="718"/>
      <c r="T17" s="1036">
        <f>J17*R17</f>
        <v>55</v>
      </c>
      <c r="U17" s="1036"/>
      <c r="V17" s="718"/>
      <c r="W17" s="718"/>
      <c r="X17" s="250">
        <f t="shared" si="7"/>
        <v>-90</v>
      </c>
      <c r="AA17" s="45" t="s">
        <v>253</v>
      </c>
      <c r="AB17" s="20">
        <f t="shared" si="1"/>
        <v>0</v>
      </c>
      <c r="AC17" s="10">
        <f t="shared" si="2"/>
        <v>0</v>
      </c>
      <c r="AD17" s="21">
        <f t="shared" si="8"/>
        <v>0</v>
      </c>
      <c r="AE17" s="20">
        <f t="shared" si="3"/>
        <v>0</v>
      </c>
      <c r="AF17" s="10">
        <f t="shared" si="4"/>
        <v>0</v>
      </c>
      <c r="AG17" s="21">
        <f t="shared" si="9"/>
        <v>0</v>
      </c>
      <c r="AH17" s="20">
        <f t="shared" si="5"/>
        <v>9.9</v>
      </c>
      <c r="AI17" s="10">
        <f t="shared" si="6"/>
        <v>4.7947888378947399</v>
      </c>
      <c r="AJ17" s="21">
        <f t="shared" si="10"/>
        <v>11</v>
      </c>
      <c r="AK17" s="20">
        <f t="shared" si="11"/>
        <v>0</v>
      </c>
      <c r="AL17" s="10">
        <f t="shared" si="12"/>
        <v>55</v>
      </c>
      <c r="AM17" s="21">
        <f t="shared" si="13"/>
        <v>55</v>
      </c>
    </row>
    <row r="18" spans="1:39" ht="15.75" customHeight="1" x14ac:dyDescent="0.25">
      <c r="A18" s="1027" t="s">
        <v>448</v>
      </c>
      <c r="B18" s="1028"/>
      <c r="C18" s="1028"/>
      <c r="D18" s="1028"/>
      <c r="E18" s="1014"/>
      <c r="F18" s="1014"/>
      <c r="G18" s="1014"/>
      <c r="H18" s="1014"/>
      <c r="I18" s="1014"/>
      <c r="J18" s="1014">
        <v>6</v>
      </c>
      <c r="K18" s="1014"/>
      <c r="L18" s="1014"/>
      <c r="M18" s="1016">
        <v>0.95</v>
      </c>
      <c r="N18" s="1016"/>
      <c r="O18" s="1034">
        <f t="shared" si="14"/>
        <v>-18.194872338766785</v>
      </c>
      <c r="P18" s="1034"/>
      <c r="Q18" s="1035"/>
      <c r="R18" s="1015">
        <v>4</v>
      </c>
      <c r="S18" s="718"/>
      <c r="T18" s="1036">
        <f>J18*R18</f>
        <v>24</v>
      </c>
      <c r="U18" s="1036"/>
      <c r="V18" s="718"/>
      <c r="W18" s="718"/>
      <c r="X18" s="250">
        <f t="shared" si="7"/>
        <v>-90</v>
      </c>
      <c r="Y18" s="323"/>
      <c r="AA18" s="45" t="s">
        <v>255</v>
      </c>
      <c r="AB18" s="20">
        <f t="shared" si="1"/>
        <v>0</v>
      </c>
      <c r="AC18" s="10">
        <f t="shared" si="2"/>
        <v>0</v>
      </c>
      <c r="AD18" s="21">
        <f t="shared" si="8"/>
        <v>0</v>
      </c>
      <c r="AE18" s="20">
        <f t="shared" si="3"/>
        <v>0</v>
      </c>
      <c r="AF18" s="10">
        <f t="shared" si="4"/>
        <v>0</v>
      </c>
      <c r="AG18" s="21">
        <f t="shared" si="9"/>
        <v>0</v>
      </c>
      <c r="AH18" s="20">
        <f t="shared" si="5"/>
        <v>5.6999999999999993</v>
      </c>
      <c r="AI18" s="10">
        <f t="shared" si="6"/>
        <v>1.8734993995195202</v>
      </c>
      <c r="AJ18" s="21">
        <f t="shared" si="10"/>
        <v>6</v>
      </c>
      <c r="AK18" s="20">
        <f t="shared" si="11"/>
        <v>0</v>
      </c>
      <c r="AL18" s="10">
        <f t="shared" si="12"/>
        <v>24</v>
      </c>
      <c r="AM18" s="21">
        <f t="shared" si="13"/>
        <v>24</v>
      </c>
    </row>
    <row r="19" spans="1:39" ht="15.75" customHeight="1" x14ac:dyDescent="0.25">
      <c r="A19" s="1027" t="s">
        <v>449</v>
      </c>
      <c r="B19" s="1028"/>
      <c r="C19" s="1028"/>
      <c r="D19" s="1028"/>
      <c r="E19" s="1014">
        <v>5</v>
      </c>
      <c r="F19" s="1014"/>
      <c r="G19" s="1014"/>
      <c r="H19" s="1014"/>
      <c r="I19" s="1014"/>
      <c r="J19" s="1014"/>
      <c r="K19" s="1014"/>
      <c r="L19" s="1014"/>
      <c r="M19" s="1016">
        <v>0.95</v>
      </c>
      <c r="N19" s="1016"/>
      <c r="O19" s="1034">
        <f t="shared" si="14"/>
        <v>-18.194872338766785</v>
      </c>
      <c r="P19" s="1034"/>
      <c r="Q19" s="1035"/>
      <c r="R19" s="1015">
        <v>4</v>
      </c>
      <c r="S19" s="718"/>
      <c r="T19" s="1036">
        <f>H19*R19</f>
        <v>0</v>
      </c>
      <c r="U19" s="1036"/>
      <c r="V19" s="718"/>
      <c r="W19" s="718"/>
      <c r="X19" s="250">
        <f t="shared" si="7"/>
        <v>-90</v>
      </c>
      <c r="Y19" s="323"/>
      <c r="AB19" s="20">
        <f t="shared" si="1"/>
        <v>4.75</v>
      </c>
      <c r="AC19" s="10">
        <f t="shared" si="2"/>
        <v>1.5612494995996</v>
      </c>
      <c r="AD19" s="21">
        <f t="shared" si="8"/>
        <v>5</v>
      </c>
      <c r="AE19" s="20">
        <f t="shared" si="3"/>
        <v>0</v>
      </c>
      <c r="AF19" s="10">
        <f t="shared" si="4"/>
        <v>0</v>
      </c>
      <c r="AG19" s="21">
        <f t="shared" si="9"/>
        <v>0</v>
      </c>
      <c r="AH19" s="20">
        <f t="shared" si="5"/>
        <v>0</v>
      </c>
      <c r="AI19" s="10">
        <f t="shared" si="6"/>
        <v>0</v>
      </c>
      <c r="AJ19" s="21">
        <f t="shared" si="10"/>
        <v>0</v>
      </c>
      <c r="AK19" s="20">
        <f t="shared" si="11"/>
        <v>0</v>
      </c>
      <c r="AL19" s="10">
        <f t="shared" si="12"/>
        <v>0</v>
      </c>
      <c r="AM19" s="21">
        <f t="shared" si="13"/>
        <v>0</v>
      </c>
    </row>
    <row r="20" spans="1:39" ht="15.75" customHeight="1" x14ac:dyDescent="0.25">
      <c r="A20" s="1027" t="s">
        <v>450</v>
      </c>
      <c r="B20" s="1028"/>
      <c r="C20" s="1028"/>
      <c r="D20" s="1028"/>
      <c r="E20" s="1014"/>
      <c r="F20" s="1014"/>
      <c r="G20" s="1014"/>
      <c r="H20" s="1014">
        <v>15</v>
      </c>
      <c r="I20" s="1014"/>
      <c r="J20" s="1014">
        <v>15</v>
      </c>
      <c r="K20" s="1014"/>
      <c r="L20" s="1014"/>
      <c r="M20" s="1016">
        <v>0.8</v>
      </c>
      <c r="N20" s="1016"/>
      <c r="O20" s="1034">
        <f t="shared" si="14"/>
        <v>-36.869897645844013</v>
      </c>
      <c r="P20" s="1034"/>
      <c r="Q20" s="1035"/>
      <c r="R20" s="1015">
        <v>7</v>
      </c>
      <c r="S20" s="718"/>
      <c r="T20" s="1036">
        <f>H20*R20</f>
        <v>105</v>
      </c>
      <c r="U20" s="1036"/>
      <c r="V20" s="718"/>
      <c r="W20" s="718"/>
      <c r="X20" s="250">
        <f t="shared" si="7"/>
        <v>-90</v>
      </c>
      <c r="AA20" s="338">
        <f>IF(AND(A65=$AA$17,H65=$AA$16),C70/(SQRT(3)*D71*E71))+IF(AND(A65=$AA$18,H65=$AA$16),C70/(SQRT(3)*D71))</f>
        <v>0</v>
      </c>
      <c r="AB20" s="20">
        <f t="shared" si="1"/>
        <v>0</v>
      </c>
      <c r="AC20" s="10">
        <f t="shared" si="2"/>
        <v>0</v>
      </c>
      <c r="AD20" s="21">
        <f t="shared" si="8"/>
        <v>0</v>
      </c>
      <c r="AE20" s="20">
        <f t="shared" si="3"/>
        <v>12</v>
      </c>
      <c r="AF20" s="10">
        <f t="shared" si="4"/>
        <v>8.9999999999999982</v>
      </c>
      <c r="AG20" s="21">
        <f t="shared" si="9"/>
        <v>15</v>
      </c>
      <c r="AH20" s="20">
        <f t="shared" si="5"/>
        <v>12</v>
      </c>
      <c r="AI20" s="10">
        <f t="shared" si="6"/>
        <v>8.9999999999999982</v>
      </c>
      <c r="AJ20" s="21">
        <f t="shared" si="10"/>
        <v>15</v>
      </c>
      <c r="AK20" s="20">
        <f t="shared" si="11"/>
        <v>0</v>
      </c>
      <c r="AL20" s="10">
        <f t="shared" si="12"/>
        <v>105</v>
      </c>
      <c r="AM20" s="21">
        <f t="shared" si="13"/>
        <v>105</v>
      </c>
    </row>
    <row r="21" spans="1:39" ht="15.75" customHeight="1" x14ac:dyDescent="0.25">
      <c r="A21" s="1027" t="s">
        <v>451</v>
      </c>
      <c r="B21" s="1028"/>
      <c r="C21" s="1028"/>
      <c r="D21" s="1028"/>
      <c r="E21" s="1014">
        <v>15</v>
      </c>
      <c r="F21" s="1014"/>
      <c r="G21" s="1014"/>
      <c r="H21" s="1014">
        <v>15</v>
      </c>
      <c r="I21" s="1014"/>
      <c r="J21" s="1014">
        <v>15</v>
      </c>
      <c r="K21" s="1014"/>
      <c r="L21" s="1014"/>
      <c r="M21" s="1016">
        <v>0.85</v>
      </c>
      <c r="N21" s="1016"/>
      <c r="O21" s="1034">
        <f t="shared" si="14"/>
        <v>-31.788330617051621</v>
      </c>
      <c r="P21" s="1034"/>
      <c r="Q21" s="1035"/>
      <c r="R21" s="1015">
        <v>6</v>
      </c>
      <c r="S21" s="718"/>
      <c r="T21" s="1036">
        <f t="shared" si="0"/>
        <v>90</v>
      </c>
      <c r="U21" s="1036"/>
      <c r="V21" s="718"/>
      <c r="W21" s="718"/>
      <c r="X21" s="250">
        <f t="shared" si="7"/>
        <v>-90</v>
      </c>
      <c r="AB21" s="20">
        <f t="shared" si="1"/>
        <v>12.75</v>
      </c>
      <c r="AC21" s="10">
        <f t="shared" si="2"/>
        <v>7.9017403146395537</v>
      </c>
      <c r="AD21" s="21">
        <f t="shared" si="8"/>
        <v>14.999999999999998</v>
      </c>
      <c r="AE21" s="20">
        <f t="shared" si="3"/>
        <v>12.75</v>
      </c>
      <c r="AF21" s="10">
        <f t="shared" si="4"/>
        <v>7.9017403146395537</v>
      </c>
      <c r="AG21" s="21">
        <f t="shared" si="9"/>
        <v>14.999999999999998</v>
      </c>
      <c r="AH21" s="20">
        <f t="shared" si="5"/>
        <v>12.75</v>
      </c>
      <c r="AI21" s="10">
        <f t="shared" si="6"/>
        <v>7.9017403146395537</v>
      </c>
      <c r="AJ21" s="21">
        <f t="shared" si="10"/>
        <v>14.999999999999998</v>
      </c>
      <c r="AK21" s="20">
        <f t="shared" si="11"/>
        <v>0</v>
      </c>
      <c r="AL21" s="10">
        <f t="shared" si="12"/>
        <v>90</v>
      </c>
      <c r="AM21" s="21">
        <f t="shared" si="13"/>
        <v>90</v>
      </c>
    </row>
    <row r="22" spans="1:39" ht="15.75" customHeight="1" x14ac:dyDescent="0.25">
      <c r="A22" s="1027" t="s">
        <v>452</v>
      </c>
      <c r="B22" s="1028"/>
      <c r="C22" s="1028"/>
      <c r="D22" s="1028"/>
      <c r="E22" s="1014">
        <v>15</v>
      </c>
      <c r="F22" s="1014"/>
      <c r="G22" s="1014"/>
      <c r="H22" s="1014">
        <v>15</v>
      </c>
      <c r="I22" s="1014"/>
      <c r="J22" s="1014">
        <v>15</v>
      </c>
      <c r="K22" s="1014"/>
      <c r="L22" s="1014"/>
      <c r="M22" s="1016">
        <v>0.85</v>
      </c>
      <c r="N22" s="1016"/>
      <c r="O22" s="1034">
        <f t="shared" si="14"/>
        <v>-31.788330617051621</v>
      </c>
      <c r="P22" s="1034"/>
      <c r="Q22" s="1035"/>
      <c r="R22" s="1015">
        <v>6</v>
      </c>
      <c r="S22" s="718"/>
      <c r="T22" s="1036">
        <f t="shared" si="0"/>
        <v>90</v>
      </c>
      <c r="U22" s="1036"/>
      <c r="V22" s="718"/>
      <c r="W22" s="718"/>
      <c r="X22" s="250">
        <f t="shared" si="7"/>
        <v>-90</v>
      </c>
      <c r="AB22" s="20">
        <f t="shared" si="1"/>
        <v>12.75</v>
      </c>
      <c r="AC22" s="10">
        <f t="shared" si="2"/>
        <v>7.9017403146395537</v>
      </c>
      <c r="AD22" s="21">
        <f t="shared" si="8"/>
        <v>14.999999999999998</v>
      </c>
      <c r="AE22" s="20">
        <f t="shared" si="3"/>
        <v>12.75</v>
      </c>
      <c r="AF22" s="10">
        <f t="shared" si="4"/>
        <v>7.9017403146395537</v>
      </c>
      <c r="AG22" s="21">
        <f t="shared" si="9"/>
        <v>14.999999999999998</v>
      </c>
      <c r="AH22" s="20">
        <f t="shared" si="5"/>
        <v>12.75</v>
      </c>
      <c r="AI22" s="10">
        <f t="shared" si="6"/>
        <v>7.9017403146395537</v>
      </c>
      <c r="AJ22" s="21">
        <f t="shared" si="10"/>
        <v>14.999999999999998</v>
      </c>
      <c r="AK22" s="20">
        <f t="shared" si="11"/>
        <v>0</v>
      </c>
      <c r="AL22" s="10">
        <f t="shared" si="12"/>
        <v>90</v>
      </c>
      <c r="AM22" s="21">
        <f t="shared" si="13"/>
        <v>90</v>
      </c>
    </row>
    <row r="23" spans="1:39" ht="15.75" customHeight="1" x14ac:dyDescent="0.25">
      <c r="A23" s="1027" t="s">
        <v>453</v>
      </c>
      <c r="B23" s="1028"/>
      <c r="C23" s="1028"/>
      <c r="D23" s="1028"/>
      <c r="E23" s="1014">
        <v>23</v>
      </c>
      <c r="F23" s="1014"/>
      <c r="G23" s="1014"/>
      <c r="H23" s="1014">
        <v>23</v>
      </c>
      <c r="I23" s="1014"/>
      <c r="J23" s="1014">
        <v>23</v>
      </c>
      <c r="K23" s="1014"/>
      <c r="L23" s="1014"/>
      <c r="M23" s="1016">
        <v>0.8</v>
      </c>
      <c r="N23" s="1016"/>
      <c r="O23" s="1034">
        <f t="shared" si="14"/>
        <v>-36.869897645844013</v>
      </c>
      <c r="P23" s="1034"/>
      <c r="Q23" s="1035"/>
      <c r="R23" s="1015"/>
      <c r="S23" s="718"/>
      <c r="T23" s="1036">
        <f t="shared" si="0"/>
        <v>0</v>
      </c>
      <c r="U23" s="1036"/>
      <c r="V23" s="718"/>
      <c r="W23" s="718"/>
      <c r="X23" s="250">
        <f t="shared" si="7"/>
        <v>-90</v>
      </c>
      <c r="AB23" s="20">
        <f t="shared" si="1"/>
        <v>18.400000000000002</v>
      </c>
      <c r="AC23" s="10">
        <f t="shared" si="2"/>
        <v>13.799999999999997</v>
      </c>
      <c r="AD23" s="21">
        <f t="shared" si="8"/>
        <v>23</v>
      </c>
      <c r="AE23" s="20">
        <f t="shared" si="3"/>
        <v>18.400000000000002</v>
      </c>
      <c r="AF23" s="10">
        <f t="shared" si="4"/>
        <v>13.799999999999997</v>
      </c>
      <c r="AG23" s="21">
        <f t="shared" si="9"/>
        <v>23</v>
      </c>
      <c r="AH23" s="20">
        <f t="shared" si="5"/>
        <v>18.400000000000002</v>
      </c>
      <c r="AI23" s="10">
        <f t="shared" si="6"/>
        <v>13.799999999999997</v>
      </c>
      <c r="AJ23" s="21">
        <f t="shared" si="10"/>
        <v>23</v>
      </c>
      <c r="AK23" s="20">
        <f t="shared" si="11"/>
        <v>0</v>
      </c>
      <c r="AL23" s="10">
        <f t="shared" si="12"/>
        <v>0</v>
      </c>
      <c r="AM23" s="21">
        <f t="shared" si="13"/>
        <v>0</v>
      </c>
    </row>
    <row r="24" spans="1:39" ht="15.75" customHeight="1" x14ac:dyDescent="0.25">
      <c r="A24" s="1027" t="s">
        <v>454</v>
      </c>
      <c r="B24" s="1028"/>
      <c r="C24" s="1028"/>
      <c r="D24" s="1028"/>
      <c r="E24" s="1014">
        <v>18</v>
      </c>
      <c r="F24" s="1014"/>
      <c r="G24" s="1014"/>
      <c r="H24" s="1014">
        <v>18</v>
      </c>
      <c r="I24" s="1014"/>
      <c r="J24" s="1014"/>
      <c r="K24" s="1014"/>
      <c r="L24" s="1014"/>
      <c r="M24" s="1016">
        <v>0.7</v>
      </c>
      <c r="N24" s="1016"/>
      <c r="O24" s="1034">
        <f t="shared" si="14"/>
        <v>-45.572995999194291</v>
      </c>
      <c r="P24" s="1034"/>
      <c r="Q24" s="1035"/>
      <c r="R24" s="1015">
        <v>10</v>
      </c>
      <c r="S24" s="718"/>
      <c r="T24" s="1036">
        <f t="shared" si="0"/>
        <v>180</v>
      </c>
      <c r="U24" s="1036"/>
      <c r="V24" s="718"/>
      <c r="W24" s="718"/>
      <c r="X24" s="250">
        <f t="shared" si="7"/>
        <v>-90</v>
      </c>
      <c r="AB24" s="20">
        <f t="shared" si="1"/>
        <v>12.6</v>
      </c>
      <c r="AC24" s="10">
        <f t="shared" si="2"/>
        <v>12.854571171377129</v>
      </c>
      <c r="AD24" s="21">
        <f t="shared" si="8"/>
        <v>17.999999999999979</v>
      </c>
      <c r="AE24" s="20">
        <f t="shared" si="3"/>
        <v>12.6</v>
      </c>
      <c r="AF24" s="10">
        <f t="shared" si="4"/>
        <v>12.854571171377129</v>
      </c>
      <c r="AG24" s="21">
        <f t="shared" si="9"/>
        <v>17.999999999999979</v>
      </c>
      <c r="AH24" s="20">
        <f t="shared" si="5"/>
        <v>0</v>
      </c>
      <c r="AI24" s="10">
        <f t="shared" si="6"/>
        <v>0</v>
      </c>
      <c r="AJ24" s="21">
        <f t="shared" si="10"/>
        <v>0</v>
      </c>
      <c r="AK24" s="20">
        <f t="shared" si="11"/>
        <v>0</v>
      </c>
      <c r="AL24" s="10">
        <f t="shared" si="12"/>
        <v>180</v>
      </c>
      <c r="AM24" s="21">
        <f t="shared" si="13"/>
        <v>180</v>
      </c>
    </row>
    <row r="25" spans="1:39" ht="15.75" customHeight="1" x14ac:dyDescent="0.25">
      <c r="A25" s="1027" t="s">
        <v>455</v>
      </c>
      <c r="B25" s="1028"/>
      <c r="C25" s="1028"/>
      <c r="D25" s="1028"/>
      <c r="E25" s="1014">
        <v>15</v>
      </c>
      <c r="F25" s="1014"/>
      <c r="G25" s="1014"/>
      <c r="H25" s="1014">
        <v>10</v>
      </c>
      <c r="I25" s="1014"/>
      <c r="J25" s="1014">
        <v>10</v>
      </c>
      <c r="K25" s="1014"/>
      <c r="L25" s="1014"/>
      <c r="M25" s="1016">
        <v>1</v>
      </c>
      <c r="N25" s="1016"/>
      <c r="O25" s="1034">
        <f t="shared" si="14"/>
        <v>0</v>
      </c>
      <c r="P25" s="1034"/>
      <c r="Q25" s="1035"/>
      <c r="R25" s="1015"/>
      <c r="S25" s="718"/>
      <c r="T25" s="1036">
        <f t="shared" si="0"/>
        <v>0</v>
      </c>
      <c r="U25" s="1036"/>
      <c r="V25" s="718"/>
      <c r="W25" s="718"/>
      <c r="X25" s="250">
        <f t="shared" si="7"/>
        <v>-90</v>
      </c>
      <c r="AB25" s="20">
        <f t="shared" si="1"/>
        <v>15</v>
      </c>
      <c r="AC25" s="10">
        <f t="shared" si="2"/>
        <v>0</v>
      </c>
      <c r="AD25" s="21">
        <f t="shared" si="8"/>
        <v>15</v>
      </c>
      <c r="AE25" s="20">
        <f t="shared" si="3"/>
        <v>10</v>
      </c>
      <c r="AF25" s="10">
        <f t="shared" si="4"/>
        <v>0</v>
      </c>
      <c r="AG25" s="21">
        <f t="shared" si="9"/>
        <v>10</v>
      </c>
      <c r="AH25" s="20">
        <f t="shared" si="5"/>
        <v>10</v>
      </c>
      <c r="AI25" s="10">
        <f t="shared" si="6"/>
        <v>0</v>
      </c>
      <c r="AJ25" s="21">
        <f t="shared" si="10"/>
        <v>10</v>
      </c>
      <c r="AK25" s="20">
        <f t="shared" si="11"/>
        <v>0</v>
      </c>
      <c r="AL25" s="10">
        <f t="shared" si="12"/>
        <v>0</v>
      </c>
      <c r="AM25" s="21">
        <f>IMABS(COMPLEX(AK25,AL25,"i"))</f>
        <v>0</v>
      </c>
    </row>
    <row r="26" spans="1:39" ht="15.75" customHeight="1" x14ac:dyDescent="0.25">
      <c r="A26" s="1027" t="s">
        <v>456</v>
      </c>
      <c r="B26" s="1028"/>
      <c r="C26" s="1028"/>
      <c r="D26" s="1028"/>
      <c r="E26" s="1095">
        <v>16</v>
      </c>
      <c r="F26" s="1096"/>
      <c r="G26" s="1097"/>
      <c r="H26" s="1095">
        <v>16</v>
      </c>
      <c r="I26" s="1097"/>
      <c r="J26" s="1095">
        <v>16</v>
      </c>
      <c r="K26" s="1096"/>
      <c r="L26" s="1097"/>
      <c r="M26" s="1044">
        <v>0.85</v>
      </c>
      <c r="N26" s="1045"/>
      <c r="O26" s="1046">
        <f t="shared" si="14"/>
        <v>-31.788330617051621</v>
      </c>
      <c r="P26" s="1047"/>
      <c r="Q26" s="1048"/>
      <c r="R26" s="1017"/>
      <c r="S26" s="729"/>
      <c r="T26" s="1063">
        <f t="shared" si="0"/>
        <v>0</v>
      </c>
      <c r="U26" s="1064"/>
      <c r="V26" s="727"/>
      <c r="W26" s="729"/>
      <c r="X26" s="250">
        <f t="shared" si="7"/>
        <v>-90</v>
      </c>
      <c r="Y26" s="323"/>
      <c r="AB26" s="20">
        <f t="shared" si="1"/>
        <v>13.6</v>
      </c>
      <c r="AC26" s="10">
        <f t="shared" si="2"/>
        <v>8.4285230022821906</v>
      </c>
      <c r="AD26" s="21">
        <f t="shared" si="8"/>
        <v>16</v>
      </c>
      <c r="AE26" s="20">
        <f>H26*M26</f>
        <v>13.6</v>
      </c>
      <c r="AF26" s="10">
        <f>H26*SIN(RADIANS((-1*O26)))</f>
        <v>8.4285230022821906</v>
      </c>
      <c r="AG26" s="21">
        <f t="shared" si="9"/>
        <v>16</v>
      </c>
      <c r="AH26" s="20">
        <f>J26*M26</f>
        <v>13.6</v>
      </c>
      <c r="AI26" s="10">
        <f>J26*SIN(RADIANS((-1*O26)))</f>
        <v>8.4285230022821906</v>
      </c>
      <c r="AJ26" s="21">
        <f t="shared" si="10"/>
        <v>16</v>
      </c>
      <c r="AK26" s="20">
        <f>T26*V26</f>
        <v>0</v>
      </c>
      <c r="AL26" s="10">
        <f>T26*SIN(RADIANS((-1*X26)))</f>
        <v>0</v>
      </c>
      <c r="AM26" s="21">
        <f>IMABS(COMPLEX(AK26,AL26,"i"))</f>
        <v>0</v>
      </c>
    </row>
    <row r="27" spans="1:39" ht="15.75" customHeight="1" x14ac:dyDescent="0.25">
      <c r="A27" s="1027" t="s">
        <v>457</v>
      </c>
      <c r="B27" s="1028"/>
      <c r="C27" s="1028"/>
      <c r="D27" s="1028"/>
      <c r="E27" s="1095">
        <v>10</v>
      </c>
      <c r="F27" s="1096"/>
      <c r="G27" s="1097"/>
      <c r="H27" s="1095">
        <v>10</v>
      </c>
      <c r="I27" s="1097"/>
      <c r="J27" s="1095">
        <v>10</v>
      </c>
      <c r="K27" s="1096"/>
      <c r="L27" s="1097"/>
      <c r="M27" s="1044">
        <v>1</v>
      </c>
      <c r="N27" s="1045"/>
      <c r="O27" s="1046">
        <f t="shared" si="14"/>
        <v>0</v>
      </c>
      <c r="P27" s="1047"/>
      <c r="Q27" s="1048"/>
      <c r="R27" s="1017"/>
      <c r="S27" s="729"/>
      <c r="T27" s="1063">
        <f t="shared" si="0"/>
        <v>0</v>
      </c>
      <c r="U27" s="1064"/>
      <c r="V27" s="727"/>
      <c r="W27" s="729"/>
      <c r="X27" s="250">
        <f t="shared" si="7"/>
        <v>-90</v>
      </c>
      <c r="Y27" s="323"/>
      <c r="AB27" s="20">
        <f t="shared" si="1"/>
        <v>10</v>
      </c>
      <c r="AC27" s="10">
        <f t="shared" si="2"/>
        <v>0</v>
      </c>
      <c r="AD27" s="21">
        <f t="shared" si="8"/>
        <v>10</v>
      </c>
      <c r="AE27" s="20">
        <f>H27*M27</f>
        <v>10</v>
      </c>
      <c r="AF27" s="10">
        <f>H27*SIN(RADIANS((-1*O27)))</f>
        <v>0</v>
      </c>
      <c r="AG27" s="21">
        <f t="shared" si="9"/>
        <v>10</v>
      </c>
      <c r="AH27" s="20">
        <f>J27*M27</f>
        <v>10</v>
      </c>
      <c r="AI27" s="10">
        <f>J27*SIN(RADIANS((-1*O27)))</f>
        <v>0</v>
      </c>
      <c r="AJ27" s="21">
        <f t="shared" si="10"/>
        <v>10</v>
      </c>
      <c r="AK27" s="20">
        <f>T27*V27</f>
        <v>0</v>
      </c>
      <c r="AL27" s="10">
        <f>T27*SIN(RADIANS((-1*X27)))</f>
        <v>0</v>
      </c>
      <c r="AM27" s="21">
        <f>IMABS(COMPLEX(AK27,AL27,"i"))</f>
        <v>0</v>
      </c>
    </row>
    <row r="28" spans="1:39" ht="15.75" customHeight="1" thickBot="1" x14ac:dyDescent="0.3">
      <c r="A28" s="1027"/>
      <c r="B28" s="1028"/>
      <c r="C28" s="1028"/>
      <c r="D28" s="1028"/>
      <c r="E28" s="1014"/>
      <c r="F28" s="1014"/>
      <c r="G28" s="1014"/>
      <c r="H28" s="1014"/>
      <c r="I28" s="1014"/>
      <c r="J28" s="1014"/>
      <c r="K28" s="1014"/>
      <c r="L28" s="1014"/>
      <c r="M28" s="1016"/>
      <c r="N28" s="1016"/>
      <c r="O28" s="1034">
        <f t="shared" si="14"/>
        <v>-90</v>
      </c>
      <c r="P28" s="1034"/>
      <c r="Q28" s="1035"/>
      <c r="R28" s="1015"/>
      <c r="S28" s="718"/>
      <c r="T28" s="1036">
        <f t="shared" si="0"/>
        <v>0</v>
      </c>
      <c r="U28" s="1036"/>
      <c r="V28" s="718"/>
      <c r="W28" s="718"/>
      <c r="X28" s="250">
        <f t="shared" si="7"/>
        <v>-90</v>
      </c>
      <c r="Y28" s="323"/>
      <c r="AB28" s="22">
        <f t="shared" si="1"/>
        <v>0</v>
      </c>
      <c r="AC28" s="23">
        <f t="shared" si="2"/>
        <v>0</v>
      </c>
      <c r="AD28" s="24">
        <f t="shared" si="8"/>
        <v>0</v>
      </c>
      <c r="AE28" s="22">
        <f t="shared" si="3"/>
        <v>0</v>
      </c>
      <c r="AF28" s="23">
        <f t="shared" si="4"/>
        <v>0</v>
      </c>
      <c r="AG28" s="24">
        <f t="shared" si="9"/>
        <v>0</v>
      </c>
      <c r="AH28" s="22">
        <f t="shared" si="5"/>
        <v>0</v>
      </c>
      <c r="AI28" s="23">
        <f t="shared" si="6"/>
        <v>0</v>
      </c>
      <c r="AJ28" s="24">
        <f t="shared" si="10"/>
        <v>0</v>
      </c>
      <c r="AK28" s="22">
        <f t="shared" si="11"/>
        <v>0</v>
      </c>
      <c r="AL28" s="23">
        <f t="shared" si="12"/>
        <v>0</v>
      </c>
      <c r="AM28" s="24">
        <f>IMABS(COMPLEX(AK28,AL28,"i"))</f>
        <v>0</v>
      </c>
    </row>
    <row r="29" spans="1:39" ht="15.75" customHeight="1" thickBot="1" x14ac:dyDescent="0.3">
      <c r="A29" s="1027"/>
      <c r="B29" s="1028"/>
      <c r="C29" s="1028"/>
      <c r="D29" s="1028"/>
      <c r="E29" s="1095"/>
      <c r="F29" s="1096"/>
      <c r="G29" s="1097"/>
      <c r="H29" s="1095"/>
      <c r="I29" s="1097"/>
      <c r="J29" s="1095"/>
      <c r="K29" s="1096"/>
      <c r="L29" s="1097"/>
      <c r="M29" s="1044"/>
      <c r="N29" s="1045"/>
      <c r="O29" s="1046">
        <f t="shared" si="14"/>
        <v>-90</v>
      </c>
      <c r="P29" s="1047"/>
      <c r="Q29" s="1048"/>
      <c r="R29" s="1017"/>
      <c r="S29" s="729"/>
      <c r="T29" s="1063">
        <f t="shared" si="0"/>
        <v>0</v>
      </c>
      <c r="U29" s="1064"/>
      <c r="V29" s="727"/>
      <c r="W29" s="729"/>
      <c r="X29" s="250">
        <f t="shared" si="7"/>
        <v>-90</v>
      </c>
      <c r="Y29" s="323"/>
      <c r="AB29" s="229">
        <f>SUM(AB12:AB28)</f>
        <v>131.05000000000001</v>
      </c>
      <c r="AC29" s="230">
        <f>SUM(AC12:AC28)</f>
        <v>65.784400777366542</v>
      </c>
      <c r="AD29" s="225">
        <f t="shared" si="8"/>
        <v>146.63454533511938</v>
      </c>
      <c r="AE29" s="229">
        <f>SUM(AE12:AE28)</f>
        <v>129.5</v>
      </c>
      <c r="AF29" s="230">
        <f>SUM(AF12:AF28)</f>
        <v>71.974151678087267</v>
      </c>
      <c r="AG29" s="225">
        <f t="shared" si="9"/>
        <v>148.15710752367002</v>
      </c>
      <c r="AH29" s="229">
        <f>SUM(AH12:AH28)</f>
        <v>132.1</v>
      </c>
      <c r="AI29" s="230">
        <f>SUM(AI12:AI28)</f>
        <v>66.776988699597581</v>
      </c>
      <c r="AJ29" s="225">
        <f t="shared" si="10"/>
        <v>148.01883738155149</v>
      </c>
      <c r="AK29" s="229">
        <f>SUM(AK12:AK28)</f>
        <v>22.799999999999997</v>
      </c>
      <c r="AL29" s="230">
        <f>SUM(AL12:AL28)</f>
        <v>739.49399759807807</v>
      </c>
      <c r="AM29" s="225">
        <f t="shared" ref="AM29" si="15">IMABS(COMPLEX(AK29,AL29,"i"))</f>
        <v>739.84539769034598</v>
      </c>
    </row>
    <row r="30" spans="1:39" ht="15.75" customHeight="1" thickBot="1" x14ac:dyDescent="0.3">
      <c r="A30" s="1103"/>
      <c r="B30" s="1104"/>
      <c r="C30" s="1104"/>
      <c r="D30" s="1104"/>
      <c r="E30" s="1098"/>
      <c r="F30" s="1099"/>
      <c r="G30" s="1100"/>
      <c r="H30" s="1098"/>
      <c r="I30" s="1100"/>
      <c r="J30" s="1098"/>
      <c r="K30" s="1099"/>
      <c r="L30" s="1100"/>
      <c r="M30" s="1101"/>
      <c r="N30" s="1102"/>
      <c r="O30" s="1029">
        <f t="shared" si="14"/>
        <v>-90</v>
      </c>
      <c r="P30" s="1030"/>
      <c r="Q30" s="1031"/>
      <c r="R30" s="1041"/>
      <c r="S30" s="1042"/>
      <c r="T30" s="1065">
        <f t="shared" si="0"/>
        <v>0</v>
      </c>
      <c r="U30" s="1066"/>
      <c r="V30" s="1043"/>
      <c r="W30" s="1042"/>
      <c r="X30" s="251">
        <f t="shared" si="7"/>
        <v>-90</v>
      </c>
      <c r="Y30" s="323"/>
      <c r="AB30" s="40"/>
      <c r="AC30" s="40"/>
      <c r="AD30" s="11"/>
      <c r="AE30" s="40"/>
      <c r="AF30" s="40"/>
      <c r="AG30" s="11"/>
      <c r="AH30" s="40"/>
      <c r="AI30" s="40"/>
      <c r="AJ30" s="11"/>
    </row>
    <row r="31" spans="1:39" ht="8.25" customHeight="1" x14ac:dyDescent="0.25">
      <c r="A31" s="1079" t="s">
        <v>260</v>
      </c>
      <c r="B31" s="1080"/>
      <c r="C31" s="254"/>
      <c r="D31" s="255"/>
      <c r="E31" s="1050">
        <f>IF(AD29=0,"",AD29)</f>
        <v>146.63454533511938</v>
      </c>
      <c r="F31" s="1058"/>
      <c r="G31" s="1051"/>
      <c r="H31" s="1050">
        <f>IF(AG29=0,"",AG29)</f>
        <v>148.15710752367002</v>
      </c>
      <c r="I31" s="1051"/>
      <c r="J31" s="1050">
        <f>IF(AJ29=0,"",AJ29)</f>
        <v>148.01883738155149</v>
      </c>
      <c r="K31" s="1058"/>
      <c r="L31" s="1051"/>
      <c r="M31" s="697"/>
      <c r="N31" s="697"/>
      <c r="O31" s="697"/>
      <c r="P31" s="697"/>
      <c r="Q31" s="1061"/>
      <c r="R31" s="1000" t="s">
        <v>391</v>
      </c>
      <c r="S31" s="471"/>
      <c r="T31" s="1073">
        <f>IF(AM29=0,"",AM29)</f>
        <v>739.84539769034598</v>
      </c>
      <c r="U31" s="1073"/>
      <c r="V31" s="1067"/>
      <c r="W31" s="1067"/>
      <c r="X31" s="1068"/>
      <c r="Y31" s="311"/>
      <c r="AB31" s="40"/>
      <c r="AC31" s="40"/>
      <c r="AD31" s="11"/>
      <c r="AE31" s="40"/>
      <c r="AF31" s="40"/>
      <c r="AG31" s="11"/>
      <c r="AH31" s="40"/>
      <c r="AI31" s="40"/>
      <c r="AJ31" s="11"/>
    </row>
    <row r="32" spans="1:39" ht="18.75" customHeight="1" x14ac:dyDescent="0.25">
      <c r="A32" s="1081"/>
      <c r="B32" s="1082"/>
      <c r="C32" s="1083" t="str">
        <f>K1</f>
        <v>-A2</v>
      </c>
      <c r="D32" s="256"/>
      <c r="E32" s="1052"/>
      <c r="F32" s="1059"/>
      <c r="G32" s="1053"/>
      <c r="H32" s="1052"/>
      <c r="I32" s="1053"/>
      <c r="J32" s="1052"/>
      <c r="K32" s="1059"/>
      <c r="L32" s="1053"/>
      <c r="M32" s="694"/>
      <c r="N32" s="694"/>
      <c r="O32" s="694"/>
      <c r="P32" s="694"/>
      <c r="Q32" s="713"/>
      <c r="R32" s="707"/>
      <c r="S32" s="1001" t="str">
        <f>K1</f>
        <v>-A2</v>
      </c>
      <c r="T32" s="1074"/>
      <c r="U32" s="1074"/>
      <c r="V32" s="1069"/>
      <c r="W32" s="1069"/>
      <c r="X32" s="1070"/>
      <c r="Y32" s="311"/>
    </row>
    <row r="33" spans="1:25" ht="8.25" customHeight="1" x14ac:dyDescent="0.25">
      <c r="A33" s="231"/>
      <c r="B33" s="257"/>
      <c r="C33" s="1084"/>
      <c r="D33" s="258"/>
      <c r="E33" s="1054"/>
      <c r="F33" s="1060"/>
      <c r="G33" s="1055"/>
      <c r="H33" s="1054"/>
      <c r="I33" s="1055"/>
      <c r="J33" s="1054"/>
      <c r="K33" s="1060"/>
      <c r="L33" s="1055"/>
      <c r="M33" s="694"/>
      <c r="N33" s="694"/>
      <c r="O33" s="694"/>
      <c r="P33" s="694"/>
      <c r="Q33" s="713"/>
      <c r="R33" s="472"/>
      <c r="S33" s="1002"/>
      <c r="T33" s="1074"/>
      <c r="U33" s="1074"/>
      <c r="V33" s="1069"/>
      <c r="W33" s="1069"/>
      <c r="X33" s="1070"/>
      <c r="Y33" s="311"/>
    </row>
    <row r="34" spans="1:25" x14ac:dyDescent="0.25">
      <c r="A34" s="1085" t="s">
        <v>244</v>
      </c>
      <c r="B34" s="1086"/>
      <c r="C34" s="1086"/>
      <c r="D34" s="1086"/>
      <c r="M34" s="694"/>
      <c r="N34" s="694"/>
      <c r="O34" s="694"/>
      <c r="P34" s="694"/>
      <c r="Q34" s="713"/>
      <c r="R34" s="1003" t="s">
        <v>244</v>
      </c>
      <c r="S34" s="1004"/>
      <c r="T34" s="855">
        <f>IF(AK29=0,"",DEGREES(ACOS(AK29/AM29))*-1)</f>
        <v>-88.234022082908055</v>
      </c>
      <c r="U34" s="855"/>
      <c r="V34" s="1069"/>
      <c r="W34" s="1069"/>
      <c r="X34" s="1070"/>
      <c r="Y34" s="311"/>
    </row>
    <row r="35" spans="1:25" ht="15.75" thickBot="1" x14ac:dyDescent="0.3">
      <c r="A35" s="1087" t="s">
        <v>50</v>
      </c>
      <c r="B35" s="1088"/>
      <c r="C35" s="1088"/>
      <c r="D35" s="1088"/>
      <c r="E35" s="444"/>
      <c r="F35" s="484"/>
      <c r="G35" s="484"/>
      <c r="H35" s="484"/>
      <c r="I35" s="484"/>
      <c r="J35" s="484"/>
      <c r="K35" s="484"/>
      <c r="L35" s="484"/>
      <c r="M35" s="627"/>
      <c r="N35" s="627"/>
      <c r="O35" s="627"/>
      <c r="P35" s="627"/>
      <c r="Q35" s="1062"/>
      <c r="R35" s="1005" t="s">
        <v>50</v>
      </c>
      <c r="S35" s="1006"/>
      <c r="T35" s="1026">
        <f>IF(T34="","",COS(RADIANS(T34)))</f>
        <v>3.0817249213385661E-2</v>
      </c>
      <c r="U35" s="1026"/>
      <c r="V35" s="1071"/>
      <c r="W35" s="1071"/>
      <c r="X35" s="1072"/>
      <c r="Y35" s="311"/>
    </row>
    <row r="36" spans="1:25" ht="15" customHeight="1" x14ac:dyDescent="0.25">
      <c r="A36" s="941" t="s">
        <v>392</v>
      </c>
      <c r="B36" s="942"/>
      <c r="C36" s="942"/>
      <c r="D36" s="942"/>
      <c r="E36" s="942"/>
      <c r="F36" s="942"/>
      <c r="G36" s="1007"/>
      <c r="H36" s="1075">
        <v>0.5</v>
      </c>
      <c r="I36" s="1076"/>
      <c r="J36" s="500"/>
      <c r="K36" s="500"/>
      <c r="L36" s="500"/>
      <c r="M36" s="500"/>
      <c r="N36" s="500"/>
      <c r="O36" s="491"/>
      <c r="P36" s="491"/>
      <c r="Q36" s="491"/>
      <c r="R36" s="491"/>
      <c r="S36" s="491"/>
      <c r="T36" s="491"/>
      <c r="U36" s="491"/>
      <c r="V36" s="491"/>
      <c r="W36" s="491"/>
      <c r="X36" s="492"/>
    </row>
    <row r="37" spans="1:25" ht="15" customHeight="1" thickBot="1" x14ac:dyDescent="0.3">
      <c r="A37" s="1008" t="s">
        <v>393</v>
      </c>
      <c r="B37" s="1009"/>
      <c r="C37" s="1009"/>
      <c r="D37" s="1009"/>
      <c r="E37" s="1009"/>
      <c r="F37" s="1009"/>
      <c r="G37" s="1010"/>
      <c r="H37" s="1077">
        <v>1</v>
      </c>
      <c r="I37" s="1078"/>
      <c r="J37" s="233"/>
      <c r="K37" s="233"/>
      <c r="L37" s="233"/>
      <c r="M37" s="233"/>
      <c r="N37" s="233"/>
      <c r="O37" s="483"/>
      <c r="P37" s="483"/>
      <c r="Q37" s="483"/>
      <c r="R37" s="483"/>
      <c r="S37" s="483"/>
      <c r="T37" s="483"/>
      <c r="U37" s="483"/>
      <c r="V37" s="483"/>
      <c r="W37" s="483"/>
      <c r="X37" s="493"/>
    </row>
    <row r="38" spans="1:25" ht="18" x14ac:dyDescent="0.35">
      <c r="A38" s="498" t="s">
        <v>396</v>
      </c>
      <c r="B38" s="494"/>
      <c r="C38" s="494"/>
      <c r="D38" s="494"/>
      <c r="E38" s="494"/>
      <c r="F38" s="494"/>
      <c r="G38" s="494"/>
      <c r="H38" s="494"/>
      <c r="I38" s="494"/>
      <c r="J38" s="494"/>
      <c r="K38" s="494"/>
      <c r="L38" s="494"/>
      <c r="M38" s="496"/>
      <c r="N38" s="496"/>
      <c r="O38" s="494"/>
      <c r="P38" s="494"/>
      <c r="Q38" s="494"/>
      <c r="R38" s="494"/>
      <c r="S38" s="494"/>
      <c r="T38" s="494"/>
      <c r="U38" s="494"/>
      <c r="V38" s="494"/>
      <c r="W38" s="494"/>
      <c r="X38" s="497"/>
    </row>
    <row r="39" spans="1:25" ht="15" customHeight="1" x14ac:dyDescent="0.25">
      <c r="A39" s="488"/>
      <c r="B39" s="483"/>
      <c r="C39" s="483"/>
      <c r="D39" s="483"/>
      <c r="E39" s="1011" t="s">
        <v>241</v>
      </c>
      <c r="F39" s="1011"/>
      <c r="G39" s="1011"/>
      <c r="H39" s="1011" t="s">
        <v>242</v>
      </c>
      <c r="I39" s="1011"/>
      <c r="J39" s="1011" t="s">
        <v>243</v>
      </c>
      <c r="K39" s="1011"/>
      <c r="L39" s="1011"/>
      <c r="M39" s="485"/>
      <c r="N39" s="485"/>
      <c r="O39" s="483"/>
      <c r="P39" s="483"/>
      <c r="Q39" s="483"/>
      <c r="R39" s="483"/>
      <c r="S39" s="483"/>
      <c r="T39" s="483"/>
      <c r="U39" s="483"/>
      <c r="V39" s="483"/>
      <c r="W39" s="483"/>
      <c r="X39" s="493"/>
    </row>
    <row r="40" spans="1:25" ht="8.25" customHeight="1" x14ac:dyDescent="0.25">
      <c r="A40" s="1117" t="s">
        <v>395</v>
      </c>
      <c r="B40" s="1118"/>
      <c r="C40" s="501"/>
      <c r="D40" s="501"/>
      <c r="E40" s="1129">
        <f>K49</f>
        <v>73</v>
      </c>
      <c r="F40" s="1130"/>
      <c r="G40" s="1130"/>
      <c r="H40" s="999">
        <f>K53</f>
        <v>74</v>
      </c>
      <c r="I40" s="855"/>
      <c r="J40" s="999">
        <f>K57</f>
        <v>74</v>
      </c>
      <c r="K40" s="855"/>
      <c r="L40" s="855"/>
      <c r="M40" s="485"/>
      <c r="N40" s="485"/>
      <c r="O40" s="486"/>
      <c r="P40" s="483"/>
      <c r="Q40" s="483"/>
      <c r="R40" s="489"/>
      <c r="S40" s="486"/>
      <c r="T40" s="490"/>
      <c r="U40" s="490"/>
      <c r="V40" s="490"/>
      <c r="W40" s="490"/>
      <c r="X40" s="495"/>
      <c r="Y40" s="311"/>
    </row>
    <row r="41" spans="1:25" x14ac:dyDescent="0.25">
      <c r="A41" s="1119"/>
      <c r="B41" s="1120"/>
      <c r="C41" s="1121" t="s">
        <v>262</v>
      </c>
      <c r="D41" s="483"/>
      <c r="E41" s="1130"/>
      <c r="F41" s="1130"/>
      <c r="G41" s="1130"/>
      <c r="H41" s="855"/>
      <c r="I41" s="855"/>
      <c r="J41" s="855"/>
      <c r="K41" s="855"/>
      <c r="L41" s="855"/>
      <c r="M41" s="483"/>
      <c r="N41" s="483"/>
      <c r="O41" s="483"/>
      <c r="P41" s="483"/>
      <c r="Q41" s="483"/>
      <c r="R41" s="483"/>
      <c r="S41" s="483"/>
      <c r="T41" s="483"/>
      <c r="U41" s="483"/>
      <c r="V41" s="483"/>
      <c r="W41" s="483"/>
      <c r="X41" s="493"/>
    </row>
    <row r="42" spans="1:25" s="478" customFormat="1" ht="8.25" customHeight="1" x14ac:dyDescent="0.25">
      <c r="A42" s="502"/>
      <c r="B42" s="503"/>
      <c r="C42" s="1122"/>
      <c r="D42" s="487"/>
      <c r="E42" s="1130"/>
      <c r="F42" s="1130"/>
      <c r="G42" s="1130"/>
      <c r="H42" s="855"/>
      <c r="I42" s="855"/>
      <c r="J42" s="855"/>
      <c r="K42" s="855"/>
      <c r="L42" s="855"/>
      <c r="M42" s="483"/>
      <c r="N42" s="483"/>
      <c r="O42" s="483"/>
      <c r="P42" s="483"/>
      <c r="Q42" s="483"/>
      <c r="R42" s="483"/>
      <c r="S42" s="483"/>
      <c r="T42" s="483"/>
      <c r="U42" s="483"/>
      <c r="V42" s="483"/>
      <c r="W42" s="483"/>
      <c r="X42" s="493"/>
    </row>
    <row r="43" spans="1:25" s="478" customFormat="1" ht="15.75" x14ac:dyDescent="0.25">
      <c r="A43" s="1123" t="s">
        <v>244</v>
      </c>
      <c r="B43" s="1124"/>
      <c r="C43" s="1124"/>
      <c r="D43" s="1125"/>
      <c r="E43" s="1056">
        <f>(IF(AB29=0,"",DEGREES(ACOS(AB29/AD29))*-1))</f>
        <v>-26.655708477682083</v>
      </c>
      <c r="F43" s="1056"/>
      <c r="G43" s="1056"/>
      <c r="H43" s="1056">
        <f>(IF(AE29=0,"",DEGREES(ACOS(AE29/AG29))*-1))</f>
        <v>-29.064646832450368</v>
      </c>
      <c r="I43" s="1056"/>
      <c r="J43" s="1056">
        <f>IF(AH29=0,"",DEGREES(ACOS(AH29/AJ29))*-1)</f>
        <v>-26.8167491362654</v>
      </c>
      <c r="K43" s="1056"/>
      <c r="L43" s="1056"/>
      <c r="M43" s="483"/>
      <c r="N43" s="483"/>
      <c r="O43" s="483"/>
      <c r="P43" s="483"/>
      <c r="Q43" s="483"/>
      <c r="R43" s="483"/>
      <c r="S43" s="483"/>
      <c r="T43" s="483"/>
      <c r="U43" s="483"/>
      <c r="V43" s="483"/>
      <c r="W43" s="483"/>
      <c r="X43" s="493"/>
    </row>
    <row r="44" spans="1:25" s="482" customFormat="1" ht="16.5" thickBot="1" x14ac:dyDescent="0.3">
      <c r="A44" s="1126" t="s">
        <v>154</v>
      </c>
      <c r="B44" s="1127"/>
      <c r="C44" s="1127"/>
      <c r="D44" s="1128"/>
      <c r="E44" s="1057">
        <f>IF(E43="","",COS(RADIANS(E43)))</f>
        <v>0.89371845972923802</v>
      </c>
      <c r="F44" s="1057"/>
      <c r="G44" s="1057"/>
      <c r="H44" s="1057">
        <f>IF(H43="","",COS(RADIANS(H43)))</f>
        <v>0.87407213980139764</v>
      </c>
      <c r="I44" s="1057"/>
      <c r="J44" s="1057">
        <f>IF(J43="","",COS(RADIANS(J43)))</f>
        <v>0.89245397637790425</v>
      </c>
      <c r="K44" s="1057"/>
      <c r="L44" s="1057"/>
      <c r="M44" s="484"/>
      <c r="N44" s="484"/>
      <c r="O44" s="484"/>
      <c r="P44" s="484"/>
      <c r="Q44" s="484"/>
      <c r="R44" s="484"/>
      <c r="S44" s="484"/>
      <c r="T44" s="484"/>
      <c r="U44" s="484"/>
      <c r="V44" s="484"/>
      <c r="W44" s="484"/>
      <c r="X44" s="499"/>
    </row>
    <row r="45" spans="1:25" s="478" customFormat="1" ht="16.5" thickBot="1" x14ac:dyDescent="0.3">
      <c r="A45" s="480"/>
      <c r="B45" s="481"/>
      <c r="M45" s="479"/>
      <c r="N45" s="479"/>
    </row>
    <row r="46" spans="1:25" ht="8.25" customHeight="1" x14ac:dyDescent="0.25">
      <c r="A46" s="1107" t="s">
        <v>261</v>
      </c>
      <c r="B46" s="1108"/>
      <c r="C46" s="239"/>
      <c r="D46" s="1018" t="s">
        <v>241</v>
      </c>
      <c r="E46" s="1019"/>
      <c r="F46" s="1018" t="s">
        <v>248</v>
      </c>
      <c r="G46" s="1019"/>
      <c r="H46" s="1024" t="s">
        <v>249</v>
      </c>
      <c r="I46" s="1024"/>
      <c r="J46" s="1024"/>
      <c r="K46" s="1024" t="s">
        <v>250</v>
      </c>
      <c r="L46" s="1024"/>
      <c r="M46" s="1024"/>
      <c r="N46" s="1024" t="s">
        <v>244</v>
      </c>
      <c r="O46" s="1024"/>
      <c r="P46" s="1037"/>
      <c r="V46" s="242"/>
    </row>
    <row r="47" spans="1:25" ht="14.25" customHeight="1" x14ac:dyDescent="0.25">
      <c r="A47" s="1109"/>
      <c r="B47" s="1110"/>
      <c r="C47" s="1132" t="str">
        <f>C32</f>
        <v>-A2</v>
      </c>
      <c r="D47" s="1020"/>
      <c r="E47" s="1021"/>
      <c r="F47" s="1020"/>
      <c r="G47" s="1021"/>
      <c r="H47" s="1025"/>
      <c r="I47" s="1025"/>
      <c r="J47" s="1025"/>
      <c r="K47" s="1025"/>
      <c r="L47" s="1025"/>
      <c r="M47" s="1025"/>
      <c r="N47" s="1025"/>
      <c r="O47" s="1025"/>
      <c r="P47" s="1038"/>
      <c r="V47" s="242"/>
    </row>
    <row r="48" spans="1:25" ht="5.25" customHeight="1" x14ac:dyDescent="0.25">
      <c r="A48" s="231"/>
      <c r="B48" s="97"/>
      <c r="C48" s="1133"/>
      <c r="D48" s="1022"/>
      <c r="E48" s="1023"/>
      <c r="F48" s="1022"/>
      <c r="G48" s="1023"/>
      <c r="H48" s="1025"/>
      <c r="I48" s="1025"/>
      <c r="J48" s="1025"/>
      <c r="K48" s="1025"/>
      <c r="L48" s="1025"/>
      <c r="M48" s="1025"/>
      <c r="N48" s="1025"/>
      <c r="O48" s="1025"/>
      <c r="P48" s="1038"/>
      <c r="V48" s="242"/>
    </row>
    <row r="49" spans="1:25" ht="15.75" thickBot="1" x14ac:dyDescent="0.3">
      <c r="A49" s="1092">
        <f>E31</f>
        <v>146.63454533511938</v>
      </c>
      <c r="B49" s="1093"/>
      <c r="C49" s="1093"/>
      <c r="D49" s="1093"/>
      <c r="E49" s="1094"/>
      <c r="F49" s="1105">
        <f>$H$36</f>
        <v>0.5</v>
      </c>
      <c r="G49" s="1106"/>
      <c r="H49" s="237">
        <f>$H$37</f>
        <v>1</v>
      </c>
      <c r="I49" s="1026" t="s">
        <v>104</v>
      </c>
      <c r="J49" s="1026"/>
      <c r="K49" s="1114">
        <f>IF(A49="","",ROUND(A49*F49*H49,0))</f>
        <v>73</v>
      </c>
      <c r="L49" s="1114"/>
      <c r="M49" s="1114"/>
      <c r="N49" s="1039">
        <f>E43</f>
        <v>-26.655708477682083</v>
      </c>
      <c r="O49" s="1039"/>
      <c r="P49" s="1040"/>
      <c r="V49" s="252"/>
    </row>
    <row r="50" spans="1:25" ht="8.25" customHeight="1" x14ac:dyDescent="0.25">
      <c r="A50" s="1107" t="s">
        <v>261</v>
      </c>
      <c r="B50" s="1108"/>
      <c r="C50" s="227"/>
      <c r="D50" s="1018" t="s">
        <v>242</v>
      </c>
      <c r="E50" s="1019"/>
      <c r="F50" s="1018" t="s">
        <v>248</v>
      </c>
      <c r="G50" s="1019"/>
      <c r="H50" s="1024" t="s">
        <v>249</v>
      </c>
      <c r="I50" s="1024"/>
      <c r="J50" s="1024"/>
      <c r="K50" s="1024" t="s">
        <v>250</v>
      </c>
      <c r="L50" s="1024"/>
      <c r="M50" s="1024"/>
      <c r="N50" s="1024" t="s">
        <v>244</v>
      </c>
      <c r="O50" s="1024"/>
      <c r="P50" s="1037"/>
      <c r="V50" s="242"/>
    </row>
    <row r="51" spans="1:25" ht="14.25" customHeight="1" x14ac:dyDescent="0.25">
      <c r="A51" s="1109"/>
      <c r="B51" s="1110"/>
      <c r="C51" s="1131" t="str">
        <f>C32</f>
        <v>-A2</v>
      </c>
      <c r="D51" s="1020"/>
      <c r="E51" s="1021"/>
      <c r="F51" s="1020"/>
      <c r="G51" s="1021"/>
      <c r="H51" s="1025"/>
      <c r="I51" s="1025"/>
      <c r="J51" s="1025"/>
      <c r="K51" s="1025"/>
      <c r="L51" s="1025"/>
      <c r="M51" s="1025"/>
      <c r="N51" s="1025"/>
      <c r="O51" s="1025"/>
      <c r="P51" s="1038"/>
      <c r="V51" s="242"/>
    </row>
    <row r="52" spans="1:25" ht="5.25" customHeight="1" x14ac:dyDescent="0.25">
      <c r="A52" s="236"/>
      <c r="B52" s="11"/>
      <c r="C52" s="871"/>
      <c r="D52" s="1022"/>
      <c r="E52" s="1023"/>
      <c r="F52" s="1022"/>
      <c r="G52" s="1023"/>
      <c r="H52" s="1025"/>
      <c r="I52" s="1025"/>
      <c r="J52" s="1025"/>
      <c r="K52" s="1025"/>
      <c r="L52" s="1025"/>
      <c r="M52" s="1025"/>
      <c r="N52" s="1025"/>
      <c r="O52" s="1025"/>
      <c r="P52" s="1038"/>
      <c r="V52" s="242"/>
    </row>
    <row r="53" spans="1:25" ht="15.75" thickBot="1" x14ac:dyDescent="0.3">
      <c r="A53" s="1092">
        <f>H31</f>
        <v>148.15710752367002</v>
      </c>
      <c r="B53" s="1093"/>
      <c r="C53" s="1093"/>
      <c r="D53" s="1093"/>
      <c r="E53" s="1094"/>
      <c r="F53" s="1105">
        <f>$H$36</f>
        <v>0.5</v>
      </c>
      <c r="G53" s="1106"/>
      <c r="H53" s="237">
        <f>$H$37</f>
        <v>1</v>
      </c>
      <c r="I53" s="1026" t="s">
        <v>104</v>
      </c>
      <c r="J53" s="1026"/>
      <c r="K53" s="1114">
        <f>IF(A53="","",ROUND(A53*F53*H53,0))</f>
        <v>74</v>
      </c>
      <c r="L53" s="1114"/>
      <c r="M53" s="1114"/>
      <c r="N53" s="1039">
        <f>H43</f>
        <v>-29.064646832450368</v>
      </c>
      <c r="O53" s="1039"/>
      <c r="P53" s="1040"/>
      <c r="V53" s="252"/>
    </row>
    <row r="54" spans="1:25" ht="8.25" customHeight="1" x14ac:dyDescent="0.25">
      <c r="A54" s="1107" t="s">
        <v>261</v>
      </c>
      <c r="B54" s="1108"/>
      <c r="C54" s="227"/>
      <c r="D54" s="1018" t="s">
        <v>243</v>
      </c>
      <c r="E54" s="1019"/>
      <c r="F54" s="1018" t="s">
        <v>248</v>
      </c>
      <c r="G54" s="1019"/>
      <c r="H54" s="1024" t="s">
        <v>249</v>
      </c>
      <c r="I54" s="1024"/>
      <c r="J54" s="1024"/>
      <c r="K54" s="1024" t="s">
        <v>250</v>
      </c>
      <c r="L54" s="1024"/>
      <c r="M54" s="1024"/>
      <c r="N54" s="1024" t="s">
        <v>244</v>
      </c>
      <c r="O54" s="1024"/>
      <c r="P54" s="1037"/>
      <c r="V54" s="242"/>
    </row>
    <row r="55" spans="1:25" ht="14.25" customHeight="1" x14ac:dyDescent="0.25">
      <c r="A55" s="1109"/>
      <c r="B55" s="1110"/>
      <c r="C55" s="1131" t="str">
        <f>C32</f>
        <v>-A2</v>
      </c>
      <c r="D55" s="1020"/>
      <c r="E55" s="1021"/>
      <c r="F55" s="1020"/>
      <c r="G55" s="1021"/>
      <c r="H55" s="1025"/>
      <c r="I55" s="1025"/>
      <c r="J55" s="1025"/>
      <c r="K55" s="1025"/>
      <c r="L55" s="1025"/>
      <c r="M55" s="1025"/>
      <c r="N55" s="1025"/>
      <c r="O55" s="1025"/>
      <c r="P55" s="1038"/>
      <c r="V55" s="242"/>
    </row>
    <row r="56" spans="1:25" ht="5.25" customHeight="1" x14ac:dyDescent="0.25">
      <c r="A56" s="236"/>
      <c r="B56" s="11"/>
      <c r="C56" s="871"/>
      <c r="D56" s="1022"/>
      <c r="E56" s="1023"/>
      <c r="F56" s="1022"/>
      <c r="G56" s="1023"/>
      <c r="H56" s="1025"/>
      <c r="I56" s="1025"/>
      <c r="J56" s="1025"/>
      <c r="K56" s="1025"/>
      <c r="L56" s="1025"/>
      <c r="M56" s="1025"/>
      <c r="N56" s="1025"/>
      <c r="O56" s="1025"/>
      <c r="P56" s="1038"/>
      <c r="V56" s="242"/>
    </row>
    <row r="57" spans="1:25" ht="15.75" thickBot="1" x14ac:dyDescent="0.3">
      <c r="A57" s="1092">
        <f>J31</f>
        <v>148.01883738155149</v>
      </c>
      <c r="B57" s="1093"/>
      <c r="C57" s="1093"/>
      <c r="D57" s="1093"/>
      <c r="E57" s="1094"/>
      <c r="F57" s="1105">
        <f>$H$36</f>
        <v>0.5</v>
      </c>
      <c r="G57" s="1106"/>
      <c r="H57" s="237">
        <f>$H$37</f>
        <v>1</v>
      </c>
      <c r="I57" s="1026" t="s">
        <v>104</v>
      </c>
      <c r="J57" s="1026"/>
      <c r="K57" s="1114">
        <f>IF(A57="","",ROUND(A57*F57*H57,0))</f>
        <v>74</v>
      </c>
      <c r="L57" s="1114"/>
      <c r="M57" s="1114"/>
      <c r="N57" s="1039">
        <f>J43</f>
        <v>-26.8167491362654</v>
      </c>
      <c r="O57" s="1039"/>
      <c r="P57" s="1040"/>
      <c r="V57" s="252"/>
    </row>
    <row r="62" spans="1:25" ht="15.75" x14ac:dyDescent="0.25">
      <c r="A62" s="290" t="s">
        <v>319</v>
      </c>
      <c r="Y62" s="11"/>
    </row>
    <row r="63" spans="1:25" x14ac:dyDescent="0.25">
      <c r="Y63" s="11"/>
    </row>
    <row r="64" spans="1:25" ht="12" customHeight="1" thickBot="1" x14ac:dyDescent="0.3">
      <c r="N64" s="11"/>
      <c r="O64" s="11"/>
      <c r="Q64" s="11"/>
      <c r="Y64" s="11"/>
    </row>
    <row r="65" spans="1:25" ht="15.75" thickBot="1" x14ac:dyDescent="0.3">
      <c r="A65" s="1116" t="s">
        <v>253</v>
      </c>
      <c r="B65" s="1012"/>
      <c r="C65" s="91"/>
      <c r="D65" s="91"/>
      <c r="E65" s="91"/>
      <c r="F65" s="1115" t="s">
        <v>320</v>
      </c>
      <c r="G65" s="1115"/>
      <c r="H65" s="1012" t="s">
        <v>256</v>
      </c>
      <c r="I65" s="1012"/>
      <c r="J65" s="1112">
        <v>400</v>
      </c>
      <c r="K65" s="1112"/>
      <c r="L65" s="1113"/>
      <c r="M65" s="325" t="s">
        <v>337</v>
      </c>
      <c r="N65" s="325"/>
      <c r="O65" s="325"/>
      <c r="P65" s="325"/>
      <c r="Q65" s="325"/>
      <c r="Y65" s="11"/>
    </row>
    <row r="66" spans="1:25" x14ac:dyDescent="0.25">
      <c r="A66" s="317"/>
      <c r="B66" s="318"/>
      <c r="C66" s="167"/>
      <c r="D66" s="334"/>
      <c r="E66" s="335"/>
      <c r="F66" s="336"/>
      <c r="G66" s="336"/>
      <c r="H66" s="336"/>
      <c r="I66" s="227"/>
      <c r="J66" s="227"/>
      <c r="K66" s="227"/>
      <c r="L66" s="228"/>
      <c r="Y66" s="11"/>
    </row>
    <row r="67" spans="1:25" ht="12" customHeight="1" thickBot="1" x14ac:dyDescent="0.3">
      <c r="A67" s="1089" t="s">
        <v>254</v>
      </c>
      <c r="B67" s="623"/>
      <c r="C67" s="653" t="str">
        <f>A65</f>
        <v>P</v>
      </c>
      <c r="D67" s="653"/>
      <c r="E67" s="653"/>
      <c r="F67" s="653"/>
      <c r="G67" s="653"/>
      <c r="H67" s="224"/>
      <c r="I67" s="11"/>
      <c r="J67" s="11"/>
      <c r="K67" s="11"/>
      <c r="L67" s="319"/>
    </row>
    <row r="68" spans="1:25" x14ac:dyDescent="0.25">
      <c r="A68" s="1089"/>
      <c r="B68" s="623"/>
      <c r="C68" s="322" t="str">
        <f>IF(H65=$AA$16,$AA$14,IF(H65=$AA$15,""))</f>
        <v/>
      </c>
      <c r="D68" s="320" t="s">
        <v>258</v>
      </c>
      <c r="E68" s="799" t="str">
        <f>IF(A65="P","* cosϕ",IF(A65="S","",))</f>
        <v>* cosϕ</v>
      </c>
      <c r="F68" s="799"/>
      <c r="G68" s="799"/>
      <c r="H68" s="11"/>
      <c r="I68" s="11"/>
      <c r="J68" s="11"/>
      <c r="K68" s="11"/>
      <c r="L68" s="319"/>
    </row>
    <row r="69" spans="1:25" x14ac:dyDescent="0.25">
      <c r="A69" s="1008"/>
      <c r="B69" s="1009"/>
      <c r="C69" s="1009"/>
      <c r="D69" s="1009"/>
      <c r="E69" s="321"/>
      <c r="F69" s="11"/>
      <c r="G69" s="11"/>
      <c r="H69" s="11"/>
      <c r="I69" s="11"/>
      <c r="J69" s="11"/>
      <c r="K69" s="11"/>
      <c r="L69" s="319"/>
    </row>
    <row r="70" spans="1:25" ht="15.75" thickBot="1" x14ac:dyDescent="0.3">
      <c r="A70" s="1089" t="s">
        <v>254</v>
      </c>
      <c r="B70" s="623"/>
      <c r="C70" s="1091">
        <v>6000</v>
      </c>
      <c r="D70" s="1091"/>
      <c r="E70" s="1091"/>
      <c r="F70" s="1091"/>
      <c r="G70" s="1091"/>
      <c r="H70" s="623" t="s">
        <v>104</v>
      </c>
      <c r="I70" s="1069">
        <f>IF(AND(A65=$AA$17,H65=$AA$16),C70/(SQRT(3)*D71*E71))+IF(AND(A65=$AA$18,H65=$AA$16),C70/(SQRT(3)*D71))+IF(AND(A65=$AA$17,H65=$AA$15),C70/(D71*E71))+IF(AND(A65=$AA$18,H65=$AA$15),C70/D71)</f>
        <v>15</v>
      </c>
      <c r="J70" s="1069"/>
      <c r="K70" s="1069"/>
      <c r="L70" s="1070"/>
    </row>
    <row r="71" spans="1:25" ht="15.75" thickBot="1" x14ac:dyDescent="0.3">
      <c r="A71" s="878"/>
      <c r="B71" s="879"/>
      <c r="C71" s="253" t="str">
        <f>IF($H$65=$AA$16,$AA$14,IF($H$65=$AA$15,"",))</f>
        <v/>
      </c>
      <c r="D71" s="326">
        <f>J65</f>
        <v>400</v>
      </c>
      <c r="E71" s="1111">
        <v>1</v>
      </c>
      <c r="F71" s="1111"/>
      <c r="G71" s="12"/>
      <c r="H71" s="879"/>
      <c r="I71" s="1071"/>
      <c r="J71" s="1071"/>
      <c r="K71" s="1071"/>
      <c r="L71" s="1072"/>
    </row>
    <row r="74" spans="1:25" ht="12" customHeight="1" thickBot="1" x14ac:dyDescent="0.3"/>
    <row r="75" spans="1:25" ht="15.75" thickBot="1" x14ac:dyDescent="0.3">
      <c r="A75" s="1116" t="s">
        <v>255</v>
      </c>
      <c r="B75" s="1012"/>
      <c r="C75" s="91"/>
      <c r="D75" s="91"/>
      <c r="E75" s="91"/>
      <c r="F75" s="1013" t="s">
        <v>320</v>
      </c>
      <c r="G75" s="1013"/>
      <c r="H75" s="1012" t="s">
        <v>257</v>
      </c>
      <c r="I75" s="1012"/>
      <c r="J75" s="1112">
        <v>400</v>
      </c>
      <c r="K75" s="1112"/>
      <c r="L75" s="1113"/>
      <c r="M75" s="325" t="s">
        <v>337</v>
      </c>
      <c r="N75" s="325"/>
      <c r="O75" s="325"/>
      <c r="P75" s="325"/>
      <c r="Q75" s="325"/>
    </row>
    <row r="76" spans="1:25" x14ac:dyDescent="0.25">
      <c r="A76" s="226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8"/>
    </row>
    <row r="77" spans="1:25" ht="12" customHeight="1" thickBot="1" x14ac:dyDescent="0.3">
      <c r="A77" s="1089" t="s">
        <v>254</v>
      </c>
      <c r="B77" s="623"/>
      <c r="C77" s="653" t="str">
        <f>A75</f>
        <v>S</v>
      </c>
      <c r="D77" s="653"/>
      <c r="E77" s="653"/>
      <c r="F77" s="653"/>
      <c r="G77" s="653"/>
      <c r="H77" s="11"/>
      <c r="I77" s="11"/>
      <c r="J77" s="11"/>
      <c r="K77" s="11"/>
      <c r="L77" s="319"/>
    </row>
    <row r="78" spans="1:25" ht="18" x14ac:dyDescent="0.25">
      <c r="A78" s="1089"/>
      <c r="B78" s="623"/>
      <c r="C78" s="74" t="str">
        <f>IF(H75=$AA$16,$AA$14,IF(H75=$AA$15,""))</f>
        <v>√3 *</v>
      </c>
      <c r="D78" s="320" t="s">
        <v>266</v>
      </c>
      <c r="E78" s="623" t="str">
        <f>IF(A75="P","* cosϕ",IF(A75="S","",))</f>
        <v/>
      </c>
      <c r="F78" s="623"/>
      <c r="G78" s="623"/>
      <c r="H78" s="11"/>
      <c r="I78" s="11"/>
      <c r="J78" s="11"/>
      <c r="K78" s="11"/>
      <c r="L78" s="319"/>
    </row>
    <row r="79" spans="1:25" x14ac:dyDescent="0.25">
      <c r="A79" s="23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319"/>
    </row>
    <row r="80" spans="1:25" ht="15.75" thickBot="1" x14ac:dyDescent="0.3">
      <c r="A80" s="1089" t="s">
        <v>254</v>
      </c>
      <c r="B80" s="623"/>
      <c r="C80" s="1091"/>
      <c r="D80" s="1091"/>
      <c r="E80" s="1091"/>
      <c r="F80" s="1091"/>
      <c r="G80" s="1091"/>
      <c r="H80" s="623" t="s">
        <v>104</v>
      </c>
      <c r="I80" s="1069">
        <f>IF(AND(A75=$AA$17,H75=$AA$16),C80/(SQRT(3)*D81*E81))+IF(AND(A75=$AA$18,H75=$AA$16),C80/(SQRT(3)*D81))+IF(AND(A75=$AA$17,H75=$AA$15),C80/(D81*E81))+IF(AND(A75=$AA$18,H75=$AA$15),C80/D81)</f>
        <v>0</v>
      </c>
      <c r="J80" s="1069"/>
      <c r="K80" s="1069"/>
      <c r="L80" s="1070"/>
    </row>
    <row r="81" spans="1:25" ht="15.75" thickBot="1" x14ac:dyDescent="0.3">
      <c r="A81" s="878"/>
      <c r="B81" s="879"/>
      <c r="C81" s="324" t="str">
        <f>IF(H75=$AA$16,$AA$14,IF(H75=$AA$15,"",))</f>
        <v>√3 *</v>
      </c>
      <c r="D81" s="326">
        <f>J75</f>
        <v>400</v>
      </c>
      <c r="E81" s="1090"/>
      <c r="F81" s="1090"/>
      <c r="G81" s="1090"/>
      <c r="H81" s="879"/>
      <c r="I81" s="1071"/>
      <c r="J81" s="1071"/>
      <c r="K81" s="1071"/>
      <c r="L81" s="1072"/>
      <c r="Y81" s="11"/>
    </row>
    <row r="82" spans="1:25" x14ac:dyDescent="0.25">
      <c r="Y82" s="11"/>
    </row>
    <row r="83" spans="1:25" x14ac:dyDescent="0.25">
      <c r="X83" s="11"/>
      <c r="Y83" s="310"/>
    </row>
    <row r="84" spans="1:25" ht="12" customHeight="1" thickBot="1" x14ac:dyDescent="0.3">
      <c r="X84" s="11"/>
      <c r="Y84" s="11"/>
    </row>
    <row r="85" spans="1:25" ht="15.75" thickBot="1" x14ac:dyDescent="0.3">
      <c r="A85" s="1116" t="s">
        <v>255</v>
      </c>
      <c r="B85" s="1012"/>
      <c r="C85" s="91"/>
      <c r="D85" s="91"/>
      <c r="E85" s="91"/>
      <c r="F85" s="1013" t="s">
        <v>320</v>
      </c>
      <c r="G85" s="1013"/>
      <c r="H85" s="1012" t="s">
        <v>257</v>
      </c>
      <c r="I85" s="1012"/>
      <c r="J85" s="1112">
        <v>400</v>
      </c>
      <c r="K85" s="1112"/>
      <c r="L85" s="1113"/>
      <c r="M85" s="325" t="s">
        <v>337</v>
      </c>
      <c r="N85" s="325"/>
      <c r="O85" s="325"/>
      <c r="P85" s="325"/>
      <c r="Q85" s="325"/>
      <c r="X85" s="310"/>
      <c r="Y85" s="11"/>
    </row>
    <row r="86" spans="1:25" x14ac:dyDescent="0.25">
      <c r="A86" s="226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8"/>
      <c r="X86" s="11"/>
      <c r="Y86" s="11"/>
    </row>
    <row r="87" spans="1:25" ht="12" customHeight="1" thickBot="1" x14ac:dyDescent="0.3">
      <c r="A87" s="1089" t="s">
        <v>254</v>
      </c>
      <c r="B87" s="623"/>
      <c r="C87" s="653" t="str">
        <f>A85</f>
        <v>S</v>
      </c>
      <c r="D87" s="653"/>
      <c r="E87" s="653"/>
      <c r="F87" s="653"/>
      <c r="G87" s="653"/>
      <c r="H87" s="11"/>
      <c r="I87" s="11"/>
      <c r="J87" s="11"/>
      <c r="K87" s="11"/>
      <c r="L87" s="319"/>
      <c r="X87" s="11"/>
      <c r="Y87" s="11"/>
    </row>
    <row r="88" spans="1:25" x14ac:dyDescent="0.25">
      <c r="A88" s="1089"/>
      <c r="B88" s="623"/>
      <c r="C88" s="322" t="str">
        <f>IF(H85=$AA$16,$AA$14,IF(H85=$AA$15,"",))</f>
        <v>√3 *</v>
      </c>
      <c r="D88" s="320" t="s">
        <v>258</v>
      </c>
      <c r="E88" s="623" t="str">
        <f>IF(A85="P","* cosϕ",IF(A85="S","",))</f>
        <v/>
      </c>
      <c r="F88" s="623"/>
      <c r="G88" s="623"/>
      <c r="H88" s="11"/>
      <c r="I88" s="11"/>
      <c r="J88" s="11"/>
      <c r="K88" s="11"/>
      <c r="L88" s="319"/>
      <c r="X88" s="11"/>
    </row>
    <row r="89" spans="1:25" x14ac:dyDescent="0.25">
      <c r="A89" s="23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319"/>
      <c r="X89" s="11"/>
    </row>
    <row r="90" spans="1:25" ht="15.75" thickBot="1" x14ac:dyDescent="0.3">
      <c r="A90" s="1089" t="s">
        <v>254</v>
      </c>
      <c r="B90" s="623"/>
      <c r="C90" s="1091"/>
      <c r="D90" s="1091"/>
      <c r="E90" s="1091"/>
      <c r="F90" s="1091"/>
      <c r="G90" s="1091"/>
      <c r="H90" s="623" t="s">
        <v>104</v>
      </c>
      <c r="I90" s="1069">
        <f>IF(AND(A85=$AA$17,H85=$AA$16),C90/(SQRT(3)*D91*E91))+IF(AND(A85=$AA$18,H85=$AA$16),C90/(SQRT(3)*D91))+IF(AND(A85=$AA$17,H85=$AA$15),C90/(D91*E91))+IF(AND(A85=$AA$18,H85=$AA$15),C90/D91)</f>
        <v>0</v>
      </c>
      <c r="J90" s="1069"/>
      <c r="K90" s="1069"/>
      <c r="L90" s="1070"/>
    </row>
    <row r="91" spans="1:25" ht="15.75" thickBot="1" x14ac:dyDescent="0.3">
      <c r="A91" s="878"/>
      <c r="B91" s="879"/>
      <c r="C91" s="253" t="str">
        <f>IF(H85=$AA$16,$AA$14,IF(H85=$AA$15,"",))</f>
        <v>√3 *</v>
      </c>
      <c r="D91" s="248">
        <f>J85</f>
        <v>400</v>
      </c>
      <c r="E91" s="1090"/>
      <c r="F91" s="1090"/>
      <c r="G91" s="1090"/>
      <c r="H91" s="879"/>
      <c r="I91" s="1071"/>
      <c r="J91" s="1071"/>
      <c r="K91" s="1071"/>
      <c r="L91" s="1072"/>
    </row>
    <row r="94" spans="1:25" ht="12" customHeight="1" thickBot="1" x14ac:dyDescent="0.3"/>
    <row r="95" spans="1:25" ht="15.75" thickBot="1" x14ac:dyDescent="0.3">
      <c r="A95" s="1116" t="s">
        <v>255</v>
      </c>
      <c r="B95" s="1012"/>
      <c r="C95" s="91"/>
      <c r="D95" s="91"/>
      <c r="E95" s="91"/>
      <c r="F95" s="1013" t="s">
        <v>320</v>
      </c>
      <c r="G95" s="1013"/>
      <c r="H95" s="1012" t="s">
        <v>257</v>
      </c>
      <c r="I95" s="1012"/>
      <c r="J95" s="1112">
        <v>400</v>
      </c>
      <c r="K95" s="1112"/>
      <c r="L95" s="1113"/>
      <c r="M95" s="325" t="s">
        <v>337</v>
      </c>
      <c r="N95" s="325"/>
      <c r="O95" s="325"/>
      <c r="P95" s="325"/>
      <c r="Q95" s="325"/>
    </row>
    <row r="96" spans="1:25" x14ac:dyDescent="0.25">
      <c r="A96" s="226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8"/>
    </row>
    <row r="97" spans="1:17" ht="12" customHeight="1" thickBot="1" x14ac:dyDescent="0.3">
      <c r="A97" s="1089" t="s">
        <v>254</v>
      </c>
      <c r="B97" s="623"/>
      <c r="C97" s="653" t="str">
        <f>A95</f>
        <v>S</v>
      </c>
      <c r="D97" s="653"/>
      <c r="E97" s="653"/>
      <c r="F97" s="653"/>
      <c r="G97" s="653"/>
      <c r="H97" s="11"/>
      <c r="I97" s="11"/>
      <c r="J97" s="11"/>
      <c r="K97" s="11"/>
      <c r="L97" s="319"/>
    </row>
    <row r="98" spans="1:17" x14ac:dyDescent="0.25">
      <c r="A98" s="1089"/>
      <c r="B98" s="623"/>
      <c r="C98" s="322" t="str">
        <f>IF(H95=$AA$16,$AA$14,IF(H95=$AA$15,"",))</f>
        <v>√3 *</v>
      </c>
      <c r="D98" s="320" t="s">
        <v>258</v>
      </c>
      <c r="E98" s="623" t="str">
        <f>IF(A95="P","* cosϕ",IF(A95="S","",))</f>
        <v/>
      </c>
      <c r="F98" s="623"/>
      <c r="G98" s="623"/>
      <c r="H98" s="11"/>
      <c r="I98" s="11"/>
      <c r="J98" s="11"/>
      <c r="K98" s="11"/>
      <c r="L98" s="319"/>
    </row>
    <row r="99" spans="1:17" x14ac:dyDescent="0.25">
      <c r="A99" s="23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319"/>
    </row>
    <row r="100" spans="1:17" ht="15.75" thickBot="1" x14ac:dyDescent="0.3">
      <c r="A100" s="1089" t="s">
        <v>254</v>
      </c>
      <c r="B100" s="623"/>
      <c r="C100" s="1091"/>
      <c r="D100" s="1091"/>
      <c r="E100" s="1091"/>
      <c r="F100" s="1091"/>
      <c r="G100" s="1091"/>
      <c r="H100" s="623" t="s">
        <v>104</v>
      </c>
      <c r="I100" s="1069">
        <f>IF(AND(A95=$AA$17,H95=$AA$16),C100/(SQRT(3)*D101*E101))+IF(AND(A95=$AA$18,H95=$AA$16),C100/(SQRT(3)*D101))+IF(AND(A95=$AA$17,H95=$AA$15),C100/(D101*E101))+IF(AND(A95=$AA$18,H95=$AA$15),C100/D101)</f>
        <v>0</v>
      </c>
      <c r="J100" s="1069"/>
      <c r="K100" s="1069"/>
      <c r="L100" s="1070"/>
    </row>
    <row r="101" spans="1:17" ht="15.75" thickBot="1" x14ac:dyDescent="0.3">
      <c r="A101" s="878"/>
      <c r="B101" s="879"/>
      <c r="C101" s="253" t="str">
        <f>IF(H95=$AA$16,$AA$14,IF(H95=$AA$15,"",))</f>
        <v>√3 *</v>
      </c>
      <c r="D101" s="248">
        <f>J95</f>
        <v>400</v>
      </c>
      <c r="E101" s="1090"/>
      <c r="F101" s="1090"/>
      <c r="G101" s="1090"/>
      <c r="H101" s="879"/>
      <c r="I101" s="1071"/>
      <c r="J101" s="1071"/>
      <c r="K101" s="1071"/>
      <c r="L101" s="1072"/>
    </row>
    <row r="104" spans="1:17" ht="12" customHeight="1" thickBot="1" x14ac:dyDescent="0.3"/>
    <row r="105" spans="1:17" ht="15.75" thickBot="1" x14ac:dyDescent="0.3">
      <c r="A105" s="1116" t="s">
        <v>255</v>
      </c>
      <c r="B105" s="1012"/>
      <c r="C105" s="91"/>
      <c r="D105" s="91"/>
      <c r="E105" s="91"/>
      <c r="F105" s="1013" t="s">
        <v>320</v>
      </c>
      <c r="G105" s="1013"/>
      <c r="H105" s="1012" t="s">
        <v>257</v>
      </c>
      <c r="I105" s="1012"/>
      <c r="J105" s="1112">
        <v>400</v>
      </c>
      <c r="K105" s="1112"/>
      <c r="L105" s="1113"/>
      <c r="M105" s="325" t="s">
        <v>337</v>
      </c>
      <c r="N105" s="325"/>
      <c r="O105" s="325"/>
      <c r="P105" s="325"/>
      <c r="Q105" s="325"/>
    </row>
    <row r="106" spans="1:17" x14ac:dyDescent="0.25">
      <c r="A106" s="226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8"/>
    </row>
    <row r="107" spans="1:17" ht="12" customHeight="1" thickBot="1" x14ac:dyDescent="0.3">
      <c r="A107" s="1089" t="s">
        <v>254</v>
      </c>
      <c r="B107" s="623"/>
      <c r="C107" s="653" t="str">
        <f>A105</f>
        <v>S</v>
      </c>
      <c r="D107" s="653"/>
      <c r="E107" s="653"/>
      <c r="F107" s="653"/>
      <c r="G107" s="653"/>
      <c r="H107" s="11"/>
      <c r="I107" s="11"/>
      <c r="J107" s="11"/>
      <c r="K107" s="11"/>
      <c r="L107" s="319"/>
    </row>
    <row r="108" spans="1:17" x14ac:dyDescent="0.25">
      <c r="A108" s="1089"/>
      <c r="B108" s="623"/>
      <c r="C108" s="322" t="str">
        <f>IF(H105=$AA$16,$AA$14,IF(H105=$AA$15,"",))</f>
        <v>√3 *</v>
      </c>
      <c r="D108" s="320" t="s">
        <v>258</v>
      </c>
      <c r="E108" s="623" t="str">
        <f>IF(A105="P","* cosϕ",IF(A105="S","",))</f>
        <v/>
      </c>
      <c r="F108" s="623"/>
      <c r="G108" s="623"/>
      <c r="H108" s="11"/>
      <c r="I108" s="11"/>
      <c r="J108" s="11"/>
      <c r="K108" s="11"/>
      <c r="L108" s="319"/>
    </row>
    <row r="109" spans="1:17" x14ac:dyDescent="0.25">
      <c r="A109" s="23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319"/>
    </row>
    <row r="110" spans="1:17" ht="15.75" thickBot="1" x14ac:dyDescent="0.3">
      <c r="A110" s="1089" t="s">
        <v>254</v>
      </c>
      <c r="B110" s="623"/>
      <c r="C110" s="1091"/>
      <c r="D110" s="1091"/>
      <c r="E110" s="1091"/>
      <c r="F110" s="1091"/>
      <c r="G110" s="1091"/>
      <c r="H110" s="623" t="s">
        <v>104</v>
      </c>
      <c r="I110" s="1069">
        <f>IF(AND(A105=$AA$17,H105=$AA$16),C110/(SQRT(3)*D111*E111))+IF(AND(A105=$AA$18,H105=$AA$16),C110/(SQRT(3)*D111))+IF(AND(A105=$AA$17,H105=$AA$15),C110/(D111*E111))+IF(AND(A105=$AA$18,H105=$AA$15),C110/D111)</f>
        <v>0</v>
      </c>
      <c r="J110" s="1069"/>
      <c r="K110" s="1069"/>
      <c r="L110" s="1070"/>
    </row>
    <row r="111" spans="1:17" ht="15.75" thickBot="1" x14ac:dyDescent="0.3">
      <c r="A111" s="878"/>
      <c r="B111" s="879"/>
      <c r="C111" s="253" t="str">
        <f>IF(H105=$AA$16,$AA$14,IF(H105=$AA$15,"",))</f>
        <v>√3 *</v>
      </c>
      <c r="D111" s="248">
        <f>J105</f>
        <v>400</v>
      </c>
      <c r="E111" s="1090"/>
      <c r="F111" s="1090"/>
      <c r="G111" s="1090"/>
      <c r="H111" s="879"/>
      <c r="I111" s="1071"/>
      <c r="J111" s="1071"/>
      <c r="K111" s="1071"/>
      <c r="L111" s="1072"/>
    </row>
  </sheetData>
  <mergeCells count="319">
    <mergeCell ref="R29:S29"/>
    <mergeCell ref="A105:B105"/>
    <mergeCell ref="J105:L105"/>
    <mergeCell ref="A107:B108"/>
    <mergeCell ref="C107:G107"/>
    <mergeCell ref="E108:G108"/>
    <mergeCell ref="A110:B111"/>
    <mergeCell ref="C110:G110"/>
    <mergeCell ref="H110:H111"/>
    <mergeCell ref="I110:L111"/>
    <mergeCell ref="E111:G111"/>
    <mergeCell ref="A95:B95"/>
    <mergeCell ref="J95:L95"/>
    <mergeCell ref="A97:B98"/>
    <mergeCell ref="C97:G97"/>
    <mergeCell ref="E98:G98"/>
    <mergeCell ref="A100:B101"/>
    <mergeCell ref="C100:G100"/>
    <mergeCell ref="H100:H101"/>
    <mergeCell ref="I100:L101"/>
    <mergeCell ref="E101:G101"/>
    <mergeCell ref="A77:B78"/>
    <mergeCell ref="E78:G78"/>
    <mergeCell ref="C77:G77"/>
    <mergeCell ref="A80:B81"/>
    <mergeCell ref="E81:G81"/>
    <mergeCell ref="C80:G80"/>
    <mergeCell ref="I80:L81"/>
    <mergeCell ref="A85:B85"/>
    <mergeCell ref="J85:L85"/>
    <mergeCell ref="A75:B75"/>
    <mergeCell ref="J75:L75"/>
    <mergeCell ref="E44:G44"/>
    <mergeCell ref="H75:I75"/>
    <mergeCell ref="F75:G75"/>
    <mergeCell ref="H85:I85"/>
    <mergeCell ref="F85:G85"/>
    <mergeCell ref="A67:B68"/>
    <mergeCell ref="E68:G68"/>
    <mergeCell ref="C67:G67"/>
    <mergeCell ref="A70:B71"/>
    <mergeCell ref="C51:C52"/>
    <mergeCell ref="A50:B51"/>
    <mergeCell ref="A54:B55"/>
    <mergeCell ref="C47:C48"/>
    <mergeCell ref="C55:C56"/>
    <mergeCell ref="F49:G49"/>
    <mergeCell ref="F50:G52"/>
    <mergeCell ref="F53:G53"/>
    <mergeCell ref="F54:G56"/>
    <mergeCell ref="F57:G57"/>
    <mergeCell ref="A46:B47"/>
    <mergeCell ref="E71:F71"/>
    <mergeCell ref="C70:G70"/>
    <mergeCell ref="I70:L71"/>
    <mergeCell ref="J65:L65"/>
    <mergeCell ref="H30:I30"/>
    <mergeCell ref="K46:M48"/>
    <mergeCell ref="K49:M49"/>
    <mergeCell ref="K50:M52"/>
    <mergeCell ref="K53:M53"/>
    <mergeCell ref="K54:M56"/>
    <mergeCell ref="K57:M57"/>
    <mergeCell ref="F65:G65"/>
    <mergeCell ref="E31:G33"/>
    <mergeCell ref="E43:G43"/>
    <mergeCell ref="A65:B65"/>
    <mergeCell ref="A40:B41"/>
    <mergeCell ref="C41:C42"/>
    <mergeCell ref="A43:D43"/>
    <mergeCell ref="A44:D44"/>
    <mergeCell ref="E40:G42"/>
    <mergeCell ref="E28:G28"/>
    <mergeCell ref="E29:G29"/>
    <mergeCell ref="E30:G30"/>
    <mergeCell ref="H24:I24"/>
    <mergeCell ref="H25:I25"/>
    <mergeCell ref="H26:I26"/>
    <mergeCell ref="H27:I27"/>
    <mergeCell ref="H28:I28"/>
    <mergeCell ref="H29:I29"/>
    <mergeCell ref="H80:H81"/>
    <mergeCell ref="E13:G13"/>
    <mergeCell ref="E14:G14"/>
    <mergeCell ref="A17:D17"/>
    <mergeCell ref="A18:D18"/>
    <mergeCell ref="A19:D19"/>
    <mergeCell ref="E15:G15"/>
    <mergeCell ref="E16:G16"/>
    <mergeCell ref="E17:G17"/>
    <mergeCell ref="E18:G18"/>
    <mergeCell ref="E19:G19"/>
    <mergeCell ref="A20:D20"/>
    <mergeCell ref="A21:D21"/>
    <mergeCell ref="A14:D14"/>
    <mergeCell ref="A69:D69"/>
    <mergeCell ref="H70:H71"/>
    <mergeCell ref="A27:D27"/>
    <mergeCell ref="A28:D28"/>
    <mergeCell ref="A29:D29"/>
    <mergeCell ref="A30:D30"/>
    <mergeCell ref="E24:G24"/>
    <mergeCell ref="E25:G25"/>
    <mergeCell ref="E26:G26"/>
    <mergeCell ref="E27:G27"/>
    <mergeCell ref="V27:W27"/>
    <mergeCell ref="V26:W26"/>
    <mergeCell ref="V25:W25"/>
    <mergeCell ref="V24:W24"/>
    <mergeCell ref="V23:W23"/>
    <mergeCell ref="J25:L25"/>
    <mergeCell ref="J26:L26"/>
    <mergeCell ref="J27:L27"/>
    <mergeCell ref="J28:L28"/>
    <mergeCell ref="T28:U28"/>
    <mergeCell ref="J29:L29"/>
    <mergeCell ref="J30:L30"/>
    <mergeCell ref="M29:N29"/>
    <mergeCell ref="M30:N30"/>
    <mergeCell ref="O23:Q23"/>
    <mergeCell ref="O24:Q24"/>
    <mergeCell ref="O25:Q25"/>
    <mergeCell ref="O26:Q26"/>
    <mergeCell ref="O27:Q27"/>
    <mergeCell ref="A26:D26"/>
    <mergeCell ref="Z4:AA4"/>
    <mergeCell ref="A16:D16"/>
    <mergeCell ref="E12:G12"/>
    <mergeCell ref="E11:G11"/>
    <mergeCell ref="H11:I11"/>
    <mergeCell ref="J11:L11"/>
    <mergeCell ref="J12:L12"/>
    <mergeCell ref="J13:L13"/>
    <mergeCell ref="J14:L14"/>
    <mergeCell ref="J15:L15"/>
    <mergeCell ref="J16:L16"/>
    <mergeCell ref="M11:N11"/>
    <mergeCell ref="M12:N12"/>
    <mergeCell ref="M13:N13"/>
    <mergeCell ref="M14:N14"/>
    <mergeCell ref="M15:N15"/>
    <mergeCell ref="M16:N16"/>
    <mergeCell ref="T11:U11"/>
    <mergeCell ref="T12:U12"/>
    <mergeCell ref="V11:W11"/>
    <mergeCell ref="A13:D13"/>
    <mergeCell ref="A12:D12"/>
    <mergeCell ref="A15:D15"/>
    <mergeCell ref="T13:U13"/>
    <mergeCell ref="R9:X10"/>
    <mergeCell ref="A11:D11"/>
    <mergeCell ref="O11:Q11"/>
    <mergeCell ref="J17:L17"/>
    <mergeCell ref="J18:L18"/>
    <mergeCell ref="J19:L19"/>
    <mergeCell ref="J20:L20"/>
    <mergeCell ref="E23:G23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E20:G20"/>
    <mergeCell ref="E21:G21"/>
    <mergeCell ref="J23:L23"/>
    <mergeCell ref="A87:B88"/>
    <mergeCell ref="E88:G88"/>
    <mergeCell ref="C87:G87"/>
    <mergeCell ref="A90:B91"/>
    <mergeCell ref="E91:G91"/>
    <mergeCell ref="C90:G90"/>
    <mergeCell ref="I90:L91"/>
    <mergeCell ref="T15:U15"/>
    <mergeCell ref="T16:U16"/>
    <mergeCell ref="T17:U17"/>
    <mergeCell ref="T18:U18"/>
    <mergeCell ref="R15:S15"/>
    <mergeCell ref="R19:S19"/>
    <mergeCell ref="R20:S20"/>
    <mergeCell ref="R21:S21"/>
    <mergeCell ref="D50:E52"/>
    <mergeCell ref="D54:E56"/>
    <mergeCell ref="A57:E57"/>
    <mergeCell ref="A53:E53"/>
    <mergeCell ref="A49:E49"/>
    <mergeCell ref="I49:J49"/>
    <mergeCell ref="I50:J52"/>
    <mergeCell ref="I53:J53"/>
    <mergeCell ref="I54:J56"/>
    <mergeCell ref="T20:U20"/>
    <mergeCell ref="T21:U21"/>
    <mergeCell ref="H36:I36"/>
    <mergeCell ref="H37:I37"/>
    <mergeCell ref="R16:S16"/>
    <mergeCell ref="R17:S17"/>
    <mergeCell ref="R18:S18"/>
    <mergeCell ref="A31:B32"/>
    <mergeCell ref="C32:C33"/>
    <mergeCell ref="A34:D34"/>
    <mergeCell ref="A35:D35"/>
    <mergeCell ref="T23:U23"/>
    <mergeCell ref="T24:U24"/>
    <mergeCell ref="T25:U25"/>
    <mergeCell ref="T26:U26"/>
    <mergeCell ref="T27:U27"/>
    <mergeCell ref="O21:Q21"/>
    <mergeCell ref="O22:Q22"/>
    <mergeCell ref="M20:N20"/>
    <mergeCell ref="M21:N21"/>
    <mergeCell ref="M19:N19"/>
    <mergeCell ref="A23:D23"/>
    <mergeCell ref="A24:D24"/>
    <mergeCell ref="A25:D25"/>
    <mergeCell ref="AK8:AM8"/>
    <mergeCell ref="H31:I33"/>
    <mergeCell ref="H43:I43"/>
    <mergeCell ref="H44:I44"/>
    <mergeCell ref="J31:L33"/>
    <mergeCell ref="J43:L43"/>
    <mergeCell ref="J44:L44"/>
    <mergeCell ref="M31:Q35"/>
    <mergeCell ref="T29:U29"/>
    <mergeCell ref="T30:U30"/>
    <mergeCell ref="V12:W12"/>
    <mergeCell ref="V13:W13"/>
    <mergeCell ref="V14:W14"/>
    <mergeCell ref="V15:W15"/>
    <mergeCell ref="V16:W16"/>
    <mergeCell ref="V17:W17"/>
    <mergeCell ref="V18:W18"/>
    <mergeCell ref="T22:U22"/>
    <mergeCell ref="V31:X35"/>
    <mergeCell ref="V19:W19"/>
    <mergeCell ref="T31:U33"/>
    <mergeCell ref="T34:U34"/>
    <mergeCell ref="T35:U35"/>
    <mergeCell ref="T14:U14"/>
    <mergeCell ref="V20:W20"/>
    <mergeCell ref="V21:W21"/>
    <mergeCell ref="T19:U19"/>
    <mergeCell ref="V22:W22"/>
    <mergeCell ref="N46:P48"/>
    <mergeCell ref="N50:P52"/>
    <mergeCell ref="N54:P56"/>
    <mergeCell ref="N57:P57"/>
    <mergeCell ref="N53:P53"/>
    <mergeCell ref="N49:P49"/>
    <mergeCell ref="R30:S30"/>
    <mergeCell ref="O19:Q19"/>
    <mergeCell ref="O20:Q20"/>
    <mergeCell ref="V30:W30"/>
    <mergeCell ref="V29:W29"/>
    <mergeCell ref="V28:W28"/>
    <mergeCell ref="O28:Q28"/>
    <mergeCell ref="M23:N23"/>
    <mergeCell ref="M24:N24"/>
    <mergeCell ref="M25:N25"/>
    <mergeCell ref="M26:N26"/>
    <mergeCell ref="M27:N27"/>
    <mergeCell ref="M28:N28"/>
    <mergeCell ref="O29:Q29"/>
    <mergeCell ref="R11:S11"/>
    <mergeCell ref="R12:S12"/>
    <mergeCell ref="R13:S13"/>
    <mergeCell ref="R14:S14"/>
    <mergeCell ref="M17:N17"/>
    <mergeCell ref="M18:N18"/>
    <mergeCell ref="R23:S23"/>
    <mergeCell ref="R24:S24"/>
    <mergeCell ref="R25:S25"/>
    <mergeCell ref="O15:Q15"/>
    <mergeCell ref="O16:Q16"/>
    <mergeCell ref="O17:Q17"/>
    <mergeCell ref="O18:Q18"/>
    <mergeCell ref="O12:Q12"/>
    <mergeCell ref="O13:Q13"/>
    <mergeCell ref="O14:Q14"/>
    <mergeCell ref="H95:I95"/>
    <mergeCell ref="F95:G95"/>
    <mergeCell ref="H105:I105"/>
    <mergeCell ref="F105:G105"/>
    <mergeCell ref="H90:H91"/>
    <mergeCell ref="H65:I65"/>
    <mergeCell ref="J22:L22"/>
    <mergeCell ref="J21:L21"/>
    <mergeCell ref="R22:S22"/>
    <mergeCell ref="E22:G22"/>
    <mergeCell ref="M22:N22"/>
    <mergeCell ref="R26:S26"/>
    <mergeCell ref="R27:S27"/>
    <mergeCell ref="R28:S28"/>
    <mergeCell ref="D46:E48"/>
    <mergeCell ref="I46:J48"/>
    <mergeCell ref="H46:H48"/>
    <mergeCell ref="F46:G48"/>
    <mergeCell ref="I57:J57"/>
    <mergeCell ref="H54:H56"/>
    <mergeCell ref="H50:H52"/>
    <mergeCell ref="A22:D22"/>
    <mergeCell ref="J24:L24"/>
    <mergeCell ref="O30:Q30"/>
    <mergeCell ref="H40:I42"/>
    <mergeCell ref="J40:L42"/>
    <mergeCell ref="R31:R32"/>
    <mergeCell ref="S32:S33"/>
    <mergeCell ref="R34:S34"/>
    <mergeCell ref="R35:S35"/>
    <mergeCell ref="A36:G36"/>
    <mergeCell ref="A37:G37"/>
    <mergeCell ref="E39:G39"/>
    <mergeCell ref="H39:I39"/>
    <mergeCell ref="J39:L39"/>
  </mergeCells>
  <dataValidations count="3">
    <dataValidation type="list" allowBlank="1" showInputMessage="1" showErrorMessage="1" sqref="H105 H95 H75 E66 H65 H85" xr:uid="{00000000-0002-0000-0B00-000000000000}">
      <formula1>$AA$15:$AA$16</formula1>
    </dataValidation>
    <dataValidation type="list" allowBlank="1" showInputMessage="1" showErrorMessage="1" sqref="J105 J85 J65 F66 J75 J95" xr:uid="{00000000-0002-0000-0B00-000001000000}">
      <formula1>$AA$11:$AA$12</formula1>
    </dataValidation>
    <dataValidation type="list" allowBlank="1" showInputMessage="1" showErrorMessage="1" sqref="A95 A75 A65 A85 A105" xr:uid="{00000000-0002-0000-0B00-000002000000}">
      <formula1>$AA$17:$AA$18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  <rowBreaks count="1" manualBreakCount="1">
    <brk id="6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11"/>
  <sheetViews>
    <sheetView showGridLines="0" zoomScaleNormal="100" workbookViewId="0">
      <selection activeCell="H16" sqref="H16:J16"/>
    </sheetView>
  </sheetViews>
  <sheetFormatPr defaultRowHeight="15" x14ac:dyDescent="0.25"/>
  <cols>
    <col min="1" max="1" width="2.85546875" style="30" customWidth="1"/>
    <col min="2" max="2" width="4" style="30" customWidth="1"/>
    <col min="3" max="3" width="4.5703125" style="30" customWidth="1"/>
    <col min="4" max="4" width="4.28515625" style="30" customWidth="1"/>
    <col min="5" max="5" width="3.42578125" style="30" customWidth="1"/>
    <col min="6" max="6" width="2.5703125" style="30" customWidth="1"/>
    <col min="7" max="7" width="5" style="30" customWidth="1"/>
    <col min="8" max="8" width="5.42578125" style="30" customWidth="1"/>
    <col min="9" max="9" width="2.140625" style="30" customWidth="1"/>
    <col min="10" max="10" width="1.28515625" style="30" customWidth="1"/>
    <col min="11" max="11" width="3.85546875" style="30" customWidth="1"/>
    <col min="12" max="12" width="2" style="30" customWidth="1"/>
    <col min="13" max="13" width="5" style="30" customWidth="1"/>
    <col min="14" max="14" width="3.28515625" style="30" customWidth="1"/>
    <col min="15" max="15" width="3" style="30" customWidth="1"/>
    <col min="16" max="16" width="2.7109375" style="30" customWidth="1"/>
    <col min="17" max="17" width="3.7109375" style="30" customWidth="1"/>
    <col min="18" max="18" width="2.85546875" style="30" customWidth="1"/>
    <col min="19" max="20" width="4.42578125" style="30" customWidth="1"/>
    <col min="21" max="21" width="2.42578125" style="30" customWidth="1"/>
    <col min="22" max="22" width="3.7109375" style="30" customWidth="1"/>
    <col min="23" max="23" width="2.28515625" style="30" customWidth="1"/>
    <col min="24" max="28" width="7.7109375" style="30" customWidth="1"/>
    <col min="29" max="31" width="7.7109375" style="30" hidden="1" customWidth="1"/>
    <col min="32" max="32" width="13.7109375" style="30" hidden="1" customWidth="1"/>
    <col min="33" max="35" width="6.7109375" style="30" hidden="1" customWidth="1"/>
    <col min="36" max="39" width="6.7109375" style="30" customWidth="1"/>
    <col min="40" max="47" width="9.140625" style="30" customWidth="1"/>
    <col min="48" max="16384" width="9.140625" style="30"/>
  </cols>
  <sheetData>
    <row r="1" spans="1:39" s="564" customFormat="1" ht="21" x14ac:dyDescent="0.35">
      <c r="A1" s="1239" t="s">
        <v>259</v>
      </c>
      <c r="B1" s="1239"/>
      <c r="C1" s="1239"/>
      <c r="D1" s="1239"/>
      <c r="E1" s="1239"/>
      <c r="F1" s="1239"/>
      <c r="G1" s="1239"/>
      <c r="H1" s="1239" t="s">
        <v>252</v>
      </c>
      <c r="I1" s="1239"/>
      <c r="J1" s="1239"/>
      <c r="K1" s="1238" t="s">
        <v>262</v>
      </c>
      <c r="L1" s="1238"/>
      <c r="M1" s="1238"/>
    </row>
    <row r="2" spans="1:39" s="564" customFormat="1" ht="15.75" hidden="1" customHeight="1" x14ac:dyDescent="0.35">
      <c r="C2" s="565"/>
      <c r="H2" s="565"/>
      <c r="I2" s="565"/>
      <c r="K2" s="244"/>
      <c r="L2" s="244"/>
    </row>
    <row r="3" spans="1:39" s="564" customFormat="1" ht="15.75" hidden="1" customHeight="1" x14ac:dyDescent="0.35">
      <c r="AF3" s="82"/>
    </row>
    <row r="4" spans="1:39" s="564" customFormat="1" ht="15.75" hidden="1" customHeight="1" x14ac:dyDescent="0.35">
      <c r="AF4" s="553"/>
    </row>
    <row r="5" spans="1:39" s="564" customFormat="1" ht="15.75" hidden="1" customHeight="1" x14ac:dyDescent="0.35">
      <c r="AF5" s="485"/>
    </row>
    <row r="6" spans="1:39" s="564" customFormat="1" ht="9" hidden="1" customHeight="1" x14ac:dyDescent="0.35">
      <c r="AF6" s="555"/>
    </row>
    <row r="7" spans="1:39" s="564" customFormat="1" ht="15.75" hidden="1" customHeight="1" x14ac:dyDescent="0.35"/>
    <row r="8" spans="1:39" s="564" customFormat="1" ht="15.75" hidden="1" customHeight="1" x14ac:dyDescent="0.35">
      <c r="R8" s="566"/>
      <c r="S8" s="566"/>
      <c r="T8" s="566"/>
      <c r="U8" s="566"/>
      <c r="V8" s="566"/>
      <c r="W8" s="566"/>
      <c r="X8" s="566"/>
      <c r="AF8" s="485"/>
      <c r="AG8" s="485"/>
      <c r="AH8" s="485"/>
      <c r="AI8" s="485"/>
      <c r="AJ8" s="485"/>
      <c r="AK8" s="1009"/>
      <c r="AL8" s="1009"/>
      <c r="AM8" s="1009"/>
    </row>
    <row r="9" spans="1:39" s="564" customFormat="1" ht="7.5" customHeight="1" x14ac:dyDescent="0.35">
      <c r="A9" s="565"/>
      <c r="C9" s="565"/>
      <c r="H9" s="565"/>
      <c r="I9" s="565"/>
      <c r="K9" s="244"/>
      <c r="L9" s="244"/>
      <c r="N9" s="1248" t="s">
        <v>264</v>
      </c>
      <c r="O9" s="1248"/>
      <c r="P9" s="1248"/>
      <c r="Q9" s="1248"/>
      <c r="R9" s="1248"/>
      <c r="S9" s="1248"/>
      <c r="T9" s="1248"/>
      <c r="Y9" s="555"/>
      <c r="Z9" s="555"/>
      <c r="AA9" s="555"/>
      <c r="AB9" s="555"/>
      <c r="AC9" s="555"/>
      <c r="AD9" s="555"/>
      <c r="AE9" s="555"/>
    </row>
    <row r="10" spans="1:39" s="564" customFormat="1" ht="7.5" customHeight="1" thickBot="1" x14ac:dyDescent="0.4">
      <c r="N10" s="1249"/>
      <c r="O10" s="1249"/>
      <c r="P10" s="1249"/>
      <c r="Q10" s="1249"/>
      <c r="R10" s="1249"/>
      <c r="S10" s="1249"/>
      <c r="T10" s="1249"/>
      <c r="Y10" s="555"/>
      <c r="Z10" s="555"/>
      <c r="AA10" s="555"/>
      <c r="AB10" s="555"/>
      <c r="AC10" s="555"/>
      <c r="AD10" s="555"/>
      <c r="AE10" s="555"/>
    </row>
    <row r="11" spans="1:39" x14ac:dyDescent="0.25">
      <c r="A11" s="1134" t="s">
        <v>222</v>
      </c>
      <c r="B11" s="1135"/>
      <c r="C11" s="1135"/>
      <c r="D11" s="1135"/>
      <c r="E11" s="1135" t="s">
        <v>436</v>
      </c>
      <c r="F11" s="1135"/>
      <c r="G11" s="1135"/>
      <c r="H11" s="1136" t="s">
        <v>50</v>
      </c>
      <c r="I11" s="1137"/>
      <c r="J11" s="1138"/>
      <c r="K11" s="1135" t="s">
        <v>244</v>
      </c>
      <c r="L11" s="1135"/>
      <c r="M11" s="1139"/>
      <c r="N11" s="1138" t="s">
        <v>203</v>
      </c>
      <c r="O11" s="1135"/>
      <c r="P11" s="1135" t="s">
        <v>265</v>
      </c>
      <c r="Q11" s="1135"/>
      <c r="R11" s="1135" t="s">
        <v>50</v>
      </c>
      <c r="S11" s="1135"/>
      <c r="T11" s="567" t="s">
        <v>244</v>
      </c>
      <c r="U11" s="568"/>
      <c r="V11" s="82"/>
      <c r="W11" s="82"/>
      <c r="X11" s="82"/>
      <c r="Y11" s="82"/>
      <c r="Z11" s="82"/>
      <c r="AA11" s="82"/>
      <c r="AC11" s="30">
        <v>400</v>
      </c>
      <c r="AD11" s="569" t="s">
        <v>245</v>
      </c>
      <c r="AE11" s="570" t="s">
        <v>246</v>
      </c>
      <c r="AF11" s="571" t="s">
        <v>247</v>
      </c>
      <c r="AG11" s="569" t="s">
        <v>245</v>
      </c>
      <c r="AH11" s="570" t="s">
        <v>246</v>
      </c>
      <c r="AI11" s="571" t="s">
        <v>247</v>
      </c>
    </row>
    <row r="12" spans="1:39" ht="15.75" customHeight="1" x14ac:dyDescent="0.25">
      <c r="A12" s="1140" t="s">
        <v>350</v>
      </c>
      <c r="B12" s="1141"/>
      <c r="C12" s="1141"/>
      <c r="D12" s="1141"/>
      <c r="E12" s="1142">
        <v>45</v>
      </c>
      <c r="F12" s="1142"/>
      <c r="G12" s="1142"/>
      <c r="H12" s="1143">
        <v>0.65</v>
      </c>
      <c r="I12" s="1144"/>
      <c r="J12" s="1145"/>
      <c r="K12" s="1146">
        <f>DEGREES(ACOS(H12))*-1</f>
        <v>-49.458398126495482</v>
      </c>
      <c r="L12" s="1146"/>
      <c r="M12" s="1147"/>
      <c r="N12" s="1148"/>
      <c r="O12" s="1130"/>
      <c r="P12" s="1149">
        <f t="shared" ref="P12:P30" si="0">E12*N12</f>
        <v>0</v>
      </c>
      <c r="Q12" s="1149"/>
      <c r="R12" s="1130"/>
      <c r="S12" s="1130"/>
      <c r="T12" s="1150">
        <f>DEGREES(ACOS(R12))*-1</f>
        <v>-90</v>
      </c>
      <c r="U12" s="1151"/>
      <c r="AC12" s="30">
        <v>230</v>
      </c>
      <c r="AD12" s="569">
        <f>E12*H12</f>
        <v>29.25</v>
      </c>
      <c r="AE12" s="570">
        <f t="shared" ref="AE12:AE28" si="1">E12*SIN(RADIANS((-1*K12)))</f>
        <v>34.197039345533994</v>
      </c>
      <c r="AF12" s="571">
        <f>IMABS(COMPLEX(AD12,AE12,"i"))</f>
        <v>45.000000000000007</v>
      </c>
      <c r="AG12" s="569">
        <f>P12*R12</f>
        <v>0</v>
      </c>
      <c r="AH12" s="570">
        <f>P12*SIN(RADIANS((-1*T12)))</f>
        <v>0</v>
      </c>
      <c r="AI12" s="571">
        <f>IMABS(COMPLEX(AG12,AH12,"i"))</f>
        <v>0</v>
      </c>
    </row>
    <row r="13" spans="1:39" ht="15.75" customHeight="1" x14ac:dyDescent="0.25">
      <c r="A13" s="1140" t="s">
        <v>351</v>
      </c>
      <c r="B13" s="1141"/>
      <c r="C13" s="1141"/>
      <c r="D13" s="1141"/>
      <c r="E13" s="1142">
        <v>22</v>
      </c>
      <c r="F13" s="1142"/>
      <c r="G13" s="1142"/>
      <c r="H13" s="1143">
        <v>0.85</v>
      </c>
      <c r="I13" s="1144"/>
      <c r="J13" s="1145"/>
      <c r="K13" s="1146">
        <f t="shared" ref="K13:K30" si="2">DEGREES(ACOS(H13))*-1</f>
        <v>-31.788330617051621</v>
      </c>
      <c r="L13" s="1146"/>
      <c r="M13" s="1147"/>
      <c r="N13" s="1148"/>
      <c r="O13" s="1130"/>
      <c r="P13" s="1149">
        <f t="shared" si="0"/>
        <v>0</v>
      </c>
      <c r="Q13" s="1149"/>
      <c r="R13" s="1130"/>
      <c r="S13" s="1130"/>
      <c r="T13" s="1150">
        <f t="shared" ref="T13:T30" si="3">DEGREES(ACOS(R13))*-1</f>
        <v>-90</v>
      </c>
      <c r="U13" s="1151"/>
      <c r="AD13" s="569">
        <f t="shared" ref="AD13:AD28" si="4">E13*H13</f>
        <v>18.7</v>
      </c>
      <c r="AE13" s="570">
        <f t="shared" si="1"/>
        <v>11.589219128138012</v>
      </c>
      <c r="AF13" s="571">
        <f t="shared" ref="AF13:AF29" si="5">IMABS(COMPLEX(AD13,AE13,"i"))</f>
        <v>21.999999999999993</v>
      </c>
      <c r="AG13" s="569">
        <f t="shared" ref="AG13:AG28" si="6">P13*R13</f>
        <v>0</v>
      </c>
      <c r="AH13" s="570">
        <f t="shared" ref="AH13:AH28" si="7">P13*SIN(RADIANS((-1*T13)))</f>
        <v>0</v>
      </c>
      <c r="AI13" s="571">
        <f t="shared" ref="AI13:AI24" si="8">IMABS(COMPLEX(AG13,AH13,"i"))</f>
        <v>0</v>
      </c>
    </row>
    <row r="14" spans="1:39" ht="15.75" customHeight="1" x14ac:dyDescent="0.25">
      <c r="A14" s="1140" t="s">
        <v>352</v>
      </c>
      <c r="B14" s="1141"/>
      <c r="C14" s="1141"/>
      <c r="D14" s="1141"/>
      <c r="E14" s="1142">
        <v>50</v>
      </c>
      <c r="F14" s="1142"/>
      <c r="G14" s="1142"/>
      <c r="H14" s="1143">
        <v>0.85</v>
      </c>
      <c r="I14" s="1144"/>
      <c r="J14" s="1145"/>
      <c r="K14" s="1146">
        <f t="shared" si="2"/>
        <v>-31.788330617051621</v>
      </c>
      <c r="L14" s="1146"/>
      <c r="M14" s="1147"/>
      <c r="N14" s="1148"/>
      <c r="O14" s="1130"/>
      <c r="P14" s="1149">
        <f t="shared" si="0"/>
        <v>0</v>
      </c>
      <c r="Q14" s="1149"/>
      <c r="R14" s="1130"/>
      <c r="S14" s="1130"/>
      <c r="T14" s="1150">
        <f t="shared" si="3"/>
        <v>-90</v>
      </c>
      <c r="U14" s="1151"/>
      <c r="AC14" s="30" t="s">
        <v>218</v>
      </c>
      <c r="AD14" s="569">
        <f t="shared" si="4"/>
        <v>42.5</v>
      </c>
      <c r="AE14" s="570">
        <f t="shared" si="1"/>
        <v>26.339134382131846</v>
      </c>
      <c r="AF14" s="571">
        <f t="shared" si="5"/>
        <v>49.999999999999972</v>
      </c>
      <c r="AG14" s="569">
        <f t="shared" si="6"/>
        <v>0</v>
      </c>
      <c r="AH14" s="570">
        <f t="shared" si="7"/>
        <v>0</v>
      </c>
      <c r="AI14" s="571">
        <f t="shared" si="8"/>
        <v>0</v>
      </c>
    </row>
    <row r="15" spans="1:39" ht="15.75" customHeight="1" x14ac:dyDescent="0.25">
      <c r="A15" s="1140" t="s">
        <v>353</v>
      </c>
      <c r="B15" s="1141"/>
      <c r="C15" s="1141"/>
      <c r="D15" s="1141"/>
      <c r="E15" s="1142"/>
      <c r="F15" s="1142"/>
      <c r="G15" s="1142"/>
      <c r="H15" s="1143"/>
      <c r="I15" s="1144"/>
      <c r="J15" s="1145"/>
      <c r="K15" s="1146">
        <f t="shared" si="2"/>
        <v>-90</v>
      </c>
      <c r="L15" s="1146"/>
      <c r="M15" s="1147"/>
      <c r="N15" s="1148"/>
      <c r="O15" s="1130"/>
      <c r="P15" s="1149">
        <f t="shared" si="0"/>
        <v>0</v>
      </c>
      <c r="Q15" s="1149"/>
      <c r="R15" s="1130"/>
      <c r="S15" s="1130"/>
      <c r="T15" s="1150">
        <f t="shared" si="3"/>
        <v>-90</v>
      </c>
      <c r="U15" s="1151"/>
      <c r="AC15" s="30" t="s">
        <v>256</v>
      </c>
      <c r="AD15" s="569">
        <f t="shared" si="4"/>
        <v>0</v>
      </c>
      <c r="AE15" s="570">
        <f t="shared" si="1"/>
        <v>0</v>
      </c>
      <c r="AF15" s="571">
        <f t="shared" si="5"/>
        <v>0</v>
      </c>
      <c r="AG15" s="569">
        <f t="shared" si="6"/>
        <v>0</v>
      </c>
      <c r="AH15" s="570">
        <f t="shared" si="7"/>
        <v>0</v>
      </c>
      <c r="AI15" s="571">
        <f t="shared" si="8"/>
        <v>0</v>
      </c>
    </row>
    <row r="16" spans="1:39" ht="15.75" customHeight="1" x14ac:dyDescent="0.25">
      <c r="A16" s="1140" t="s">
        <v>354</v>
      </c>
      <c r="B16" s="1141"/>
      <c r="C16" s="1141"/>
      <c r="D16" s="1141"/>
      <c r="E16" s="1142"/>
      <c r="F16" s="1142"/>
      <c r="G16" s="1142"/>
      <c r="H16" s="1143"/>
      <c r="I16" s="1144"/>
      <c r="J16" s="1145"/>
      <c r="K16" s="1146">
        <f t="shared" si="2"/>
        <v>-90</v>
      </c>
      <c r="L16" s="1146"/>
      <c r="M16" s="1147"/>
      <c r="N16" s="1148"/>
      <c r="O16" s="1130"/>
      <c r="P16" s="1149">
        <f t="shared" si="0"/>
        <v>0</v>
      </c>
      <c r="Q16" s="1149"/>
      <c r="R16" s="1130"/>
      <c r="S16" s="1130"/>
      <c r="T16" s="1150">
        <f t="shared" si="3"/>
        <v>-90</v>
      </c>
      <c r="U16" s="1151"/>
      <c r="AC16" s="30" t="s">
        <v>257</v>
      </c>
      <c r="AD16" s="569">
        <f t="shared" si="4"/>
        <v>0</v>
      </c>
      <c r="AE16" s="570">
        <f t="shared" si="1"/>
        <v>0</v>
      </c>
      <c r="AF16" s="571">
        <f t="shared" si="5"/>
        <v>0</v>
      </c>
      <c r="AG16" s="569">
        <f t="shared" si="6"/>
        <v>0</v>
      </c>
      <c r="AH16" s="570">
        <f t="shared" si="7"/>
        <v>0</v>
      </c>
      <c r="AI16" s="571">
        <f t="shared" si="8"/>
        <v>0</v>
      </c>
    </row>
    <row r="17" spans="1:35" ht="15.75" customHeight="1" x14ac:dyDescent="0.25">
      <c r="A17" s="1140" t="s">
        <v>355</v>
      </c>
      <c r="B17" s="1141"/>
      <c r="C17" s="1141"/>
      <c r="D17" s="1141"/>
      <c r="E17" s="1142"/>
      <c r="F17" s="1142"/>
      <c r="G17" s="1142"/>
      <c r="H17" s="1143"/>
      <c r="I17" s="1144"/>
      <c r="J17" s="1145"/>
      <c r="K17" s="1146">
        <f t="shared" si="2"/>
        <v>-90</v>
      </c>
      <c r="L17" s="1146"/>
      <c r="M17" s="1147"/>
      <c r="N17" s="1148"/>
      <c r="O17" s="1130"/>
      <c r="P17" s="1149">
        <f t="shared" si="0"/>
        <v>0</v>
      </c>
      <c r="Q17" s="1149"/>
      <c r="R17" s="1130"/>
      <c r="S17" s="1130"/>
      <c r="T17" s="1150">
        <f t="shared" si="3"/>
        <v>-90</v>
      </c>
      <c r="U17" s="1151"/>
      <c r="AC17" s="30" t="s">
        <v>253</v>
      </c>
      <c r="AD17" s="569">
        <f t="shared" si="4"/>
        <v>0</v>
      </c>
      <c r="AE17" s="570">
        <f t="shared" si="1"/>
        <v>0</v>
      </c>
      <c r="AF17" s="571">
        <f t="shared" si="5"/>
        <v>0</v>
      </c>
      <c r="AG17" s="569">
        <f t="shared" si="6"/>
        <v>0</v>
      </c>
      <c r="AH17" s="570">
        <f t="shared" si="7"/>
        <v>0</v>
      </c>
      <c r="AI17" s="571">
        <f t="shared" si="8"/>
        <v>0</v>
      </c>
    </row>
    <row r="18" spans="1:35" ht="15.75" customHeight="1" x14ac:dyDescent="0.25">
      <c r="A18" s="1140"/>
      <c r="B18" s="1141"/>
      <c r="C18" s="1141"/>
      <c r="D18" s="1141"/>
      <c r="E18" s="1142"/>
      <c r="F18" s="1142"/>
      <c r="G18" s="1142"/>
      <c r="H18" s="1143"/>
      <c r="I18" s="1144"/>
      <c r="J18" s="1145"/>
      <c r="K18" s="1146">
        <f t="shared" si="2"/>
        <v>-90</v>
      </c>
      <c r="L18" s="1146"/>
      <c r="M18" s="1147"/>
      <c r="N18" s="1148"/>
      <c r="O18" s="1130"/>
      <c r="P18" s="1149">
        <f t="shared" si="0"/>
        <v>0</v>
      </c>
      <c r="Q18" s="1149"/>
      <c r="R18" s="1130"/>
      <c r="S18" s="1130"/>
      <c r="T18" s="1150">
        <f t="shared" si="3"/>
        <v>-90</v>
      </c>
      <c r="U18" s="1151"/>
      <c r="V18" s="338"/>
      <c r="W18" s="338"/>
      <c r="X18" s="338"/>
      <c r="Y18" s="338"/>
      <c r="Z18" s="338"/>
      <c r="AA18" s="338"/>
      <c r="AC18" s="30" t="s">
        <v>255</v>
      </c>
      <c r="AD18" s="569">
        <f t="shared" si="4"/>
        <v>0</v>
      </c>
      <c r="AE18" s="570">
        <f t="shared" si="1"/>
        <v>0</v>
      </c>
      <c r="AF18" s="571">
        <f t="shared" si="5"/>
        <v>0</v>
      </c>
      <c r="AG18" s="569">
        <f t="shared" si="6"/>
        <v>0</v>
      </c>
      <c r="AH18" s="570">
        <f t="shared" si="7"/>
        <v>0</v>
      </c>
      <c r="AI18" s="571">
        <f t="shared" si="8"/>
        <v>0</v>
      </c>
    </row>
    <row r="19" spans="1:35" ht="15.75" customHeight="1" x14ac:dyDescent="0.25">
      <c r="A19" s="1140"/>
      <c r="B19" s="1141"/>
      <c r="C19" s="1141"/>
      <c r="D19" s="1141"/>
      <c r="E19" s="1142"/>
      <c r="F19" s="1142"/>
      <c r="G19" s="1142"/>
      <c r="H19" s="1143"/>
      <c r="I19" s="1144"/>
      <c r="J19" s="1145"/>
      <c r="K19" s="1146">
        <f t="shared" si="2"/>
        <v>-90</v>
      </c>
      <c r="L19" s="1146"/>
      <c r="M19" s="1147"/>
      <c r="N19" s="1148"/>
      <c r="O19" s="1130"/>
      <c r="P19" s="1149">
        <f t="shared" si="0"/>
        <v>0</v>
      </c>
      <c r="Q19" s="1149"/>
      <c r="R19" s="1130"/>
      <c r="S19" s="1130"/>
      <c r="T19" s="1150">
        <f t="shared" si="3"/>
        <v>-90</v>
      </c>
      <c r="U19" s="1151"/>
      <c r="V19" s="338"/>
      <c r="W19" s="338"/>
      <c r="X19" s="338"/>
      <c r="Y19" s="338"/>
      <c r="Z19" s="338"/>
      <c r="AA19" s="338"/>
      <c r="AD19" s="569">
        <f t="shared" si="4"/>
        <v>0</v>
      </c>
      <c r="AE19" s="570">
        <f t="shared" si="1"/>
        <v>0</v>
      </c>
      <c r="AF19" s="571">
        <f t="shared" si="5"/>
        <v>0</v>
      </c>
      <c r="AG19" s="569">
        <f t="shared" si="6"/>
        <v>0</v>
      </c>
      <c r="AH19" s="570">
        <f t="shared" si="7"/>
        <v>0</v>
      </c>
      <c r="AI19" s="571">
        <f t="shared" si="8"/>
        <v>0</v>
      </c>
    </row>
    <row r="20" spans="1:35" ht="15.75" customHeight="1" x14ac:dyDescent="0.25">
      <c r="A20" s="1140"/>
      <c r="B20" s="1141"/>
      <c r="C20" s="1141"/>
      <c r="D20" s="1141"/>
      <c r="E20" s="1142"/>
      <c r="F20" s="1142"/>
      <c r="G20" s="1142"/>
      <c r="H20" s="1143"/>
      <c r="I20" s="1144"/>
      <c r="J20" s="1145"/>
      <c r="K20" s="1146">
        <f t="shared" si="2"/>
        <v>-90</v>
      </c>
      <c r="L20" s="1146"/>
      <c r="M20" s="1147"/>
      <c r="N20" s="1148"/>
      <c r="O20" s="1130"/>
      <c r="P20" s="1149">
        <f t="shared" si="0"/>
        <v>0</v>
      </c>
      <c r="Q20" s="1149"/>
      <c r="R20" s="1130"/>
      <c r="S20" s="1130"/>
      <c r="T20" s="1150">
        <f t="shared" si="3"/>
        <v>-90</v>
      </c>
      <c r="U20" s="1151"/>
      <c r="AC20" s="338">
        <f>IF(AND(A65=$AC$17,H65=$AC$16),C70/(SQRT(3)*D71*E71))+IF(AND(A65=$AC$18,H65=$AC$16),C70/(SQRT(3)*D71))</f>
        <v>44.988909437622375</v>
      </c>
      <c r="AD20" s="569">
        <f t="shared" si="4"/>
        <v>0</v>
      </c>
      <c r="AE20" s="570">
        <f t="shared" si="1"/>
        <v>0</v>
      </c>
      <c r="AF20" s="571">
        <f t="shared" si="5"/>
        <v>0</v>
      </c>
      <c r="AG20" s="569">
        <f t="shared" si="6"/>
        <v>0</v>
      </c>
      <c r="AH20" s="570">
        <f t="shared" si="7"/>
        <v>0</v>
      </c>
      <c r="AI20" s="571">
        <f t="shared" si="8"/>
        <v>0</v>
      </c>
    </row>
    <row r="21" spans="1:35" ht="15.75" customHeight="1" x14ac:dyDescent="0.25">
      <c r="A21" s="1140"/>
      <c r="B21" s="1141"/>
      <c r="C21" s="1141"/>
      <c r="D21" s="1141"/>
      <c r="E21" s="1142"/>
      <c r="F21" s="1142"/>
      <c r="G21" s="1142"/>
      <c r="H21" s="1143"/>
      <c r="I21" s="1144"/>
      <c r="J21" s="1145"/>
      <c r="K21" s="1146">
        <f t="shared" si="2"/>
        <v>-90</v>
      </c>
      <c r="L21" s="1146"/>
      <c r="M21" s="1147"/>
      <c r="N21" s="1148"/>
      <c r="O21" s="1130"/>
      <c r="P21" s="1149">
        <f t="shared" si="0"/>
        <v>0</v>
      </c>
      <c r="Q21" s="1149"/>
      <c r="R21" s="1130"/>
      <c r="S21" s="1130"/>
      <c r="T21" s="1150">
        <f t="shared" si="3"/>
        <v>-90</v>
      </c>
      <c r="U21" s="1151"/>
      <c r="AD21" s="569">
        <f t="shared" si="4"/>
        <v>0</v>
      </c>
      <c r="AE21" s="570">
        <f t="shared" si="1"/>
        <v>0</v>
      </c>
      <c r="AF21" s="571">
        <f t="shared" si="5"/>
        <v>0</v>
      </c>
      <c r="AG21" s="569">
        <f t="shared" si="6"/>
        <v>0</v>
      </c>
      <c r="AH21" s="570">
        <f t="shared" si="7"/>
        <v>0</v>
      </c>
      <c r="AI21" s="571">
        <f t="shared" si="8"/>
        <v>0</v>
      </c>
    </row>
    <row r="22" spans="1:35" ht="15.75" customHeight="1" x14ac:dyDescent="0.25">
      <c r="A22" s="1140"/>
      <c r="B22" s="1141"/>
      <c r="C22" s="1141"/>
      <c r="D22" s="1141"/>
      <c r="E22" s="1142"/>
      <c r="F22" s="1142"/>
      <c r="G22" s="1142"/>
      <c r="H22" s="1143"/>
      <c r="I22" s="1144"/>
      <c r="J22" s="1145"/>
      <c r="K22" s="1146">
        <f t="shared" si="2"/>
        <v>-90</v>
      </c>
      <c r="L22" s="1146"/>
      <c r="M22" s="1147"/>
      <c r="N22" s="1148"/>
      <c r="O22" s="1130"/>
      <c r="P22" s="1149">
        <f t="shared" si="0"/>
        <v>0</v>
      </c>
      <c r="Q22" s="1149"/>
      <c r="R22" s="1130"/>
      <c r="S22" s="1130"/>
      <c r="T22" s="1150">
        <f t="shared" si="3"/>
        <v>-90</v>
      </c>
      <c r="U22" s="1151"/>
      <c r="AD22" s="569">
        <f t="shared" si="4"/>
        <v>0</v>
      </c>
      <c r="AE22" s="570">
        <f t="shared" si="1"/>
        <v>0</v>
      </c>
      <c r="AF22" s="571">
        <f t="shared" si="5"/>
        <v>0</v>
      </c>
      <c r="AG22" s="569">
        <f t="shared" si="6"/>
        <v>0</v>
      </c>
      <c r="AH22" s="570">
        <f t="shared" si="7"/>
        <v>0</v>
      </c>
      <c r="AI22" s="571">
        <f t="shared" si="8"/>
        <v>0</v>
      </c>
    </row>
    <row r="23" spans="1:35" ht="15.75" customHeight="1" x14ac:dyDescent="0.25">
      <c r="A23" s="1140"/>
      <c r="B23" s="1141"/>
      <c r="C23" s="1141"/>
      <c r="D23" s="1141"/>
      <c r="E23" s="1142"/>
      <c r="F23" s="1142"/>
      <c r="G23" s="1142"/>
      <c r="H23" s="1143"/>
      <c r="I23" s="1144"/>
      <c r="J23" s="1145"/>
      <c r="K23" s="1146">
        <f t="shared" si="2"/>
        <v>-90</v>
      </c>
      <c r="L23" s="1146"/>
      <c r="M23" s="1147"/>
      <c r="N23" s="1148"/>
      <c r="O23" s="1130"/>
      <c r="P23" s="1149">
        <f t="shared" si="0"/>
        <v>0</v>
      </c>
      <c r="Q23" s="1149"/>
      <c r="R23" s="1130"/>
      <c r="S23" s="1130"/>
      <c r="T23" s="1150">
        <f t="shared" si="3"/>
        <v>-90</v>
      </c>
      <c r="U23" s="1151"/>
      <c r="AD23" s="569">
        <f t="shared" si="4"/>
        <v>0</v>
      </c>
      <c r="AE23" s="570">
        <f t="shared" si="1"/>
        <v>0</v>
      </c>
      <c r="AF23" s="571">
        <f t="shared" si="5"/>
        <v>0</v>
      </c>
      <c r="AG23" s="569">
        <f t="shared" si="6"/>
        <v>0</v>
      </c>
      <c r="AH23" s="570">
        <f t="shared" si="7"/>
        <v>0</v>
      </c>
      <c r="AI23" s="571">
        <f t="shared" si="8"/>
        <v>0</v>
      </c>
    </row>
    <row r="24" spans="1:35" ht="15.75" customHeight="1" x14ac:dyDescent="0.25">
      <c r="A24" s="1152"/>
      <c r="B24" s="1130"/>
      <c r="C24" s="1130"/>
      <c r="D24" s="1130"/>
      <c r="E24" s="1142"/>
      <c r="F24" s="1142"/>
      <c r="G24" s="1142"/>
      <c r="H24" s="1143"/>
      <c r="I24" s="1144"/>
      <c r="J24" s="1145"/>
      <c r="K24" s="1146">
        <f t="shared" si="2"/>
        <v>-90</v>
      </c>
      <c r="L24" s="1146"/>
      <c r="M24" s="1147"/>
      <c r="N24" s="1148"/>
      <c r="O24" s="1130"/>
      <c r="P24" s="1149">
        <f t="shared" si="0"/>
        <v>0</v>
      </c>
      <c r="Q24" s="1149"/>
      <c r="R24" s="1130"/>
      <c r="S24" s="1130"/>
      <c r="T24" s="1150">
        <f t="shared" si="3"/>
        <v>-90</v>
      </c>
      <c r="U24" s="1151"/>
      <c r="AD24" s="569">
        <f t="shared" si="4"/>
        <v>0</v>
      </c>
      <c r="AE24" s="570">
        <f t="shared" si="1"/>
        <v>0</v>
      </c>
      <c r="AF24" s="571">
        <f t="shared" si="5"/>
        <v>0</v>
      </c>
      <c r="AG24" s="569">
        <f t="shared" si="6"/>
        <v>0</v>
      </c>
      <c r="AH24" s="570">
        <f t="shared" si="7"/>
        <v>0</v>
      </c>
      <c r="AI24" s="571">
        <f t="shared" si="8"/>
        <v>0</v>
      </c>
    </row>
    <row r="25" spans="1:35" ht="15.75" customHeight="1" x14ac:dyDescent="0.25">
      <c r="A25" s="1152"/>
      <c r="B25" s="1130"/>
      <c r="C25" s="1130"/>
      <c r="D25" s="1130"/>
      <c r="E25" s="1142"/>
      <c r="F25" s="1142"/>
      <c r="G25" s="1142"/>
      <c r="H25" s="1143"/>
      <c r="I25" s="1144"/>
      <c r="J25" s="1145"/>
      <c r="K25" s="1146">
        <f t="shared" si="2"/>
        <v>-90</v>
      </c>
      <c r="L25" s="1146"/>
      <c r="M25" s="1147"/>
      <c r="N25" s="1148"/>
      <c r="O25" s="1130"/>
      <c r="P25" s="1149">
        <f t="shared" si="0"/>
        <v>0</v>
      </c>
      <c r="Q25" s="1149"/>
      <c r="R25" s="1130"/>
      <c r="S25" s="1130"/>
      <c r="T25" s="1150">
        <f t="shared" si="3"/>
        <v>-90</v>
      </c>
      <c r="U25" s="1151"/>
      <c r="AD25" s="569">
        <f t="shared" si="4"/>
        <v>0</v>
      </c>
      <c r="AE25" s="570">
        <f t="shared" si="1"/>
        <v>0</v>
      </c>
      <c r="AF25" s="571">
        <f t="shared" si="5"/>
        <v>0</v>
      </c>
      <c r="AG25" s="569">
        <f t="shared" si="6"/>
        <v>0</v>
      </c>
      <c r="AH25" s="570">
        <f t="shared" si="7"/>
        <v>0</v>
      </c>
      <c r="AI25" s="571">
        <f>IMABS(COMPLEX(AG25,AH25,"i"))</f>
        <v>0</v>
      </c>
    </row>
    <row r="26" spans="1:35" ht="15.75" customHeight="1" x14ac:dyDescent="0.25">
      <c r="A26" s="1153"/>
      <c r="B26" s="1154"/>
      <c r="C26" s="1154"/>
      <c r="D26" s="1148"/>
      <c r="E26" s="1143"/>
      <c r="F26" s="1144"/>
      <c r="G26" s="1145"/>
      <c r="H26" s="1143"/>
      <c r="I26" s="1144"/>
      <c r="J26" s="1145"/>
      <c r="K26" s="1146">
        <f t="shared" si="2"/>
        <v>-90</v>
      </c>
      <c r="L26" s="1146"/>
      <c r="M26" s="1147"/>
      <c r="N26" s="1154"/>
      <c r="O26" s="1148"/>
      <c r="P26" s="1155">
        <f t="shared" si="0"/>
        <v>0</v>
      </c>
      <c r="Q26" s="1156"/>
      <c r="R26" s="1157"/>
      <c r="S26" s="1148"/>
      <c r="T26" s="1150">
        <f t="shared" si="3"/>
        <v>-90</v>
      </c>
      <c r="U26" s="1151"/>
      <c r="V26" s="338"/>
      <c r="W26" s="338"/>
      <c r="X26" s="338"/>
      <c r="Y26" s="338"/>
      <c r="Z26" s="338"/>
      <c r="AA26" s="338"/>
      <c r="AD26" s="569">
        <f t="shared" si="4"/>
        <v>0</v>
      </c>
      <c r="AE26" s="570">
        <f t="shared" si="1"/>
        <v>0</v>
      </c>
      <c r="AF26" s="571">
        <f t="shared" si="5"/>
        <v>0</v>
      </c>
      <c r="AG26" s="569">
        <f>P26*R26</f>
        <v>0</v>
      </c>
      <c r="AH26" s="570">
        <f>P26*SIN(RADIANS((-1*T26)))</f>
        <v>0</v>
      </c>
      <c r="AI26" s="571">
        <f>IMABS(COMPLEX(AG26,AH26,"i"))</f>
        <v>0</v>
      </c>
    </row>
    <row r="27" spans="1:35" ht="15.75" customHeight="1" x14ac:dyDescent="0.25">
      <c r="A27" s="1153"/>
      <c r="B27" s="1154"/>
      <c r="C27" s="1154"/>
      <c r="D27" s="1148"/>
      <c r="E27" s="1143"/>
      <c r="F27" s="1144"/>
      <c r="G27" s="1145"/>
      <c r="H27" s="1143"/>
      <c r="I27" s="1144"/>
      <c r="J27" s="1145"/>
      <c r="K27" s="1146">
        <f t="shared" si="2"/>
        <v>-90</v>
      </c>
      <c r="L27" s="1146"/>
      <c r="M27" s="1147"/>
      <c r="N27" s="1154"/>
      <c r="O27" s="1148"/>
      <c r="P27" s="1155">
        <f t="shared" si="0"/>
        <v>0</v>
      </c>
      <c r="Q27" s="1156"/>
      <c r="R27" s="1157"/>
      <c r="S27" s="1148"/>
      <c r="T27" s="1150">
        <f t="shared" si="3"/>
        <v>-90</v>
      </c>
      <c r="U27" s="1151"/>
      <c r="V27" s="338"/>
      <c r="W27" s="338"/>
      <c r="X27" s="338"/>
      <c r="Y27" s="338"/>
      <c r="Z27" s="338"/>
      <c r="AA27" s="338"/>
      <c r="AD27" s="569">
        <f t="shared" si="4"/>
        <v>0</v>
      </c>
      <c r="AE27" s="570">
        <f t="shared" si="1"/>
        <v>0</v>
      </c>
      <c r="AF27" s="571">
        <f t="shared" si="5"/>
        <v>0</v>
      </c>
      <c r="AG27" s="569">
        <f>P27*R27</f>
        <v>0</v>
      </c>
      <c r="AH27" s="570">
        <f>P27*SIN(RADIANS((-1*T27)))</f>
        <v>0</v>
      </c>
      <c r="AI27" s="571">
        <f>IMABS(COMPLEX(AG27,AH27,"i"))</f>
        <v>0</v>
      </c>
    </row>
    <row r="28" spans="1:35" ht="15.75" customHeight="1" thickBot="1" x14ac:dyDescent="0.3">
      <c r="A28" s="1152"/>
      <c r="B28" s="1130"/>
      <c r="C28" s="1130"/>
      <c r="D28" s="1130"/>
      <c r="E28" s="1142"/>
      <c r="F28" s="1142"/>
      <c r="G28" s="1142"/>
      <c r="H28" s="1143"/>
      <c r="I28" s="1144"/>
      <c r="J28" s="1145"/>
      <c r="K28" s="1146">
        <f t="shared" si="2"/>
        <v>-90</v>
      </c>
      <c r="L28" s="1146"/>
      <c r="M28" s="1147"/>
      <c r="N28" s="1148"/>
      <c r="O28" s="1130"/>
      <c r="P28" s="1149">
        <f t="shared" si="0"/>
        <v>0</v>
      </c>
      <c r="Q28" s="1149"/>
      <c r="R28" s="1130"/>
      <c r="S28" s="1130"/>
      <c r="T28" s="1150">
        <f t="shared" si="3"/>
        <v>-90</v>
      </c>
      <c r="U28" s="1151"/>
      <c r="V28" s="338"/>
      <c r="W28" s="338"/>
      <c r="X28" s="338"/>
      <c r="Y28" s="338"/>
      <c r="Z28" s="338"/>
      <c r="AA28" s="338"/>
      <c r="AD28" s="569">
        <f t="shared" si="4"/>
        <v>0</v>
      </c>
      <c r="AE28" s="572">
        <f t="shared" si="1"/>
        <v>0</v>
      </c>
      <c r="AF28" s="573">
        <f t="shared" si="5"/>
        <v>0</v>
      </c>
      <c r="AG28" s="574">
        <f t="shared" si="6"/>
        <v>0</v>
      </c>
      <c r="AH28" s="572">
        <f t="shared" si="7"/>
        <v>0</v>
      </c>
      <c r="AI28" s="573">
        <f>IMABS(COMPLEX(AG28,AH28,"i"))</f>
        <v>0</v>
      </c>
    </row>
    <row r="29" spans="1:35" ht="15.75" customHeight="1" thickBot="1" x14ac:dyDescent="0.3">
      <c r="A29" s="1152"/>
      <c r="B29" s="1130"/>
      <c r="C29" s="1130"/>
      <c r="D29" s="1130"/>
      <c r="E29" s="1143"/>
      <c r="F29" s="1144"/>
      <c r="G29" s="1145"/>
      <c r="H29" s="1143"/>
      <c r="I29" s="1144"/>
      <c r="J29" s="1145"/>
      <c r="K29" s="1146">
        <f t="shared" si="2"/>
        <v>-90</v>
      </c>
      <c r="L29" s="1146"/>
      <c r="M29" s="1147"/>
      <c r="N29" s="1154"/>
      <c r="O29" s="1148"/>
      <c r="P29" s="1155">
        <f t="shared" si="0"/>
        <v>0</v>
      </c>
      <c r="Q29" s="1156"/>
      <c r="R29" s="1157"/>
      <c r="S29" s="1148"/>
      <c r="T29" s="1150">
        <f t="shared" si="3"/>
        <v>-90</v>
      </c>
      <c r="U29" s="1151"/>
      <c r="V29" s="338"/>
      <c r="W29" s="338"/>
      <c r="X29" s="338"/>
      <c r="Y29" s="338"/>
      <c r="Z29" s="338"/>
      <c r="AA29" s="338"/>
      <c r="AD29" s="229">
        <f>SUM(AD12:AD28)</f>
        <v>90.45</v>
      </c>
      <c r="AE29" s="230">
        <f>SUM(AE12:AE28)</f>
        <v>72.125392855803852</v>
      </c>
      <c r="AF29" s="575">
        <f t="shared" si="5"/>
        <v>115.68610458738789</v>
      </c>
      <c r="AG29" s="229">
        <f>SUM(AG12:AG28)</f>
        <v>0</v>
      </c>
      <c r="AH29" s="230">
        <f>SUM(AH12:AH28)</f>
        <v>0</v>
      </c>
      <c r="AI29" s="575">
        <f t="shared" ref="AI29" si="9">IMABS(COMPLEX(AG29,AH29,"i"))</f>
        <v>0</v>
      </c>
    </row>
    <row r="30" spans="1:35" ht="15.75" customHeight="1" thickBot="1" x14ac:dyDescent="0.3">
      <c r="A30" s="1188"/>
      <c r="B30" s="1166"/>
      <c r="C30" s="1166"/>
      <c r="D30" s="1166"/>
      <c r="E30" s="1189"/>
      <c r="F30" s="1190"/>
      <c r="G30" s="1191"/>
      <c r="H30" s="1143"/>
      <c r="I30" s="1144"/>
      <c r="J30" s="1145"/>
      <c r="K30" s="1146">
        <f t="shared" si="2"/>
        <v>-90</v>
      </c>
      <c r="L30" s="1146"/>
      <c r="M30" s="1147"/>
      <c r="N30" s="1233"/>
      <c r="O30" s="1165"/>
      <c r="P30" s="1234">
        <f t="shared" si="0"/>
        <v>0</v>
      </c>
      <c r="Q30" s="1235"/>
      <c r="R30" s="1167"/>
      <c r="S30" s="1165"/>
      <c r="T30" s="1150">
        <f t="shared" si="3"/>
        <v>-90</v>
      </c>
      <c r="U30" s="1151"/>
      <c r="V30" s="338"/>
      <c r="W30" s="338"/>
      <c r="X30" s="338"/>
      <c r="Y30" s="338"/>
      <c r="Z30" s="338"/>
      <c r="AA30" s="338"/>
      <c r="AD30" s="485"/>
      <c r="AE30" s="485"/>
      <c r="AF30" s="485"/>
    </row>
    <row r="31" spans="1:35" ht="8.25" customHeight="1" x14ac:dyDescent="0.25">
      <c r="A31" s="1259" t="s">
        <v>260</v>
      </c>
      <c r="B31" s="1260"/>
      <c r="C31" s="405"/>
      <c r="D31" s="576"/>
      <c r="E31" s="1179">
        <f>IF(AF29=0,"",AF29)</f>
        <v>115.68610458738789</v>
      </c>
      <c r="F31" s="1180"/>
      <c r="G31" s="1181"/>
      <c r="H31" s="1181"/>
      <c r="I31" s="551"/>
      <c r="J31" s="551"/>
      <c r="K31" s="551"/>
      <c r="L31" s="551"/>
      <c r="M31" s="552"/>
      <c r="N31" s="715" t="s">
        <v>391</v>
      </c>
      <c r="O31" s="576"/>
      <c r="P31" s="1236" t="str">
        <f>IF(AI29=0,"",AI29)</f>
        <v/>
      </c>
      <c r="Q31" s="1236"/>
      <c r="R31" s="578"/>
      <c r="S31" s="578"/>
      <c r="T31" s="578"/>
      <c r="U31" s="579"/>
      <c r="V31" s="580"/>
      <c r="W31" s="580"/>
      <c r="X31" s="580"/>
      <c r="Y31" s="580"/>
      <c r="Z31" s="580"/>
      <c r="AA31" s="580"/>
      <c r="AD31" s="485"/>
      <c r="AE31" s="485"/>
      <c r="AF31" s="485"/>
    </row>
    <row r="32" spans="1:35" ht="18.75" customHeight="1" x14ac:dyDescent="0.25">
      <c r="A32" s="1261"/>
      <c r="B32" s="1262"/>
      <c r="C32" s="1083" t="str">
        <f>K1</f>
        <v>-A2</v>
      </c>
      <c r="D32" s="256"/>
      <c r="E32" s="1182"/>
      <c r="F32" s="1183"/>
      <c r="G32" s="1184"/>
      <c r="H32" s="1184"/>
      <c r="I32" s="555"/>
      <c r="J32" s="555"/>
      <c r="K32" s="555"/>
      <c r="L32" s="555"/>
      <c r="M32" s="582"/>
      <c r="N32" s="1008"/>
      <c r="O32" s="1231" t="str">
        <f>K1</f>
        <v>-A2</v>
      </c>
      <c r="P32" s="1237"/>
      <c r="Q32" s="1237"/>
      <c r="R32" s="580"/>
      <c r="S32" s="580"/>
      <c r="T32" s="580"/>
      <c r="U32" s="583"/>
      <c r="V32" s="580"/>
      <c r="W32" s="580"/>
      <c r="X32" s="580"/>
      <c r="Y32" s="580"/>
      <c r="Z32" s="580"/>
      <c r="AA32" s="580"/>
    </row>
    <row r="33" spans="1:31" ht="8.25" customHeight="1" x14ac:dyDescent="0.25">
      <c r="A33" s="396"/>
      <c r="B33" s="257"/>
      <c r="C33" s="1084"/>
      <c r="D33" s="258"/>
      <c r="E33" s="1185"/>
      <c r="F33" s="1186"/>
      <c r="G33" s="1187"/>
      <c r="H33" s="1187"/>
      <c r="I33" s="555"/>
      <c r="J33" s="555"/>
      <c r="K33" s="555"/>
      <c r="L33" s="555"/>
      <c r="M33" s="582"/>
      <c r="N33" s="584"/>
      <c r="O33" s="1232"/>
      <c r="P33" s="1237"/>
      <c r="Q33" s="1237"/>
      <c r="R33" s="580"/>
      <c r="S33" s="580"/>
      <c r="T33" s="580"/>
      <c r="U33" s="583"/>
      <c r="V33" s="580"/>
      <c r="W33" s="580"/>
      <c r="X33" s="580"/>
      <c r="Y33" s="580"/>
      <c r="Z33" s="580"/>
      <c r="AA33" s="580"/>
    </row>
    <row r="34" spans="1:31" x14ac:dyDescent="0.25">
      <c r="A34" s="1253"/>
      <c r="B34" s="1254"/>
      <c r="C34" s="1254"/>
      <c r="D34" s="1255"/>
      <c r="E34" s="485"/>
      <c r="F34" s="485"/>
      <c r="G34" s="485"/>
      <c r="H34" s="485"/>
      <c r="I34" s="485"/>
      <c r="J34" s="485"/>
      <c r="K34" s="485"/>
      <c r="L34" s="485"/>
      <c r="M34" s="582"/>
      <c r="N34" s="1153" t="s">
        <v>244</v>
      </c>
      <c r="O34" s="1148"/>
      <c r="P34" s="1130" t="str">
        <f>IF(AG29=0,"",DEGREES(ACOS(AG29/AI29))*-1)</f>
        <v/>
      </c>
      <c r="Q34" s="1130"/>
      <c r="R34" s="485"/>
      <c r="S34" s="485"/>
      <c r="T34" s="485"/>
      <c r="U34" s="394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</row>
    <row r="35" spans="1:31" ht="15.75" thickBot="1" x14ac:dyDescent="0.3">
      <c r="A35" s="1256"/>
      <c r="B35" s="1257"/>
      <c r="C35" s="1257"/>
      <c r="D35" s="1258"/>
      <c r="E35" s="392"/>
      <c r="F35" s="392"/>
      <c r="G35" s="392"/>
      <c r="H35" s="392"/>
      <c r="I35" s="392"/>
      <c r="J35" s="392"/>
      <c r="K35" s="392"/>
      <c r="L35" s="392"/>
      <c r="M35" s="585"/>
      <c r="N35" s="1174" t="s">
        <v>50</v>
      </c>
      <c r="O35" s="1176"/>
      <c r="P35" s="1177" t="str">
        <f>IF(P34="","",COS(RADIANS(P34)))</f>
        <v/>
      </c>
      <c r="Q35" s="1177"/>
      <c r="R35" s="392"/>
      <c r="S35" s="392"/>
      <c r="T35" s="392"/>
      <c r="U35" s="402"/>
      <c r="V35" s="580"/>
      <c r="W35" s="580"/>
      <c r="X35" s="580"/>
      <c r="Y35" s="580"/>
      <c r="Z35" s="580"/>
      <c r="AA35" s="580"/>
      <c r="AB35" s="580"/>
      <c r="AC35" s="580"/>
      <c r="AD35" s="580"/>
      <c r="AE35" s="580"/>
    </row>
    <row r="36" spans="1:31" ht="15" customHeight="1" x14ac:dyDescent="0.25">
      <c r="A36" s="1173" t="s">
        <v>392</v>
      </c>
      <c r="B36" s="1137"/>
      <c r="C36" s="1137"/>
      <c r="D36" s="1137"/>
      <c r="E36" s="1137"/>
      <c r="F36" s="1137"/>
      <c r="G36" s="1138"/>
      <c r="H36" s="1135">
        <v>1</v>
      </c>
      <c r="I36" s="1139"/>
      <c r="J36" s="500"/>
      <c r="K36" s="500"/>
      <c r="L36" s="500"/>
      <c r="M36" s="558"/>
      <c r="N36" s="500"/>
      <c r="O36" s="404"/>
      <c r="P36" s="404"/>
      <c r="Q36" s="404"/>
      <c r="R36" s="404"/>
      <c r="S36" s="404"/>
      <c r="T36" s="404"/>
      <c r="U36" s="406"/>
      <c r="V36" s="485"/>
      <c r="W36" s="485"/>
      <c r="X36" s="485"/>
    </row>
    <row r="37" spans="1:31" ht="15" customHeight="1" thickBot="1" x14ac:dyDescent="0.3">
      <c r="A37" s="1174" t="s">
        <v>393</v>
      </c>
      <c r="B37" s="1175"/>
      <c r="C37" s="1175"/>
      <c r="D37" s="1175"/>
      <c r="E37" s="1175"/>
      <c r="F37" s="1175"/>
      <c r="G37" s="1176"/>
      <c r="H37" s="1177">
        <v>1</v>
      </c>
      <c r="I37" s="1178"/>
      <c r="J37" s="559"/>
      <c r="K37" s="559"/>
      <c r="L37" s="559"/>
      <c r="M37" s="560"/>
      <c r="N37" s="233"/>
      <c r="O37" s="485"/>
      <c r="P37" s="485"/>
      <c r="Q37" s="485"/>
      <c r="R37" s="485"/>
      <c r="S37" s="485"/>
      <c r="T37" s="485"/>
      <c r="U37" s="394"/>
      <c r="V37" s="485"/>
      <c r="W37" s="485"/>
      <c r="X37" s="485"/>
    </row>
    <row r="38" spans="1:31" ht="18" x14ac:dyDescent="0.35">
      <c r="A38" s="586" t="s">
        <v>396</v>
      </c>
      <c r="B38" s="496"/>
      <c r="C38" s="496"/>
      <c r="D38" s="496"/>
      <c r="E38" s="496"/>
      <c r="F38" s="496"/>
      <c r="G38" s="496"/>
      <c r="H38" s="496"/>
      <c r="I38" s="496"/>
      <c r="J38" s="496"/>
      <c r="K38" s="496"/>
      <c r="L38" s="496"/>
      <c r="M38" s="587"/>
      <c r="N38" s="496"/>
      <c r="O38" s="496"/>
      <c r="P38" s="496"/>
      <c r="Q38" s="496"/>
      <c r="R38" s="496"/>
      <c r="S38" s="496"/>
      <c r="T38" s="496"/>
      <c r="U38" s="587"/>
      <c r="V38" s="485"/>
      <c r="W38" s="485"/>
      <c r="X38" s="485"/>
    </row>
    <row r="39" spans="1:31" ht="15" customHeight="1" x14ac:dyDescent="0.25">
      <c r="A39" s="393"/>
      <c r="B39" s="485"/>
      <c r="C39" s="485"/>
      <c r="D39" s="485"/>
      <c r="E39" s="1167" t="s">
        <v>437</v>
      </c>
      <c r="F39" s="1233"/>
      <c r="G39" s="1233"/>
      <c r="H39" s="1233"/>
      <c r="I39" s="1165"/>
      <c r="J39" s="1165"/>
      <c r="K39" s="1166"/>
      <c r="L39" s="1167"/>
      <c r="M39" s="394"/>
      <c r="N39" s="485"/>
      <c r="O39" s="485"/>
      <c r="P39" s="485"/>
      <c r="Q39" s="485"/>
      <c r="R39" s="485"/>
      <c r="S39" s="485"/>
      <c r="T39" s="485"/>
      <c r="U39" s="394"/>
      <c r="V39" s="485"/>
      <c r="W39" s="485"/>
      <c r="X39" s="485"/>
    </row>
    <row r="40" spans="1:31" ht="8.25" customHeight="1" x14ac:dyDescent="0.25">
      <c r="A40" s="1168" t="s">
        <v>395</v>
      </c>
      <c r="B40" s="1169"/>
      <c r="C40" s="501"/>
      <c r="D40" s="501"/>
      <c r="E40" s="1240">
        <f>K49</f>
        <v>116</v>
      </c>
      <c r="F40" s="1241"/>
      <c r="G40" s="1241"/>
      <c r="H40" s="1241"/>
      <c r="I40" s="1242"/>
      <c r="J40" s="1172"/>
      <c r="K40" s="1009"/>
      <c r="L40" s="1009"/>
      <c r="M40" s="394"/>
      <c r="N40" s="485"/>
      <c r="O40" s="553"/>
      <c r="P40" s="485"/>
      <c r="Q40" s="485"/>
      <c r="R40" s="489"/>
      <c r="S40" s="553"/>
      <c r="T40" s="580"/>
      <c r="U40" s="583"/>
      <c r="V40" s="580"/>
      <c r="W40" s="580"/>
      <c r="X40" s="580"/>
      <c r="Y40" s="580"/>
      <c r="Z40" s="580"/>
      <c r="AA40" s="580"/>
      <c r="AB40" s="580"/>
      <c r="AC40" s="580"/>
      <c r="AD40" s="580"/>
      <c r="AE40" s="580"/>
    </row>
    <row r="41" spans="1:31" x14ac:dyDescent="0.25">
      <c r="A41" s="1170"/>
      <c r="B41" s="1171"/>
      <c r="C41" s="1121" t="s">
        <v>262</v>
      </c>
      <c r="D41" s="485"/>
      <c r="E41" s="1243"/>
      <c r="F41" s="1172"/>
      <c r="G41" s="1172"/>
      <c r="H41" s="1172"/>
      <c r="I41" s="1244"/>
      <c r="J41" s="1009"/>
      <c r="K41" s="1009"/>
      <c r="L41" s="1009"/>
      <c r="M41" s="394"/>
      <c r="N41" s="485"/>
      <c r="O41" s="485"/>
      <c r="P41" s="485"/>
      <c r="Q41" s="485"/>
      <c r="R41" s="485"/>
      <c r="S41" s="485"/>
      <c r="T41" s="485"/>
      <c r="U41" s="394"/>
      <c r="V41" s="485"/>
      <c r="W41" s="485"/>
      <c r="X41" s="485"/>
    </row>
    <row r="42" spans="1:31" ht="8.25" customHeight="1" x14ac:dyDescent="0.25">
      <c r="A42" s="588"/>
      <c r="B42" s="589"/>
      <c r="C42" s="1122"/>
      <c r="D42" s="397"/>
      <c r="E42" s="1245"/>
      <c r="F42" s="1246"/>
      <c r="G42" s="1246"/>
      <c r="H42" s="1246"/>
      <c r="I42" s="1247"/>
      <c r="J42" s="1009"/>
      <c r="K42" s="1009"/>
      <c r="L42" s="1009"/>
      <c r="M42" s="394"/>
      <c r="N42" s="485"/>
      <c r="O42" s="485"/>
      <c r="P42" s="485"/>
      <c r="Q42" s="485"/>
      <c r="R42" s="485"/>
      <c r="S42" s="485"/>
      <c r="T42" s="485"/>
      <c r="U42" s="394"/>
      <c r="V42" s="485"/>
      <c r="W42" s="485"/>
      <c r="X42" s="485"/>
    </row>
    <row r="43" spans="1:31" ht="15.75" x14ac:dyDescent="0.25">
      <c r="A43" s="1250" t="s">
        <v>244</v>
      </c>
      <c r="B43" s="1251"/>
      <c r="C43" s="1251"/>
      <c r="D43" s="1252"/>
      <c r="E43" s="1143">
        <f>(IF(AD29=0,"",DEGREES(ACOS(AD29/AF29))*-1))</f>
        <v>-38.569076161925686</v>
      </c>
      <c r="F43" s="1144"/>
      <c r="G43" s="1144"/>
      <c r="H43" s="1144"/>
      <c r="I43" s="1145"/>
      <c r="J43" s="1230"/>
      <c r="K43" s="1230"/>
      <c r="L43" s="1230"/>
      <c r="M43" s="394"/>
      <c r="N43" s="485"/>
      <c r="O43" s="485"/>
      <c r="P43" s="485"/>
      <c r="Q43" s="485"/>
      <c r="R43" s="485"/>
      <c r="S43" s="485"/>
      <c r="T43" s="485"/>
      <c r="U43" s="394"/>
      <c r="V43" s="485"/>
      <c r="W43" s="485"/>
      <c r="X43" s="485"/>
    </row>
    <row r="44" spans="1:31" ht="16.5" thickBot="1" x14ac:dyDescent="0.3">
      <c r="A44" s="1158" t="s">
        <v>154</v>
      </c>
      <c r="B44" s="1159"/>
      <c r="C44" s="1159"/>
      <c r="D44" s="1160"/>
      <c r="E44" s="1163">
        <f>IF(E43="","",COS(RADIANS(E43)))</f>
        <v>0.78185708061139847</v>
      </c>
      <c r="F44" s="1164"/>
      <c r="G44" s="1164"/>
      <c r="H44" s="1164"/>
      <c r="I44" s="1161"/>
      <c r="J44" s="1161"/>
      <c r="K44" s="1162"/>
      <c r="L44" s="1163"/>
      <c r="M44" s="402"/>
      <c r="N44" s="392"/>
      <c r="O44" s="392"/>
      <c r="P44" s="392"/>
      <c r="Q44" s="392"/>
      <c r="R44" s="392"/>
      <c r="S44" s="392"/>
      <c r="T44" s="392"/>
      <c r="U44" s="402"/>
      <c r="V44" s="485"/>
      <c r="W44" s="485"/>
      <c r="X44" s="485"/>
    </row>
    <row r="45" spans="1:31" ht="15.75" x14ac:dyDescent="0.25">
      <c r="A45" s="590"/>
      <c r="B45" s="591"/>
      <c r="M45" s="485"/>
      <c r="N45" s="485"/>
    </row>
    <row r="46" spans="1:31" ht="8.25" hidden="1" customHeight="1" x14ac:dyDescent="0.25">
      <c r="A46" s="1202" t="s">
        <v>261</v>
      </c>
      <c r="B46" s="1203"/>
      <c r="C46" s="592"/>
      <c r="D46" s="1206" t="s">
        <v>241</v>
      </c>
      <c r="E46" s="1207"/>
      <c r="F46" s="1206" t="s">
        <v>248</v>
      </c>
      <c r="G46" s="1207"/>
      <c r="H46" s="1212" t="s">
        <v>249</v>
      </c>
      <c r="I46" s="1212"/>
      <c r="J46" s="1212"/>
      <c r="K46" s="1212" t="s">
        <v>250</v>
      </c>
      <c r="L46" s="1212"/>
      <c r="M46" s="1212"/>
      <c r="N46" s="1212" t="s">
        <v>244</v>
      </c>
      <c r="O46" s="1212"/>
      <c r="P46" s="1222"/>
      <c r="V46" s="553"/>
    </row>
    <row r="47" spans="1:31" ht="14.25" hidden="1" customHeight="1" x14ac:dyDescent="0.25">
      <c r="A47" s="1204"/>
      <c r="B47" s="1205"/>
      <c r="C47" s="1192" t="str">
        <f>C32</f>
        <v>-A2</v>
      </c>
      <c r="D47" s="1208"/>
      <c r="E47" s="1209"/>
      <c r="F47" s="1208"/>
      <c r="G47" s="1209"/>
      <c r="H47" s="1213"/>
      <c r="I47" s="1213"/>
      <c r="J47" s="1213"/>
      <c r="K47" s="1213"/>
      <c r="L47" s="1213"/>
      <c r="M47" s="1213"/>
      <c r="N47" s="1213"/>
      <c r="O47" s="1213"/>
      <c r="P47" s="1223"/>
      <c r="V47" s="553"/>
    </row>
    <row r="48" spans="1:31" ht="5.25" hidden="1" customHeight="1" x14ac:dyDescent="0.25">
      <c r="A48" s="396"/>
      <c r="B48" s="397"/>
      <c r="C48" s="1193"/>
      <c r="D48" s="1210"/>
      <c r="E48" s="1211"/>
      <c r="F48" s="1210"/>
      <c r="G48" s="1211"/>
      <c r="H48" s="1213"/>
      <c r="I48" s="1213"/>
      <c r="J48" s="1213"/>
      <c r="K48" s="1213"/>
      <c r="L48" s="1213"/>
      <c r="M48" s="1213"/>
      <c r="N48" s="1213"/>
      <c r="O48" s="1213"/>
      <c r="P48" s="1223"/>
      <c r="V48" s="553"/>
    </row>
    <row r="49" spans="1:31" ht="15.75" hidden="1" thickBot="1" x14ac:dyDescent="0.3">
      <c r="A49" s="1194">
        <f>E31</f>
        <v>115.68610458738789</v>
      </c>
      <c r="B49" s="1195"/>
      <c r="C49" s="1195"/>
      <c r="D49" s="1195"/>
      <c r="E49" s="1196"/>
      <c r="F49" s="1197">
        <f>$H$36</f>
        <v>1</v>
      </c>
      <c r="G49" s="1198"/>
      <c r="H49" s="593">
        <f>$H$37</f>
        <v>1</v>
      </c>
      <c r="I49" s="1177" t="s">
        <v>104</v>
      </c>
      <c r="J49" s="1177"/>
      <c r="K49" s="1199">
        <f>IF(A49="","",ROUND(A49*F49*H49,0))</f>
        <v>116</v>
      </c>
      <c r="L49" s="1199"/>
      <c r="M49" s="1199"/>
      <c r="N49" s="1200">
        <f>E43</f>
        <v>-38.569076161925686</v>
      </c>
      <c r="O49" s="1200"/>
      <c r="P49" s="1201"/>
      <c r="V49" s="594"/>
    </row>
    <row r="50" spans="1:31" ht="8.25" hidden="1" customHeight="1" x14ac:dyDescent="0.25">
      <c r="A50" s="1202" t="s">
        <v>261</v>
      </c>
      <c r="B50" s="1203"/>
      <c r="C50" s="404"/>
      <c r="D50" s="1206" t="s">
        <v>242</v>
      </c>
      <c r="E50" s="1207"/>
      <c r="F50" s="1206" t="s">
        <v>248</v>
      </c>
      <c r="G50" s="1207"/>
      <c r="H50" s="1212" t="s">
        <v>249</v>
      </c>
      <c r="I50" s="1212"/>
      <c r="J50" s="1212"/>
      <c r="K50" s="1212" t="s">
        <v>250</v>
      </c>
      <c r="L50" s="1212"/>
      <c r="M50" s="1212"/>
      <c r="N50" s="1212" t="s">
        <v>244</v>
      </c>
      <c r="O50" s="1212"/>
      <c r="P50" s="1222"/>
      <c r="V50" s="553"/>
    </row>
    <row r="51" spans="1:31" ht="14.25" hidden="1" customHeight="1" x14ac:dyDescent="0.25">
      <c r="A51" s="1204"/>
      <c r="B51" s="1205"/>
      <c r="C51" s="1214" t="str">
        <f>C32</f>
        <v>-A2</v>
      </c>
      <c r="D51" s="1208"/>
      <c r="E51" s="1209"/>
      <c r="F51" s="1208"/>
      <c r="G51" s="1209"/>
      <c r="H51" s="1213"/>
      <c r="I51" s="1213"/>
      <c r="J51" s="1213"/>
      <c r="K51" s="1213"/>
      <c r="L51" s="1213"/>
      <c r="M51" s="1213"/>
      <c r="N51" s="1213"/>
      <c r="O51" s="1213"/>
      <c r="P51" s="1223"/>
      <c r="V51" s="553"/>
    </row>
    <row r="52" spans="1:31" ht="5.25" hidden="1" customHeight="1" x14ac:dyDescent="0.25">
      <c r="A52" s="393"/>
      <c r="B52" s="485"/>
      <c r="C52" s="1215"/>
      <c r="D52" s="1210"/>
      <c r="E52" s="1211"/>
      <c r="F52" s="1210"/>
      <c r="G52" s="1211"/>
      <c r="H52" s="1213"/>
      <c r="I52" s="1213"/>
      <c r="J52" s="1213"/>
      <c r="K52" s="1213"/>
      <c r="L52" s="1213"/>
      <c r="M52" s="1213"/>
      <c r="N52" s="1213"/>
      <c r="O52" s="1213"/>
      <c r="P52" s="1223"/>
      <c r="V52" s="553"/>
    </row>
    <row r="53" spans="1:31" ht="15.75" hidden="1" thickBot="1" x14ac:dyDescent="0.3">
      <c r="A53" s="1194" t="e">
        <f>#REF!</f>
        <v>#REF!</v>
      </c>
      <c r="B53" s="1195"/>
      <c r="C53" s="1195"/>
      <c r="D53" s="1195"/>
      <c r="E53" s="1196"/>
      <c r="F53" s="1197">
        <f>$H$36</f>
        <v>1</v>
      </c>
      <c r="G53" s="1198"/>
      <c r="H53" s="593">
        <f>$H$37</f>
        <v>1</v>
      </c>
      <c r="I53" s="1177" t="s">
        <v>104</v>
      </c>
      <c r="J53" s="1177"/>
      <c r="K53" s="1199" t="e">
        <f>IF(A53="","",ROUND(A53*F53*H53,0))</f>
        <v>#REF!</v>
      </c>
      <c r="L53" s="1199"/>
      <c r="M53" s="1199"/>
      <c r="N53" s="1200">
        <f>H43</f>
        <v>0</v>
      </c>
      <c r="O53" s="1200"/>
      <c r="P53" s="1201"/>
      <c r="V53" s="594"/>
    </row>
    <row r="54" spans="1:31" ht="8.25" hidden="1" customHeight="1" x14ac:dyDescent="0.25">
      <c r="A54" s="1202" t="s">
        <v>261</v>
      </c>
      <c r="B54" s="1203"/>
      <c r="C54" s="404"/>
      <c r="D54" s="1206" t="s">
        <v>243</v>
      </c>
      <c r="E54" s="1207"/>
      <c r="F54" s="1206" t="s">
        <v>248</v>
      </c>
      <c r="G54" s="1207"/>
      <c r="H54" s="1212" t="s">
        <v>249</v>
      </c>
      <c r="I54" s="1212"/>
      <c r="J54" s="1212"/>
      <c r="K54" s="1212" t="s">
        <v>250</v>
      </c>
      <c r="L54" s="1212"/>
      <c r="M54" s="1212"/>
      <c r="N54" s="1212" t="s">
        <v>244</v>
      </c>
      <c r="O54" s="1212"/>
      <c r="P54" s="1222"/>
      <c r="V54" s="553"/>
    </row>
    <row r="55" spans="1:31" ht="14.25" hidden="1" customHeight="1" x14ac:dyDescent="0.25">
      <c r="A55" s="1204"/>
      <c r="B55" s="1205"/>
      <c r="C55" s="1214" t="str">
        <f>C32</f>
        <v>-A2</v>
      </c>
      <c r="D55" s="1208"/>
      <c r="E55" s="1209"/>
      <c r="F55" s="1208"/>
      <c r="G55" s="1209"/>
      <c r="H55" s="1213"/>
      <c r="I55" s="1213"/>
      <c r="J55" s="1213"/>
      <c r="K55" s="1213"/>
      <c r="L55" s="1213"/>
      <c r="M55" s="1213"/>
      <c r="N55" s="1213"/>
      <c r="O55" s="1213"/>
      <c r="P55" s="1223"/>
      <c r="V55" s="553"/>
    </row>
    <row r="56" spans="1:31" ht="5.25" hidden="1" customHeight="1" x14ac:dyDescent="0.25">
      <c r="A56" s="393"/>
      <c r="B56" s="485"/>
      <c r="C56" s="1215"/>
      <c r="D56" s="1210"/>
      <c r="E56" s="1211"/>
      <c r="F56" s="1210"/>
      <c r="G56" s="1211"/>
      <c r="H56" s="1213"/>
      <c r="I56" s="1213"/>
      <c r="J56" s="1213"/>
      <c r="K56" s="1213"/>
      <c r="L56" s="1213"/>
      <c r="M56" s="1213"/>
      <c r="N56" s="1213"/>
      <c r="O56" s="1213"/>
      <c r="P56" s="1223"/>
      <c r="V56" s="553"/>
    </row>
    <row r="57" spans="1:31" ht="15.75" hidden="1" thickBot="1" x14ac:dyDescent="0.3">
      <c r="A57" s="1194" t="e">
        <f>#REF!</f>
        <v>#REF!</v>
      </c>
      <c r="B57" s="1195"/>
      <c r="C57" s="1195"/>
      <c r="D57" s="1195"/>
      <c r="E57" s="1196"/>
      <c r="F57" s="1197">
        <f>$H$36</f>
        <v>1</v>
      </c>
      <c r="G57" s="1198"/>
      <c r="H57" s="593">
        <f>$H$37</f>
        <v>1</v>
      </c>
      <c r="I57" s="1177" t="s">
        <v>104</v>
      </c>
      <c r="J57" s="1177"/>
      <c r="K57" s="1199" t="e">
        <f>IF(A57="","",ROUND(A57*F57*H57,0))</f>
        <v>#REF!</v>
      </c>
      <c r="L57" s="1199"/>
      <c r="M57" s="1199"/>
      <c r="N57" s="1200">
        <f>J43</f>
        <v>0</v>
      </c>
      <c r="O57" s="1200"/>
      <c r="P57" s="1201"/>
      <c r="V57" s="594"/>
    </row>
    <row r="62" spans="1:31" ht="15.75" x14ac:dyDescent="0.25">
      <c r="A62" s="595" t="s">
        <v>319</v>
      </c>
      <c r="Y62" s="485"/>
      <c r="Z62" s="485"/>
      <c r="AA62" s="485"/>
      <c r="AB62" s="485"/>
      <c r="AC62" s="485"/>
      <c r="AD62" s="485"/>
      <c r="AE62" s="485"/>
    </row>
    <row r="63" spans="1:31" x14ac:dyDescent="0.25">
      <c r="Y63" s="485"/>
      <c r="Z63" s="485"/>
      <c r="AA63" s="485"/>
      <c r="AB63" s="485"/>
      <c r="AC63" s="485"/>
      <c r="AD63" s="485"/>
      <c r="AE63" s="485"/>
    </row>
    <row r="64" spans="1:31" ht="12" customHeight="1" thickBot="1" x14ac:dyDescent="0.3">
      <c r="N64" s="485"/>
      <c r="O64" s="485"/>
      <c r="Q64" s="485"/>
      <c r="Y64" s="485"/>
      <c r="Z64" s="485"/>
      <c r="AA64" s="485"/>
      <c r="AB64" s="485"/>
      <c r="AC64" s="485"/>
      <c r="AD64" s="485"/>
      <c r="AE64" s="485"/>
    </row>
    <row r="65" spans="1:31" x14ac:dyDescent="0.25">
      <c r="A65" s="1216" t="s">
        <v>253</v>
      </c>
      <c r="B65" s="1217"/>
      <c r="C65" s="577"/>
      <c r="D65" s="577"/>
      <c r="E65" s="577"/>
      <c r="F65" s="1218" t="s">
        <v>320</v>
      </c>
      <c r="G65" s="1218"/>
      <c r="H65" s="1217" t="s">
        <v>257</v>
      </c>
      <c r="I65" s="1217"/>
      <c r="J65" s="1219">
        <v>400</v>
      </c>
      <c r="K65" s="1219"/>
      <c r="L65" s="1220"/>
      <c r="M65" s="30" t="s">
        <v>337</v>
      </c>
      <c r="Y65" s="485"/>
      <c r="Z65" s="485"/>
      <c r="AA65" s="485"/>
      <c r="AB65" s="485"/>
      <c r="AC65" s="485"/>
      <c r="AD65" s="485"/>
      <c r="AE65" s="485"/>
    </row>
    <row r="66" spans="1:31" x14ac:dyDescent="0.25">
      <c r="A66" s="556"/>
      <c r="B66" s="557"/>
      <c r="C66" s="581"/>
      <c r="D66" s="561"/>
      <c r="E66" s="562"/>
      <c r="F66" s="563"/>
      <c r="G66" s="563"/>
      <c r="H66" s="563"/>
      <c r="I66" s="581"/>
      <c r="J66" s="581"/>
      <c r="K66" s="581"/>
      <c r="L66" s="394"/>
      <c r="Y66" s="485"/>
      <c r="Z66" s="485"/>
      <c r="AA66" s="485"/>
      <c r="AB66" s="485"/>
      <c r="AC66" s="485"/>
      <c r="AD66" s="485"/>
      <c r="AE66" s="485"/>
    </row>
    <row r="67" spans="1:31" ht="12" customHeight="1" thickBot="1" x14ac:dyDescent="0.3">
      <c r="A67" s="1221" t="s">
        <v>254</v>
      </c>
      <c r="B67" s="652"/>
      <c r="C67" s="653" t="str">
        <f>A65</f>
        <v>P</v>
      </c>
      <c r="D67" s="653"/>
      <c r="E67" s="653"/>
      <c r="F67" s="653"/>
      <c r="G67" s="653"/>
      <c r="H67" s="224"/>
      <c r="I67" s="581"/>
      <c r="J67" s="581"/>
      <c r="K67" s="581"/>
      <c r="L67" s="394"/>
    </row>
    <row r="68" spans="1:31" x14ac:dyDescent="0.25">
      <c r="A68" s="1221"/>
      <c r="B68" s="652"/>
      <c r="C68" s="562" t="str">
        <f>IF(H65=$AC$16,$AC$14,IF(H65=$AC$15,""))</f>
        <v>√3 *</v>
      </c>
      <c r="D68" s="149" t="s">
        <v>258</v>
      </c>
      <c r="E68" s="621" t="str">
        <f>IF(A65="P","* cosϕ",IF(A65="S","",))</f>
        <v>* cosϕ</v>
      </c>
      <c r="F68" s="621"/>
      <c r="G68" s="621"/>
      <c r="H68" s="581"/>
      <c r="I68" s="581"/>
      <c r="J68" s="581"/>
      <c r="K68" s="581"/>
      <c r="L68" s="394"/>
    </row>
    <row r="69" spans="1:31" x14ac:dyDescent="0.25">
      <c r="A69" s="1008"/>
      <c r="B69" s="1009"/>
      <c r="C69" s="1009"/>
      <c r="D69" s="1009"/>
      <c r="E69" s="557"/>
      <c r="F69" s="581"/>
      <c r="G69" s="581"/>
      <c r="H69" s="581"/>
      <c r="I69" s="581"/>
      <c r="J69" s="581"/>
      <c r="K69" s="581"/>
      <c r="L69" s="394"/>
    </row>
    <row r="70" spans="1:31" ht="15.75" thickBot="1" x14ac:dyDescent="0.3">
      <c r="A70" s="1221" t="s">
        <v>254</v>
      </c>
      <c r="B70" s="652"/>
      <c r="C70" s="1091">
        <v>20260</v>
      </c>
      <c r="D70" s="1091"/>
      <c r="E70" s="1091"/>
      <c r="F70" s="1091"/>
      <c r="G70" s="1091"/>
      <c r="H70" s="652" t="s">
        <v>104</v>
      </c>
      <c r="I70" s="1225">
        <f>IF(AND(A65=$AC$17,H65=$AC$16),C70/(SQRT(3)*D71*E71))+IF(AND(A65=$AC$18,H65=$AC$16),C70/(SQRT(3)*D71))+IF(AND(A65=$AC$17,H65=$AC$15),C70/(D71*E71))+IF(AND(A65=$AC$18,H65=$AC$15),C70/D71)</f>
        <v>44.988909437622375</v>
      </c>
      <c r="J70" s="1225"/>
      <c r="K70" s="1225"/>
      <c r="L70" s="1226"/>
    </row>
    <row r="71" spans="1:31" ht="15.75" thickBot="1" x14ac:dyDescent="0.3">
      <c r="A71" s="669"/>
      <c r="B71" s="653"/>
      <c r="C71" s="616" t="str">
        <f>IF($H$65=$AC$16,$AC$14,IF($H$65=$AC$15,"",))</f>
        <v>√3 *</v>
      </c>
      <c r="D71" s="617">
        <f>J65</f>
        <v>400</v>
      </c>
      <c r="E71" s="1111">
        <v>0.65</v>
      </c>
      <c r="F71" s="1111"/>
      <c r="G71" s="392"/>
      <c r="H71" s="653"/>
      <c r="I71" s="1227"/>
      <c r="J71" s="1227"/>
      <c r="K71" s="1227"/>
      <c r="L71" s="1228"/>
    </row>
    <row r="74" spans="1:31" ht="12" customHeight="1" thickBot="1" x14ac:dyDescent="0.3"/>
    <row r="75" spans="1:31" x14ac:dyDescent="0.25">
      <c r="A75" s="1216" t="s">
        <v>255</v>
      </c>
      <c r="B75" s="1217"/>
      <c r="C75" s="577"/>
      <c r="D75" s="577"/>
      <c r="E75" s="577"/>
      <c r="F75" s="1224" t="s">
        <v>320</v>
      </c>
      <c r="G75" s="1224"/>
      <c r="H75" s="1217" t="s">
        <v>257</v>
      </c>
      <c r="I75" s="1217"/>
      <c r="J75" s="1219">
        <v>400</v>
      </c>
      <c r="K75" s="1219"/>
      <c r="L75" s="1220"/>
      <c r="M75" s="30" t="s">
        <v>337</v>
      </c>
    </row>
    <row r="76" spans="1:31" x14ac:dyDescent="0.25">
      <c r="A76" s="393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394"/>
    </row>
    <row r="77" spans="1:31" ht="12" customHeight="1" thickBot="1" x14ac:dyDescent="0.3">
      <c r="A77" s="1221" t="s">
        <v>254</v>
      </c>
      <c r="B77" s="652"/>
      <c r="C77" s="653" t="str">
        <f>A75</f>
        <v>S</v>
      </c>
      <c r="D77" s="653"/>
      <c r="E77" s="653"/>
      <c r="F77" s="653"/>
      <c r="G77" s="653"/>
      <c r="H77" s="581"/>
      <c r="I77" s="581"/>
      <c r="J77" s="581"/>
      <c r="K77" s="581"/>
      <c r="L77" s="394"/>
    </row>
    <row r="78" spans="1:31" ht="18" x14ac:dyDescent="0.25">
      <c r="A78" s="1221"/>
      <c r="B78" s="652"/>
      <c r="C78" s="82" t="str">
        <f>IF(H75=$AC$16,$AC$14,IF(H75=$AC$15,""))</f>
        <v>√3 *</v>
      </c>
      <c r="D78" s="149" t="s">
        <v>266</v>
      </c>
      <c r="E78" s="652" t="str">
        <f>IF(A75="P","* cosϕ",IF(A75="S","",))</f>
        <v/>
      </c>
      <c r="F78" s="652"/>
      <c r="G78" s="652"/>
      <c r="H78" s="581"/>
      <c r="I78" s="581"/>
      <c r="J78" s="581"/>
      <c r="K78" s="581"/>
      <c r="L78" s="394"/>
    </row>
    <row r="79" spans="1:31" x14ac:dyDescent="0.25">
      <c r="A79" s="393"/>
      <c r="B79" s="581"/>
      <c r="C79" s="581"/>
      <c r="D79" s="581"/>
      <c r="E79" s="581"/>
      <c r="F79" s="581"/>
      <c r="G79" s="581"/>
      <c r="H79" s="581"/>
      <c r="I79" s="581"/>
      <c r="J79" s="581"/>
      <c r="K79" s="581"/>
      <c r="L79" s="394"/>
    </row>
    <row r="80" spans="1:31" ht="15.75" thickBot="1" x14ac:dyDescent="0.3">
      <c r="A80" s="1221" t="s">
        <v>254</v>
      </c>
      <c r="B80" s="652"/>
      <c r="C80" s="1091">
        <v>72500</v>
      </c>
      <c r="D80" s="1091"/>
      <c r="E80" s="1091"/>
      <c r="F80" s="1091"/>
      <c r="G80" s="1091"/>
      <c r="H80" s="652" t="s">
        <v>104</v>
      </c>
      <c r="I80" s="1225">
        <f>IF(AND(A75=$AC$17,H75=$AC$16),C80/(SQRT(3)*D81*E81))+IF(AND(A75=$AC$18,H75=$AC$16),C80/(SQRT(3)*D81))+IF(AND(A75=$AC$17,H75=$AC$15),C80/(D81*E81))+IF(AND(A75=$AC$18,H75=$AC$15),C80/D81)</f>
        <v>104.64473629061968</v>
      </c>
      <c r="J80" s="1225"/>
      <c r="K80" s="1225"/>
      <c r="L80" s="1226"/>
    </row>
    <row r="81" spans="1:31" ht="15.75" thickBot="1" x14ac:dyDescent="0.3">
      <c r="A81" s="669"/>
      <c r="B81" s="653"/>
      <c r="C81" s="618" t="str">
        <f>IF(H75=$AC$16,$AC$14,IF(H75=$AC$15,"",))</f>
        <v>√3 *</v>
      </c>
      <c r="D81" s="617">
        <f>J75</f>
        <v>400</v>
      </c>
      <c r="E81" s="1090"/>
      <c r="F81" s="1090"/>
      <c r="G81" s="1090"/>
      <c r="H81" s="653"/>
      <c r="I81" s="1227"/>
      <c r="J81" s="1227"/>
      <c r="K81" s="1227"/>
      <c r="L81" s="1228"/>
      <c r="Y81" s="485"/>
      <c r="Z81" s="485"/>
      <c r="AA81" s="485"/>
      <c r="AB81" s="485"/>
      <c r="AC81" s="485"/>
      <c r="AD81" s="485"/>
      <c r="AE81" s="485"/>
    </row>
    <row r="82" spans="1:31" x14ac:dyDescent="0.25">
      <c r="Y82" s="485"/>
      <c r="Z82" s="485"/>
      <c r="AA82" s="485"/>
      <c r="AB82" s="485"/>
      <c r="AC82" s="485"/>
      <c r="AD82" s="485"/>
      <c r="AE82" s="485"/>
    </row>
    <row r="83" spans="1:31" x14ac:dyDescent="0.25">
      <c r="X83" s="485"/>
      <c r="Y83" s="555"/>
      <c r="Z83" s="555"/>
      <c r="AA83" s="555"/>
      <c r="AB83" s="555"/>
      <c r="AC83" s="555"/>
      <c r="AD83" s="555"/>
      <c r="AE83" s="555"/>
    </row>
    <row r="84" spans="1:31" ht="12" customHeight="1" thickBot="1" x14ac:dyDescent="0.3">
      <c r="X84" s="485"/>
      <c r="Y84" s="485"/>
      <c r="Z84" s="485"/>
      <c r="AA84" s="485"/>
      <c r="AB84" s="485"/>
      <c r="AC84" s="485"/>
      <c r="AD84" s="485"/>
      <c r="AE84" s="485"/>
    </row>
    <row r="85" spans="1:31" x14ac:dyDescent="0.25">
      <c r="A85" s="1216" t="s">
        <v>255</v>
      </c>
      <c r="B85" s="1217"/>
      <c r="C85" s="577"/>
      <c r="D85" s="577"/>
      <c r="E85" s="577"/>
      <c r="F85" s="1224" t="s">
        <v>320</v>
      </c>
      <c r="G85" s="1224"/>
      <c r="H85" s="1217" t="s">
        <v>257</v>
      </c>
      <c r="I85" s="1217"/>
      <c r="J85" s="1219">
        <v>400</v>
      </c>
      <c r="K85" s="1219"/>
      <c r="L85" s="1220"/>
      <c r="M85" s="30" t="s">
        <v>337</v>
      </c>
      <c r="X85" s="555"/>
      <c r="Y85" s="485"/>
      <c r="Z85" s="485"/>
      <c r="AA85" s="485"/>
      <c r="AB85" s="485"/>
      <c r="AC85" s="485"/>
      <c r="AD85" s="485"/>
      <c r="AE85" s="485"/>
    </row>
    <row r="86" spans="1:31" x14ac:dyDescent="0.25">
      <c r="A86" s="393"/>
      <c r="B86" s="581"/>
      <c r="C86" s="581"/>
      <c r="D86" s="581"/>
      <c r="E86" s="581"/>
      <c r="F86" s="581"/>
      <c r="G86" s="581"/>
      <c r="H86" s="581"/>
      <c r="I86" s="581"/>
      <c r="J86" s="581"/>
      <c r="K86" s="581"/>
      <c r="L86" s="394"/>
      <c r="X86" s="485"/>
      <c r="Y86" s="485"/>
      <c r="Z86" s="485"/>
      <c r="AA86" s="485"/>
      <c r="AB86" s="485"/>
      <c r="AC86" s="485"/>
      <c r="AD86" s="485"/>
      <c r="AE86" s="485"/>
    </row>
    <row r="87" spans="1:31" ht="12" customHeight="1" thickBot="1" x14ac:dyDescent="0.3">
      <c r="A87" s="1221" t="s">
        <v>254</v>
      </c>
      <c r="B87" s="652"/>
      <c r="C87" s="653" t="str">
        <f>A85</f>
        <v>S</v>
      </c>
      <c r="D87" s="653"/>
      <c r="E87" s="653"/>
      <c r="F87" s="653"/>
      <c r="G87" s="653"/>
      <c r="H87" s="581"/>
      <c r="I87" s="581"/>
      <c r="J87" s="581"/>
      <c r="K87" s="581"/>
      <c r="L87" s="394"/>
      <c r="X87" s="485"/>
      <c r="Y87" s="485"/>
      <c r="Z87" s="485"/>
      <c r="AA87" s="485"/>
      <c r="AB87" s="485"/>
      <c r="AC87" s="485"/>
      <c r="AD87" s="485"/>
      <c r="AE87" s="485"/>
    </row>
    <row r="88" spans="1:31" x14ac:dyDescent="0.25">
      <c r="A88" s="1221"/>
      <c r="B88" s="652"/>
      <c r="C88" s="562" t="str">
        <f>IF(H85=$AC$16,$AC$14,IF(H85=$AC$15,"",))</f>
        <v>√3 *</v>
      </c>
      <c r="D88" s="149" t="s">
        <v>258</v>
      </c>
      <c r="E88" s="652" t="str">
        <f>IF(A85="P","* cosϕ",IF(A85="S","",))</f>
        <v/>
      </c>
      <c r="F88" s="652"/>
      <c r="G88" s="652"/>
      <c r="H88" s="581"/>
      <c r="I88" s="581"/>
      <c r="J88" s="581"/>
      <c r="K88" s="581"/>
      <c r="L88" s="394"/>
      <c r="X88" s="485"/>
    </row>
    <row r="89" spans="1:31" x14ac:dyDescent="0.25">
      <c r="A89" s="393"/>
      <c r="B89" s="581"/>
      <c r="C89" s="581"/>
      <c r="D89" s="581"/>
      <c r="E89" s="581"/>
      <c r="F89" s="581"/>
      <c r="G89" s="581"/>
      <c r="H89" s="581"/>
      <c r="I89" s="581"/>
      <c r="J89" s="581"/>
      <c r="K89" s="581"/>
      <c r="L89" s="394"/>
      <c r="X89" s="485"/>
    </row>
    <row r="90" spans="1:31" ht="15.75" thickBot="1" x14ac:dyDescent="0.3">
      <c r="A90" s="1221" t="s">
        <v>254</v>
      </c>
      <c r="B90" s="652"/>
      <c r="C90" s="1091"/>
      <c r="D90" s="1091"/>
      <c r="E90" s="1091"/>
      <c r="F90" s="1091"/>
      <c r="G90" s="1091"/>
      <c r="H90" s="652" t="s">
        <v>104</v>
      </c>
      <c r="I90" s="1225">
        <f>IF(AND(A85=$AC$17,H85=$AC$16),C90/(SQRT(3)*D91*E91))+IF(AND(A85=$AC$18,H85=$AC$16),C90/(SQRT(3)*D91))+IF(AND(A85=$AC$17,H85=$AC$15),C90/(D91*E91))+IF(AND(A85=$AC$18,H85=$AC$15),C90/D91)</f>
        <v>0</v>
      </c>
      <c r="J90" s="1225"/>
      <c r="K90" s="1225"/>
      <c r="L90" s="1226"/>
    </row>
    <row r="91" spans="1:31" ht="15.75" thickBot="1" x14ac:dyDescent="0.3">
      <c r="A91" s="669"/>
      <c r="B91" s="653"/>
      <c r="C91" s="616" t="str">
        <f>IF(H85=$AC$16,$AC$14,IF(H85=$AC$15,"",))</f>
        <v>√3 *</v>
      </c>
      <c r="D91" s="619">
        <f>J85</f>
        <v>400</v>
      </c>
      <c r="E91" s="1090"/>
      <c r="F91" s="1090"/>
      <c r="G91" s="1090"/>
      <c r="H91" s="653"/>
      <c r="I91" s="1227"/>
      <c r="J91" s="1227"/>
      <c r="K91" s="1227"/>
      <c r="L91" s="1228"/>
    </row>
    <row r="94" spans="1:31" ht="12" customHeight="1" thickBot="1" x14ac:dyDescent="0.3"/>
    <row r="95" spans="1:31" x14ac:dyDescent="0.25">
      <c r="A95" s="1216" t="s">
        <v>255</v>
      </c>
      <c r="B95" s="1217"/>
      <c r="C95" s="577"/>
      <c r="D95" s="577"/>
      <c r="E95" s="577"/>
      <c r="F95" s="1224" t="s">
        <v>320</v>
      </c>
      <c r="G95" s="1224"/>
      <c r="H95" s="1217" t="s">
        <v>257</v>
      </c>
      <c r="I95" s="1217"/>
      <c r="J95" s="1219">
        <v>400</v>
      </c>
      <c r="K95" s="1219"/>
      <c r="L95" s="1220"/>
      <c r="M95" s="30" t="s">
        <v>337</v>
      </c>
    </row>
    <row r="96" spans="1:31" x14ac:dyDescent="0.25">
      <c r="A96" s="393"/>
      <c r="B96" s="581"/>
      <c r="C96" s="581"/>
      <c r="D96" s="581"/>
      <c r="E96" s="581"/>
      <c r="F96" s="581"/>
      <c r="G96" s="581"/>
      <c r="H96" s="581"/>
      <c r="I96" s="581"/>
      <c r="J96" s="581"/>
      <c r="K96" s="581"/>
      <c r="L96" s="394"/>
    </row>
    <row r="97" spans="1:13" ht="12" customHeight="1" thickBot="1" x14ac:dyDescent="0.3">
      <c r="A97" s="1221" t="s">
        <v>254</v>
      </c>
      <c r="B97" s="652"/>
      <c r="C97" s="653" t="str">
        <f>A95</f>
        <v>S</v>
      </c>
      <c r="D97" s="653"/>
      <c r="E97" s="653"/>
      <c r="F97" s="653"/>
      <c r="G97" s="653"/>
      <c r="H97" s="581"/>
      <c r="I97" s="581"/>
      <c r="J97" s="581"/>
      <c r="K97" s="581"/>
      <c r="L97" s="394"/>
    </row>
    <row r="98" spans="1:13" x14ac:dyDescent="0.25">
      <c r="A98" s="1221"/>
      <c r="B98" s="652"/>
      <c r="C98" s="562" t="str">
        <f>IF(H95=$AC$16,$AC$14,IF(H95=$AC$15,"",))</f>
        <v>√3 *</v>
      </c>
      <c r="D98" s="149" t="s">
        <v>258</v>
      </c>
      <c r="E98" s="652" t="str">
        <f>IF(A95="P","* cosϕ",IF(A95="S","",))</f>
        <v/>
      </c>
      <c r="F98" s="652"/>
      <c r="G98" s="652"/>
      <c r="H98" s="581"/>
      <c r="I98" s="581"/>
      <c r="J98" s="581"/>
      <c r="K98" s="581"/>
      <c r="L98" s="394"/>
    </row>
    <row r="99" spans="1:13" x14ac:dyDescent="0.25">
      <c r="A99" s="393"/>
      <c r="B99" s="581"/>
      <c r="C99" s="581"/>
      <c r="D99" s="581"/>
      <c r="E99" s="581"/>
      <c r="F99" s="581"/>
      <c r="G99" s="581"/>
      <c r="H99" s="581"/>
      <c r="I99" s="581"/>
      <c r="J99" s="581"/>
      <c r="K99" s="581"/>
      <c r="L99" s="394"/>
    </row>
    <row r="100" spans="1:13" ht="15.75" thickBot="1" x14ac:dyDescent="0.3">
      <c r="A100" s="1221" t="s">
        <v>254</v>
      </c>
      <c r="B100" s="652"/>
      <c r="C100" s="1091"/>
      <c r="D100" s="1091"/>
      <c r="E100" s="1091"/>
      <c r="F100" s="1091"/>
      <c r="G100" s="1091"/>
      <c r="H100" s="652" t="s">
        <v>104</v>
      </c>
      <c r="I100" s="1225">
        <f>IF(AND(A95=$AC$17,H95=$AC$16),C100/(SQRT(3)*D101*E101))+IF(AND(A95=$AC$18,H95=$AC$16),C100/(SQRT(3)*D101))+IF(AND(A95=$AC$17,H95=$AC$15),C100/(D101*E101))+IF(AND(A95=$AC$18,H95=$AC$15),C100/D101)</f>
        <v>0</v>
      </c>
      <c r="J100" s="1225"/>
      <c r="K100" s="1225"/>
      <c r="L100" s="1226"/>
    </row>
    <row r="101" spans="1:13" ht="15.75" thickBot="1" x14ac:dyDescent="0.3">
      <c r="A101" s="669"/>
      <c r="B101" s="653"/>
      <c r="C101" s="616" t="str">
        <f>IF(H95=$AC$16,$AC$14,IF(H95=$AC$15,"",))</f>
        <v>√3 *</v>
      </c>
      <c r="D101" s="619">
        <f>J95</f>
        <v>400</v>
      </c>
      <c r="E101" s="1229"/>
      <c r="F101" s="1229"/>
      <c r="G101" s="1229"/>
      <c r="H101" s="653"/>
      <c r="I101" s="1227"/>
      <c r="J101" s="1227"/>
      <c r="K101" s="1227"/>
      <c r="L101" s="1228"/>
    </row>
    <row r="104" spans="1:13" ht="12" customHeight="1" thickBot="1" x14ac:dyDescent="0.3"/>
    <row r="105" spans="1:13" x14ac:dyDescent="0.25">
      <c r="A105" s="1216" t="s">
        <v>255</v>
      </c>
      <c r="B105" s="1217"/>
      <c r="C105" s="577"/>
      <c r="D105" s="577"/>
      <c r="E105" s="577"/>
      <c r="F105" s="1224" t="s">
        <v>320</v>
      </c>
      <c r="G105" s="1224"/>
      <c r="H105" s="1217" t="s">
        <v>257</v>
      </c>
      <c r="I105" s="1217"/>
      <c r="J105" s="1219">
        <v>400</v>
      </c>
      <c r="K105" s="1219"/>
      <c r="L105" s="1220"/>
      <c r="M105" s="30" t="s">
        <v>337</v>
      </c>
    </row>
    <row r="106" spans="1:13" x14ac:dyDescent="0.25">
      <c r="A106" s="393"/>
      <c r="B106" s="581"/>
      <c r="C106" s="581"/>
      <c r="D106" s="581"/>
      <c r="E106" s="581"/>
      <c r="F106" s="581"/>
      <c r="G106" s="581"/>
      <c r="H106" s="581"/>
      <c r="I106" s="581"/>
      <c r="J106" s="581"/>
      <c r="K106" s="581"/>
      <c r="L106" s="394"/>
    </row>
    <row r="107" spans="1:13" ht="12" customHeight="1" thickBot="1" x14ac:dyDescent="0.3">
      <c r="A107" s="1221" t="s">
        <v>254</v>
      </c>
      <c r="B107" s="652"/>
      <c r="C107" s="653" t="str">
        <f>A105</f>
        <v>S</v>
      </c>
      <c r="D107" s="653"/>
      <c r="E107" s="653"/>
      <c r="F107" s="653"/>
      <c r="G107" s="653"/>
      <c r="H107" s="581"/>
      <c r="I107" s="581"/>
      <c r="J107" s="581"/>
      <c r="K107" s="581"/>
      <c r="L107" s="394"/>
    </row>
    <row r="108" spans="1:13" x14ac:dyDescent="0.25">
      <c r="A108" s="1221"/>
      <c r="B108" s="652"/>
      <c r="C108" s="562" t="str">
        <f>IF(H105=$AC$16,$AC$14,IF(H105=$AC$15,"",))</f>
        <v>√3 *</v>
      </c>
      <c r="D108" s="149" t="s">
        <v>258</v>
      </c>
      <c r="E108" s="652" t="str">
        <f>IF(A105="P","* cosϕ",IF(A105="S","",))</f>
        <v/>
      </c>
      <c r="F108" s="652"/>
      <c r="G108" s="652"/>
      <c r="H108" s="581"/>
      <c r="I108" s="581"/>
      <c r="J108" s="581"/>
      <c r="K108" s="581"/>
      <c r="L108" s="394"/>
    </row>
    <row r="109" spans="1:13" x14ac:dyDescent="0.25">
      <c r="A109" s="393"/>
      <c r="B109" s="581"/>
      <c r="C109" s="581"/>
      <c r="D109" s="581"/>
      <c r="E109" s="581"/>
      <c r="F109" s="581"/>
      <c r="G109" s="581"/>
      <c r="H109" s="581"/>
      <c r="I109" s="581"/>
      <c r="J109" s="581"/>
      <c r="K109" s="581"/>
      <c r="L109" s="394"/>
    </row>
    <row r="110" spans="1:13" ht="15.75" thickBot="1" x14ac:dyDescent="0.3">
      <c r="A110" s="1221" t="s">
        <v>254</v>
      </c>
      <c r="B110" s="652"/>
      <c r="C110" s="1091"/>
      <c r="D110" s="1091"/>
      <c r="E110" s="1091"/>
      <c r="F110" s="1091"/>
      <c r="G110" s="1091"/>
      <c r="H110" s="652" t="s">
        <v>104</v>
      </c>
      <c r="I110" s="1225">
        <f>IF(AND(A105=$AC$17,H105=$AC$16),C110/(SQRT(3)*D111*E111))+IF(AND(A105=$AC$18,H105=$AC$16),C110/(SQRT(3)*D111))+IF(AND(A105=$AC$17,H105=$AC$15),C110/(D111*E111))+IF(AND(A105=$AC$18,H105=$AC$15),C110/D111)</f>
        <v>0</v>
      </c>
      <c r="J110" s="1225"/>
      <c r="K110" s="1225"/>
      <c r="L110" s="1226"/>
    </row>
    <row r="111" spans="1:13" ht="15.75" thickBot="1" x14ac:dyDescent="0.3">
      <c r="A111" s="669"/>
      <c r="B111" s="653"/>
      <c r="C111" s="616" t="str">
        <f>IF(H105=$AC$16,$AC$14,IF(H105=$AC$15,"",))</f>
        <v>√3 *</v>
      </c>
      <c r="D111" s="619">
        <f>J105</f>
        <v>400</v>
      </c>
      <c r="E111" s="1090"/>
      <c r="F111" s="1090"/>
      <c r="G111" s="1090"/>
      <c r="H111" s="653"/>
      <c r="I111" s="1227"/>
      <c r="J111" s="1227"/>
      <c r="K111" s="1227"/>
      <c r="L111" s="1228"/>
    </row>
  </sheetData>
  <mergeCells count="293">
    <mergeCell ref="K1:M1"/>
    <mergeCell ref="H1:J1"/>
    <mergeCell ref="A1:G1"/>
    <mergeCell ref="E39:I39"/>
    <mergeCell ref="E40:I42"/>
    <mergeCell ref="E43:I43"/>
    <mergeCell ref="T26:U26"/>
    <mergeCell ref="T27:U27"/>
    <mergeCell ref="T28:U28"/>
    <mergeCell ref="T29:U29"/>
    <mergeCell ref="T30:U30"/>
    <mergeCell ref="N9:T10"/>
    <mergeCell ref="T20:U20"/>
    <mergeCell ref="T21:U21"/>
    <mergeCell ref="T22:U22"/>
    <mergeCell ref="T23:U23"/>
    <mergeCell ref="T24:U24"/>
    <mergeCell ref="T25:U25"/>
    <mergeCell ref="A43:D43"/>
    <mergeCell ref="C32:C33"/>
    <mergeCell ref="A34:D34"/>
    <mergeCell ref="A35:D35"/>
    <mergeCell ref="A31:B32"/>
    <mergeCell ref="H31:H33"/>
    <mergeCell ref="T14:U14"/>
    <mergeCell ref="T15:U15"/>
    <mergeCell ref="T16:U16"/>
    <mergeCell ref="T17:U17"/>
    <mergeCell ref="T18:U18"/>
    <mergeCell ref="T19:U19"/>
    <mergeCell ref="I80:L81"/>
    <mergeCell ref="J85:L85"/>
    <mergeCell ref="N50:P52"/>
    <mergeCell ref="N46:P48"/>
    <mergeCell ref="J43:L43"/>
    <mergeCell ref="O32:O33"/>
    <mergeCell ref="N34:O34"/>
    <mergeCell ref="P34:Q34"/>
    <mergeCell ref="N35:O35"/>
    <mergeCell ref="P35:Q35"/>
    <mergeCell ref="N30:O30"/>
    <mergeCell ref="P30:Q30"/>
    <mergeCell ref="R30:S30"/>
    <mergeCell ref="N31:N32"/>
    <mergeCell ref="P31:Q33"/>
    <mergeCell ref="N26:O26"/>
    <mergeCell ref="P26:Q26"/>
    <mergeCell ref="R26:S26"/>
    <mergeCell ref="A107:B108"/>
    <mergeCell ref="C107:G107"/>
    <mergeCell ref="E108:G108"/>
    <mergeCell ref="A110:B111"/>
    <mergeCell ref="C110:G110"/>
    <mergeCell ref="H110:H111"/>
    <mergeCell ref="I100:L101"/>
    <mergeCell ref="E101:G101"/>
    <mergeCell ref="A105:B105"/>
    <mergeCell ref="F105:G105"/>
    <mergeCell ref="H105:I105"/>
    <mergeCell ref="J105:L105"/>
    <mergeCell ref="I110:L111"/>
    <mergeCell ref="E111:G111"/>
    <mergeCell ref="A97:B98"/>
    <mergeCell ref="C97:G97"/>
    <mergeCell ref="E98:G98"/>
    <mergeCell ref="A100:B101"/>
    <mergeCell ref="C100:G100"/>
    <mergeCell ref="H100:H101"/>
    <mergeCell ref="I90:L91"/>
    <mergeCell ref="E91:G91"/>
    <mergeCell ref="A95:B95"/>
    <mergeCell ref="F95:G95"/>
    <mergeCell ref="H95:I95"/>
    <mergeCell ref="J95:L95"/>
    <mergeCell ref="A87:B88"/>
    <mergeCell ref="C87:G87"/>
    <mergeCell ref="E88:G88"/>
    <mergeCell ref="A90:B91"/>
    <mergeCell ref="C90:G90"/>
    <mergeCell ref="H90:H91"/>
    <mergeCell ref="A80:B81"/>
    <mergeCell ref="C80:G80"/>
    <mergeCell ref="H80:H81"/>
    <mergeCell ref="E81:G81"/>
    <mergeCell ref="A85:B85"/>
    <mergeCell ref="F85:G85"/>
    <mergeCell ref="H85:I85"/>
    <mergeCell ref="A75:B75"/>
    <mergeCell ref="F75:G75"/>
    <mergeCell ref="H75:I75"/>
    <mergeCell ref="J75:L75"/>
    <mergeCell ref="A77:B78"/>
    <mergeCell ref="C77:G77"/>
    <mergeCell ref="E78:G78"/>
    <mergeCell ref="A69:D69"/>
    <mergeCell ref="A70:B71"/>
    <mergeCell ref="C70:G70"/>
    <mergeCell ref="H70:H71"/>
    <mergeCell ref="I70:L71"/>
    <mergeCell ref="E71:F71"/>
    <mergeCell ref="A65:B65"/>
    <mergeCell ref="F65:G65"/>
    <mergeCell ref="H65:I65"/>
    <mergeCell ref="J65:L65"/>
    <mergeCell ref="A67:B68"/>
    <mergeCell ref="C67:G67"/>
    <mergeCell ref="E68:G68"/>
    <mergeCell ref="N54:P56"/>
    <mergeCell ref="C55:C56"/>
    <mergeCell ref="A57:E57"/>
    <mergeCell ref="F57:G57"/>
    <mergeCell ref="I57:J57"/>
    <mergeCell ref="K57:M57"/>
    <mergeCell ref="N57:P57"/>
    <mergeCell ref="A54:B55"/>
    <mergeCell ref="D54:E56"/>
    <mergeCell ref="F54:G56"/>
    <mergeCell ref="H54:H56"/>
    <mergeCell ref="I54:J56"/>
    <mergeCell ref="K54:M56"/>
    <mergeCell ref="C51:C52"/>
    <mergeCell ref="A53:E53"/>
    <mergeCell ref="F53:G53"/>
    <mergeCell ref="I53:J53"/>
    <mergeCell ref="K53:M53"/>
    <mergeCell ref="N53:P53"/>
    <mergeCell ref="A50:B51"/>
    <mergeCell ref="D50:E52"/>
    <mergeCell ref="F50:G52"/>
    <mergeCell ref="H50:H52"/>
    <mergeCell ref="I50:J52"/>
    <mergeCell ref="K50:M52"/>
    <mergeCell ref="C47:C48"/>
    <mergeCell ref="A49:E49"/>
    <mergeCell ref="F49:G49"/>
    <mergeCell ref="I49:J49"/>
    <mergeCell ref="K49:M49"/>
    <mergeCell ref="N49:P49"/>
    <mergeCell ref="A46:B47"/>
    <mergeCell ref="D46:E48"/>
    <mergeCell ref="F46:G48"/>
    <mergeCell ref="H46:H48"/>
    <mergeCell ref="I46:J48"/>
    <mergeCell ref="K46:M48"/>
    <mergeCell ref="P29:Q29"/>
    <mergeCell ref="R29:S29"/>
    <mergeCell ref="A44:D44"/>
    <mergeCell ref="J44:L44"/>
    <mergeCell ref="E44:I44"/>
    <mergeCell ref="J39:L39"/>
    <mergeCell ref="A40:B41"/>
    <mergeCell ref="J40:L42"/>
    <mergeCell ref="C41:C42"/>
    <mergeCell ref="A36:G36"/>
    <mergeCell ref="H36:I36"/>
    <mergeCell ref="A37:G37"/>
    <mergeCell ref="H37:I37"/>
    <mergeCell ref="E31:G33"/>
    <mergeCell ref="A30:D30"/>
    <mergeCell ref="E30:G30"/>
    <mergeCell ref="H30:J30"/>
    <mergeCell ref="K30:M30"/>
    <mergeCell ref="A29:D29"/>
    <mergeCell ref="E29:G29"/>
    <mergeCell ref="H29:J29"/>
    <mergeCell ref="K29:M29"/>
    <mergeCell ref="N29:O29"/>
    <mergeCell ref="P27:Q27"/>
    <mergeCell ref="R27:S27"/>
    <mergeCell ref="A28:D28"/>
    <mergeCell ref="E28:G28"/>
    <mergeCell ref="H28:J28"/>
    <mergeCell ref="K28:M28"/>
    <mergeCell ref="N28:O28"/>
    <mergeCell ref="P28:Q28"/>
    <mergeCell ref="A27:D27"/>
    <mergeCell ref="E27:G27"/>
    <mergeCell ref="H27:J27"/>
    <mergeCell ref="K27:M27"/>
    <mergeCell ref="N27:O27"/>
    <mergeCell ref="R28:S28"/>
    <mergeCell ref="A26:D26"/>
    <mergeCell ref="E26:G26"/>
    <mergeCell ref="H26:J26"/>
    <mergeCell ref="K26:M26"/>
    <mergeCell ref="R24:S24"/>
    <mergeCell ref="A25:D25"/>
    <mergeCell ref="E25:G25"/>
    <mergeCell ref="H25:J25"/>
    <mergeCell ref="K25:M25"/>
    <mergeCell ref="N25:O25"/>
    <mergeCell ref="P25:Q25"/>
    <mergeCell ref="R25:S25"/>
    <mergeCell ref="P23:Q23"/>
    <mergeCell ref="R23:S23"/>
    <mergeCell ref="A24:D24"/>
    <mergeCell ref="E24:G24"/>
    <mergeCell ref="H24:J24"/>
    <mergeCell ref="K24:M24"/>
    <mergeCell ref="N24:O24"/>
    <mergeCell ref="P24:Q24"/>
    <mergeCell ref="N22:O22"/>
    <mergeCell ref="P22:Q22"/>
    <mergeCell ref="R22:S22"/>
    <mergeCell ref="A23:D23"/>
    <mergeCell ref="E23:G23"/>
    <mergeCell ref="H23:J23"/>
    <mergeCell ref="K23:M23"/>
    <mergeCell ref="N23:O23"/>
    <mergeCell ref="A22:D22"/>
    <mergeCell ref="E22:G22"/>
    <mergeCell ref="H22:J22"/>
    <mergeCell ref="K22:M22"/>
    <mergeCell ref="R20:S20"/>
    <mergeCell ref="A21:D21"/>
    <mergeCell ref="E21:G21"/>
    <mergeCell ref="H21:J21"/>
    <mergeCell ref="K21:M21"/>
    <mergeCell ref="N21:O21"/>
    <mergeCell ref="P21:Q21"/>
    <mergeCell ref="R21:S21"/>
    <mergeCell ref="P19:Q19"/>
    <mergeCell ref="R19:S19"/>
    <mergeCell ref="A20:D20"/>
    <mergeCell ref="E20:G20"/>
    <mergeCell ref="H20:J20"/>
    <mergeCell ref="K20:M20"/>
    <mergeCell ref="N20:O20"/>
    <mergeCell ref="P20:Q20"/>
    <mergeCell ref="N18:O18"/>
    <mergeCell ref="P18:Q18"/>
    <mergeCell ref="R18:S18"/>
    <mergeCell ref="A19:D19"/>
    <mergeCell ref="E19:G19"/>
    <mergeCell ref="H19:J19"/>
    <mergeCell ref="K19:M19"/>
    <mergeCell ref="N19:O19"/>
    <mergeCell ref="A18:D18"/>
    <mergeCell ref="E18:G18"/>
    <mergeCell ref="H18:J18"/>
    <mergeCell ref="K18:M18"/>
    <mergeCell ref="R16:S16"/>
    <mergeCell ref="A17:D17"/>
    <mergeCell ref="E17:G17"/>
    <mergeCell ref="H17:J17"/>
    <mergeCell ref="K17:M17"/>
    <mergeCell ref="N17:O17"/>
    <mergeCell ref="P17:Q17"/>
    <mergeCell ref="R17:S17"/>
    <mergeCell ref="P15:Q15"/>
    <mergeCell ref="R15:S15"/>
    <mergeCell ref="A16:D16"/>
    <mergeCell ref="E16:G16"/>
    <mergeCell ref="H16:J16"/>
    <mergeCell ref="K16:M16"/>
    <mergeCell ref="N16:O16"/>
    <mergeCell ref="P16:Q16"/>
    <mergeCell ref="N14:O14"/>
    <mergeCell ref="P14:Q14"/>
    <mergeCell ref="R14:S14"/>
    <mergeCell ref="A15:D15"/>
    <mergeCell ref="E15:G15"/>
    <mergeCell ref="H15:J15"/>
    <mergeCell ref="K15:M15"/>
    <mergeCell ref="N15:O15"/>
    <mergeCell ref="A14:D14"/>
    <mergeCell ref="E14:G14"/>
    <mergeCell ref="H14:J14"/>
    <mergeCell ref="K14:M14"/>
    <mergeCell ref="AK8:AM8"/>
    <mergeCell ref="A11:D11"/>
    <mergeCell ref="E11:G11"/>
    <mergeCell ref="H11:J11"/>
    <mergeCell ref="K11:M11"/>
    <mergeCell ref="N11:O11"/>
    <mergeCell ref="R12:S12"/>
    <mergeCell ref="A13:D13"/>
    <mergeCell ref="E13:G13"/>
    <mergeCell ref="H13:J13"/>
    <mergeCell ref="K13:M13"/>
    <mergeCell ref="N13:O13"/>
    <mergeCell ref="P13:Q13"/>
    <mergeCell ref="R13:S13"/>
    <mergeCell ref="P11:Q11"/>
    <mergeCell ref="R11:S11"/>
    <mergeCell ref="A12:D12"/>
    <mergeCell ref="E12:G12"/>
    <mergeCell ref="H12:J12"/>
    <mergeCell ref="K12:M12"/>
    <mergeCell ref="N12:O12"/>
    <mergeCell ref="P12:Q12"/>
    <mergeCell ref="T12:U12"/>
    <mergeCell ref="T13:U13"/>
  </mergeCells>
  <dataValidations count="3">
    <dataValidation type="list" allowBlank="1" showInputMessage="1" showErrorMessage="1" sqref="A95 A75 A65 A85 A105" xr:uid="{00000000-0002-0000-0C00-000000000000}">
      <formula1>$AC$17:$AC$18</formula1>
    </dataValidation>
    <dataValidation type="list" allowBlank="1" showInputMessage="1" showErrorMessage="1" sqref="J105 J85 J65 F66 J75 J95" xr:uid="{00000000-0002-0000-0C00-000001000000}">
      <formula1>$AC$11:$AC$12</formula1>
    </dataValidation>
    <dataValidation type="list" allowBlank="1" showInputMessage="1" showErrorMessage="1" sqref="H105 H95 H75 E66 H65 H85" xr:uid="{00000000-0002-0000-0C00-000002000000}">
      <formula1>$AC$15:$AC$16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  <rowBreaks count="1" manualBreakCount="1">
    <brk id="6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112"/>
  <sheetViews>
    <sheetView showGridLines="0" zoomScale="85" zoomScaleNormal="85" workbookViewId="0">
      <selection activeCell="AQ31" sqref="AQ30:AQ31"/>
    </sheetView>
  </sheetViews>
  <sheetFormatPr defaultRowHeight="15" x14ac:dyDescent="0.25"/>
  <cols>
    <col min="1" max="1" width="2.85546875" style="45" customWidth="1"/>
    <col min="2" max="2" width="4.140625" style="45" customWidth="1"/>
    <col min="3" max="3" width="4.5703125" style="45" customWidth="1"/>
    <col min="4" max="5" width="3.42578125" style="45" customWidth="1"/>
    <col min="6" max="6" width="3.140625" style="45" customWidth="1"/>
    <col min="7" max="7" width="3.28515625" style="45" customWidth="1"/>
    <col min="8" max="8" width="5.42578125" style="45" customWidth="1"/>
    <col min="9" max="9" width="2.140625" style="45" customWidth="1"/>
    <col min="10" max="10" width="1.28515625" style="45" customWidth="1"/>
    <col min="11" max="11" width="4.7109375" style="45" customWidth="1"/>
    <col min="12" max="12" width="2" style="45" customWidth="1"/>
    <col min="13" max="13" width="6" style="45" customWidth="1"/>
    <col min="14" max="14" width="3.28515625" style="45" customWidth="1"/>
    <col min="15" max="15" width="3" style="45" customWidth="1"/>
    <col min="16" max="16" width="2.7109375" style="45" customWidth="1"/>
    <col min="17" max="17" width="3.7109375" style="45" customWidth="1"/>
    <col min="18" max="18" width="2.85546875" style="45" customWidth="1"/>
    <col min="19" max="19" width="12.85546875" style="45" customWidth="1"/>
    <col min="20" max="20" width="4.42578125" style="45" customWidth="1"/>
    <col min="21" max="21" width="2.42578125" style="45" customWidth="1"/>
    <col min="22" max="22" width="3.7109375" style="45" customWidth="1"/>
    <col min="23" max="23" width="2.28515625" style="45" hidden="1" customWidth="1"/>
    <col min="24" max="24" width="7.7109375" style="45" hidden="1" customWidth="1"/>
    <col min="25" max="25" width="8.85546875" style="45" hidden="1" customWidth="1"/>
    <col min="26" max="27" width="9.140625" style="45" hidden="1" customWidth="1"/>
    <col min="28" max="28" width="12" style="45" hidden="1" customWidth="1"/>
    <col min="29" max="42" width="9.140625" style="45" hidden="1" customWidth="1"/>
    <col min="43" max="16384" width="9.140625" style="45"/>
  </cols>
  <sheetData>
    <row r="1" spans="1:35" ht="21" x14ac:dyDescent="0.35">
      <c r="A1" s="235" t="s">
        <v>259</v>
      </c>
      <c r="B1" s="234"/>
      <c r="C1" s="235"/>
      <c r="D1" s="234"/>
      <c r="E1" s="234"/>
      <c r="F1" s="234"/>
      <c r="G1" s="234"/>
      <c r="H1" s="235" t="s">
        <v>252</v>
      </c>
      <c r="I1" s="235"/>
      <c r="J1" s="234"/>
      <c r="K1" s="1291" t="s">
        <v>344</v>
      </c>
      <c r="L1" s="1291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</row>
    <row r="2" spans="1:35" ht="21" x14ac:dyDescent="0.35">
      <c r="A2" s="235"/>
      <c r="B2" s="234"/>
      <c r="C2" s="235"/>
      <c r="D2" s="234"/>
      <c r="E2" s="234"/>
      <c r="F2" s="234"/>
      <c r="G2" s="234"/>
      <c r="H2" s="235"/>
      <c r="I2" s="235"/>
      <c r="J2" s="234"/>
      <c r="K2" s="244"/>
      <c r="L2" s="24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</row>
    <row r="6" spans="1:35" ht="15.75" thickBot="1" x14ac:dyDescent="0.3"/>
    <row r="7" spans="1:35" ht="15.75" hidden="1" thickBot="1" x14ac:dyDescent="0.3"/>
    <row r="8" spans="1:35" ht="15.75" hidden="1" thickBot="1" x14ac:dyDescent="0.3"/>
    <row r="9" spans="1:35" ht="15.75" thickBot="1" x14ac:dyDescent="0.3">
      <c r="AA9" s="226" t="s">
        <v>241</v>
      </c>
      <c r="AB9" s="227"/>
      <c r="AC9" s="228"/>
      <c r="AD9" s="226" t="s">
        <v>242</v>
      </c>
      <c r="AE9" s="227"/>
      <c r="AF9" s="228"/>
      <c r="AG9" s="226" t="s">
        <v>243</v>
      </c>
      <c r="AH9" s="227"/>
      <c r="AI9" s="228"/>
    </row>
    <row r="10" spans="1:35" ht="15.75" thickBot="1" x14ac:dyDescent="0.3">
      <c r="A10" s="1032" t="s">
        <v>222</v>
      </c>
      <c r="B10" s="1033"/>
      <c r="C10" s="1033"/>
      <c r="D10" s="1033"/>
      <c r="E10" s="1033"/>
      <c r="F10" s="1033"/>
      <c r="G10" s="1033" t="s">
        <v>241</v>
      </c>
      <c r="H10" s="1033"/>
      <c r="I10" s="1033" t="s">
        <v>242</v>
      </c>
      <c r="J10" s="1033"/>
      <c r="K10" s="1033"/>
      <c r="L10" s="1033" t="s">
        <v>243</v>
      </c>
      <c r="M10" s="1033"/>
      <c r="N10" s="1033" t="s">
        <v>50</v>
      </c>
      <c r="O10" s="1033"/>
      <c r="P10" s="1033" t="s">
        <v>244</v>
      </c>
      <c r="Q10" s="1033"/>
      <c r="R10" s="1135" t="s">
        <v>394</v>
      </c>
      <c r="S10" s="1139"/>
      <c r="T10" s="707" t="s">
        <v>268</v>
      </c>
      <c r="U10" s="695"/>
      <c r="V10" s="695"/>
      <c r="W10" s="695"/>
      <c r="X10" s="695"/>
      <c r="AA10" s="226" t="s">
        <v>245</v>
      </c>
      <c r="AB10" s="227" t="s">
        <v>246</v>
      </c>
      <c r="AC10" s="228" t="s">
        <v>247</v>
      </c>
      <c r="AD10" s="226" t="s">
        <v>245</v>
      </c>
      <c r="AE10" s="227" t="s">
        <v>246</v>
      </c>
      <c r="AF10" s="228" t="s">
        <v>247</v>
      </c>
      <c r="AG10" s="226" t="s">
        <v>245</v>
      </c>
      <c r="AH10" s="227" t="s">
        <v>246</v>
      </c>
      <c r="AI10" s="228" t="s">
        <v>247</v>
      </c>
    </row>
    <row r="11" spans="1:35" ht="15.75" customHeight="1" thickBot="1" x14ac:dyDescent="0.3">
      <c r="A11" s="1285" t="s">
        <v>338</v>
      </c>
      <c r="B11" s="1286"/>
      <c r="C11" s="1286"/>
      <c r="D11" s="1286"/>
      <c r="E11" s="1286"/>
      <c r="F11" s="1286"/>
      <c r="G11" s="718"/>
      <c r="H11" s="718"/>
      <c r="I11" s="718"/>
      <c r="J11" s="718"/>
      <c r="K11" s="718"/>
      <c r="L11" s="718"/>
      <c r="M11" s="718"/>
      <c r="N11" s="718"/>
      <c r="O11" s="718"/>
      <c r="P11" s="855">
        <f>DEGREES(ACOS(N11))*-1</f>
        <v>-90</v>
      </c>
      <c r="Q11" s="855"/>
      <c r="R11" s="718"/>
      <c r="S11" s="1269"/>
      <c r="T11" s="1313" t="s">
        <v>269</v>
      </c>
      <c r="U11" s="1313"/>
      <c r="V11" s="1313"/>
      <c r="W11" s="1313"/>
      <c r="X11" s="1313"/>
      <c r="Z11" s="45">
        <v>400</v>
      </c>
      <c r="AA11" s="17">
        <f>G11*N11</f>
        <v>0</v>
      </c>
      <c r="AB11" s="18">
        <f>G11*SIN(RADIANS((-1*P11)))</f>
        <v>0</v>
      </c>
      <c r="AC11" s="19">
        <f>IMABS(COMPLEX(AA11,AB11,"i"))</f>
        <v>0</v>
      </c>
      <c r="AD11" s="17">
        <f t="shared" ref="AD11:AD27" si="0">I11*N11</f>
        <v>0</v>
      </c>
      <c r="AE11" s="18">
        <f>I11*SIN(RADIANS((-1*P11)))</f>
        <v>0</v>
      </c>
      <c r="AF11" s="19">
        <f>IMABS(COMPLEX(AD11,AE11,"i"))</f>
        <v>0</v>
      </c>
      <c r="AG11" s="17">
        <f t="shared" ref="AG11:AG27" si="1">L11*N11</f>
        <v>0</v>
      </c>
      <c r="AH11" s="18">
        <f>L11*SIN(RADIANS((-1*P11)))</f>
        <v>0</v>
      </c>
      <c r="AI11" s="19">
        <f>IMABS(COMPLEX(AG11,AH11,"i"))</f>
        <v>0</v>
      </c>
    </row>
    <row r="12" spans="1:35" ht="15.75" thickBot="1" x14ac:dyDescent="0.3">
      <c r="A12" s="1285" t="s">
        <v>339</v>
      </c>
      <c r="B12" s="1286"/>
      <c r="C12" s="1286"/>
      <c r="D12" s="1286"/>
      <c r="E12" s="1286"/>
      <c r="F12" s="1286"/>
      <c r="G12" s="718"/>
      <c r="H12" s="718"/>
      <c r="I12" s="718"/>
      <c r="J12" s="718"/>
      <c r="K12" s="718"/>
      <c r="L12" s="718"/>
      <c r="M12" s="718"/>
      <c r="N12" s="718"/>
      <c r="O12" s="718"/>
      <c r="P12" s="855">
        <f t="shared" ref="P12:P29" si="2">DEGREES(ACOS(N12))*-1</f>
        <v>-90</v>
      </c>
      <c r="Q12" s="855"/>
      <c r="R12" s="718"/>
      <c r="S12" s="1269"/>
      <c r="T12" s="1313"/>
      <c r="U12" s="1313"/>
      <c r="V12" s="1313"/>
      <c r="W12" s="1313"/>
      <c r="X12" s="1313"/>
      <c r="Z12" s="45">
        <v>230</v>
      </c>
      <c r="AA12" s="17">
        <f t="shared" ref="AA12:AA26" si="3">G12*N12</f>
        <v>0</v>
      </c>
      <c r="AB12" s="18">
        <f t="shared" ref="AB12:AB27" si="4">G12*SIN(RADIANS((-1*P12)))</f>
        <v>0</v>
      </c>
      <c r="AC12" s="19">
        <f t="shared" ref="AC12:AC27" si="5">IMABS(COMPLEX(AA12,AB12,"i"))</f>
        <v>0</v>
      </c>
      <c r="AD12" s="20">
        <f t="shared" si="0"/>
        <v>0</v>
      </c>
      <c r="AE12" s="18">
        <f t="shared" ref="AE12:AE27" si="6">I12*SIN(RADIANS((-1*P12)))</f>
        <v>0</v>
      </c>
      <c r="AF12" s="21">
        <f t="shared" ref="AF12:AF28" si="7">IMABS(COMPLEX(AD12,AE12,"i"))</f>
        <v>0</v>
      </c>
      <c r="AG12" s="20">
        <f t="shared" si="1"/>
        <v>0</v>
      </c>
      <c r="AH12" s="18">
        <f t="shared" ref="AH12:AH27" si="8">L12*SIN(RADIANS((-1*P12)))</f>
        <v>0</v>
      </c>
      <c r="AI12" s="21">
        <f t="shared" ref="AI12:AI28" si="9">IMABS(COMPLEX(AG12,AH12,"i"))</f>
        <v>0</v>
      </c>
    </row>
    <row r="13" spans="1:35" ht="15.75" thickBot="1" x14ac:dyDescent="0.3">
      <c r="A13" s="1285" t="s">
        <v>340</v>
      </c>
      <c r="B13" s="1286"/>
      <c r="C13" s="1286"/>
      <c r="D13" s="1286"/>
      <c r="E13" s="1286"/>
      <c r="F13" s="1286"/>
      <c r="G13" s="718"/>
      <c r="H13" s="718"/>
      <c r="I13" s="718"/>
      <c r="J13" s="718"/>
      <c r="K13" s="718"/>
      <c r="L13" s="718"/>
      <c r="M13" s="718"/>
      <c r="N13" s="718"/>
      <c r="O13" s="718"/>
      <c r="P13" s="855">
        <f t="shared" si="2"/>
        <v>-90</v>
      </c>
      <c r="Q13" s="855"/>
      <c r="R13" s="718"/>
      <c r="S13" s="1269"/>
      <c r="T13" s="1313"/>
      <c r="U13" s="1313"/>
      <c r="V13" s="1313"/>
      <c r="W13" s="1313"/>
      <c r="X13" s="1313"/>
      <c r="AA13" s="17">
        <f t="shared" si="3"/>
        <v>0</v>
      </c>
      <c r="AB13" s="18">
        <f t="shared" si="4"/>
        <v>0</v>
      </c>
      <c r="AC13" s="19">
        <f t="shared" si="5"/>
        <v>0</v>
      </c>
      <c r="AD13" s="20">
        <f t="shared" si="0"/>
        <v>0</v>
      </c>
      <c r="AE13" s="18">
        <f t="shared" si="6"/>
        <v>0</v>
      </c>
      <c r="AF13" s="21">
        <f t="shared" si="7"/>
        <v>0</v>
      </c>
      <c r="AG13" s="20">
        <f t="shared" si="1"/>
        <v>0</v>
      </c>
      <c r="AH13" s="18">
        <f t="shared" si="8"/>
        <v>0</v>
      </c>
      <c r="AI13" s="21">
        <f t="shared" si="9"/>
        <v>0</v>
      </c>
    </row>
    <row r="14" spans="1:35" ht="15.75" thickBot="1" x14ac:dyDescent="0.3">
      <c r="A14" s="1285" t="s">
        <v>341</v>
      </c>
      <c r="B14" s="1286"/>
      <c r="C14" s="1286"/>
      <c r="D14" s="1286"/>
      <c r="E14" s="1286"/>
      <c r="F14" s="1286"/>
      <c r="G14" s="718"/>
      <c r="H14" s="718"/>
      <c r="I14" s="718"/>
      <c r="J14" s="718"/>
      <c r="K14" s="718"/>
      <c r="L14" s="718"/>
      <c r="M14" s="718"/>
      <c r="N14" s="718"/>
      <c r="O14" s="718"/>
      <c r="P14" s="855">
        <f t="shared" si="2"/>
        <v>-90</v>
      </c>
      <c r="Q14" s="855"/>
      <c r="R14" s="718"/>
      <c r="S14" s="1269"/>
      <c r="T14" s="1313"/>
      <c r="U14" s="1313"/>
      <c r="V14" s="1313"/>
      <c r="W14" s="1313"/>
      <c r="X14" s="1313"/>
      <c r="Z14" s="45" t="s">
        <v>218</v>
      </c>
      <c r="AA14" s="17">
        <f t="shared" si="3"/>
        <v>0</v>
      </c>
      <c r="AB14" s="18">
        <f t="shared" si="4"/>
        <v>0</v>
      </c>
      <c r="AC14" s="19">
        <f t="shared" si="5"/>
        <v>0</v>
      </c>
      <c r="AD14" s="20">
        <f t="shared" si="0"/>
        <v>0</v>
      </c>
      <c r="AE14" s="18">
        <f t="shared" si="6"/>
        <v>0</v>
      </c>
      <c r="AF14" s="21">
        <f t="shared" si="7"/>
        <v>0</v>
      </c>
      <c r="AG14" s="20">
        <f t="shared" si="1"/>
        <v>0</v>
      </c>
      <c r="AH14" s="18">
        <f t="shared" si="8"/>
        <v>0</v>
      </c>
      <c r="AI14" s="21">
        <f t="shared" si="9"/>
        <v>0</v>
      </c>
    </row>
    <row r="15" spans="1:35" ht="15.75" thickBot="1" x14ac:dyDescent="0.3">
      <c r="A15" s="1285" t="s">
        <v>342</v>
      </c>
      <c r="B15" s="1286"/>
      <c r="C15" s="1286"/>
      <c r="D15" s="1286"/>
      <c r="E15" s="1286"/>
      <c r="F15" s="1286"/>
      <c r="G15" s="718"/>
      <c r="H15" s="718"/>
      <c r="I15" s="718"/>
      <c r="J15" s="718"/>
      <c r="K15" s="718"/>
      <c r="L15" s="718"/>
      <c r="M15" s="718"/>
      <c r="N15" s="718"/>
      <c r="O15" s="718"/>
      <c r="P15" s="855">
        <f t="shared" si="2"/>
        <v>-90</v>
      </c>
      <c r="Q15" s="855"/>
      <c r="R15" s="718"/>
      <c r="S15" s="1269"/>
      <c r="T15" s="1313"/>
      <c r="U15" s="1313"/>
      <c r="V15" s="1313"/>
      <c r="W15" s="1313"/>
      <c r="X15" s="1313"/>
      <c r="Z15" s="45" t="s">
        <v>256</v>
      </c>
      <c r="AA15" s="17">
        <f t="shared" si="3"/>
        <v>0</v>
      </c>
      <c r="AB15" s="18">
        <f t="shared" si="4"/>
        <v>0</v>
      </c>
      <c r="AC15" s="19">
        <f t="shared" si="5"/>
        <v>0</v>
      </c>
      <c r="AD15" s="20">
        <f t="shared" si="0"/>
        <v>0</v>
      </c>
      <c r="AE15" s="18">
        <f t="shared" si="6"/>
        <v>0</v>
      </c>
      <c r="AF15" s="21">
        <f t="shared" si="7"/>
        <v>0</v>
      </c>
      <c r="AG15" s="20">
        <f t="shared" si="1"/>
        <v>0</v>
      </c>
      <c r="AH15" s="18">
        <f t="shared" si="8"/>
        <v>0</v>
      </c>
      <c r="AI15" s="21">
        <f t="shared" si="9"/>
        <v>0</v>
      </c>
    </row>
    <row r="16" spans="1:35" ht="15.75" thickBot="1" x14ac:dyDescent="0.3">
      <c r="A16" s="1285" t="s">
        <v>343</v>
      </c>
      <c r="B16" s="1286"/>
      <c r="C16" s="1286"/>
      <c r="D16" s="1286"/>
      <c r="E16" s="1286"/>
      <c r="F16" s="1286"/>
      <c r="G16" s="718"/>
      <c r="H16" s="718"/>
      <c r="I16" s="718"/>
      <c r="J16" s="718"/>
      <c r="K16" s="718"/>
      <c r="L16" s="718"/>
      <c r="M16" s="718"/>
      <c r="N16" s="718"/>
      <c r="O16" s="718"/>
      <c r="P16" s="855">
        <f t="shared" si="2"/>
        <v>-90</v>
      </c>
      <c r="Q16" s="855"/>
      <c r="R16" s="718"/>
      <c r="S16" s="1269"/>
      <c r="T16" s="1313"/>
      <c r="U16" s="1313"/>
      <c r="V16" s="1313"/>
      <c r="W16" s="1313"/>
      <c r="X16" s="1313"/>
      <c r="Z16" s="45" t="s">
        <v>257</v>
      </c>
      <c r="AA16" s="17">
        <f t="shared" si="3"/>
        <v>0</v>
      </c>
      <c r="AB16" s="18">
        <f t="shared" si="4"/>
        <v>0</v>
      </c>
      <c r="AC16" s="19">
        <f t="shared" si="5"/>
        <v>0</v>
      </c>
      <c r="AD16" s="20">
        <f t="shared" si="0"/>
        <v>0</v>
      </c>
      <c r="AE16" s="18">
        <f t="shared" si="6"/>
        <v>0</v>
      </c>
      <c r="AF16" s="21">
        <f t="shared" si="7"/>
        <v>0</v>
      </c>
      <c r="AG16" s="20">
        <f t="shared" si="1"/>
        <v>0</v>
      </c>
      <c r="AH16" s="18">
        <f t="shared" si="8"/>
        <v>0</v>
      </c>
      <c r="AI16" s="21">
        <f t="shared" si="9"/>
        <v>0</v>
      </c>
    </row>
    <row r="17" spans="1:35" ht="15.75" thickBot="1" x14ac:dyDescent="0.3">
      <c r="A17" s="1285"/>
      <c r="B17" s="1286"/>
      <c r="C17" s="1286"/>
      <c r="D17" s="1286"/>
      <c r="E17" s="1286"/>
      <c r="F17" s="1286"/>
      <c r="G17" s="718"/>
      <c r="H17" s="718"/>
      <c r="I17" s="718"/>
      <c r="J17" s="718"/>
      <c r="K17" s="718"/>
      <c r="L17" s="718"/>
      <c r="M17" s="718"/>
      <c r="N17" s="718"/>
      <c r="O17" s="718"/>
      <c r="P17" s="855">
        <f t="shared" si="2"/>
        <v>-90</v>
      </c>
      <c r="Q17" s="855"/>
      <c r="R17" s="718"/>
      <c r="S17" s="1269"/>
      <c r="T17" s="1313"/>
      <c r="U17" s="1313"/>
      <c r="V17" s="1313"/>
      <c r="W17" s="1313"/>
      <c r="X17" s="1313"/>
      <c r="Z17" s="45" t="s">
        <v>253</v>
      </c>
      <c r="AA17" s="17">
        <f t="shared" si="3"/>
        <v>0</v>
      </c>
      <c r="AB17" s="18">
        <f t="shared" si="4"/>
        <v>0</v>
      </c>
      <c r="AC17" s="19">
        <f t="shared" si="5"/>
        <v>0</v>
      </c>
      <c r="AD17" s="20">
        <f t="shared" si="0"/>
        <v>0</v>
      </c>
      <c r="AE17" s="18">
        <f t="shared" si="6"/>
        <v>0</v>
      </c>
      <c r="AF17" s="21">
        <f t="shared" si="7"/>
        <v>0</v>
      </c>
      <c r="AG17" s="20">
        <f t="shared" si="1"/>
        <v>0</v>
      </c>
      <c r="AH17" s="18">
        <f t="shared" si="8"/>
        <v>0</v>
      </c>
      <c r="AI17" s="21">
        <f t="shared" si="9"/>
        <v>0</v>
      </c>
    </row>
    <row r="18" spans="1:35" ht="15.75" thickBot="1" x14ac:dyDescent="0.3">
      <c r="A18" s="1285"/>
      <c r="B18" s="1286"/>
      <c r="C18" s="1286"/>
      <c r="D18" s="1286"/>
      <c r="E18" s="1286"/>
      <c r="F18" s="1286"/>
      <c r="G18" s="718"/>
      <c r="H18" s="718"/>
      <c r="I18" s="718"/>
      <c r="J18" s="718"/>
      <c r="K18" s="718"/>
      <c r="L18" s="718"/>
      <c r="M18" s="718"/>
      <c r="N18" s="718"/>
      <c r="O18" s="718"/>
      <c r="P18" s="855">
        <f t="shared" si="2"/>
        <v>-90</v>
      </c>
      <c r="Q18" s="855"/>
      <c r="R18" s="718"/>
      <c r="S18" s="1269"/>
      <c r="T18" s="1313"/>
      <c r="U18" s="1313"/>
      <c r="V18" s="1313"/>
      <c r="W18" s="1313"/>
      <c r="X18" s="1313"/>
      <c r="Z18" s="45" t="s">
        <v>255</v>
      </c>
      <c r="AA18" s="17">
        <f t="shared" si="3"/>
        <v>0</v>
      </c>
      <c r="AB18" s="18">
        <f t="shared" si="4"/>
        <v>0</v>
      </c>
      <c r="AC18" s="19">
        <f t="shared" si="5"/>
        <v>0</v>
      </c>
      <c r="AD18" s="20">
        <f t="shared" si="0"/>
        <v>0</v>
      </c>
      <c r="AE18" s="18">
        <f t="shared" si="6"/>
        <v>0</v>
      </c>
      <c r="AF18" s="21">
        <f t="shared" si="7"/>
        <v>0</v>
      </c>
      <c r="AG18" s="20">
        <f t="shared" si="1"/>
        <v>0</v>
      </c>
      <c r="AH18" s="18">
        <f t="shared" si="8"/>
        <v>0</v>
      </c>
      <c r="AI18" s="21">
        <f t="shared" si="9"/>
        <v>0</v>
      </c>
    </row>
    <row r="19" spans="1:35" ht="15.75" thickBot="1" x14ac:dyDescent="0.3">
      <c r="A19" s="1285"/>
      <c r="B19" s="1286"/>
      <c r="C19" s="1286"/>
      <c r="D19" s="1286"/>
      <c r="E19" s="1286"/>
      <c r="F19" s="1286"/>
      <c r="G19" s="718"/>
      <c r="H19" s="718"/>
      <c r="I19" s="718"/>
      <c r="J19" s="718"/>
      <c r="K19" s="718"/>
      <c r="L19" s="718"/>
      <c r="M19" s="718"/>
      <c r="N19" s="718"/>
      <c r="O19" s="718"/>
      <c r="P19" s="855">
        <f t="shared" si="2"/>
        <v>-90</v>
      </c>
      <c r="Q19" s="855"/>
      <c r="R19" s="718"/>
      <c r="S19" s="1269"/>
      <c r="T19" s="1313"/>
      <c r="U19" s="1313"/>
      <c r="V19" s="1313"/>
      <c r="W19" s="1313"/>
      <c r="X19" s="1313"/>
      <c r="AA19" s="17">
        <f t="shared" si="3"/>
        <v>0</v>
      </c>
      <c r="AB19" s="18">
        <f t="shared" si="4"/>
        <v>0</v>
      </c>
      <c r="AC19" s="19">
        <f t="shared" si="5"/>
        <v>0</v>
      </c>
      <c r="AD19" s="20">
        <f t="shared" si="0"/>
        <v>0</v>
      </c>
      <c r="AE19" s="18">
        <f t="shared" si="6"/>
        <v>0</v>
      </c>
      <c r="AF19" s="21">
        <f t="shared" si="7"/>
        <v>0</v>
      </c>
      <c r="AG19" s="20">
        <f t="shared" si="1"/>
        <v>0</v>
      </c>
      <c r="AH19" s="18">
        <f t="shared" si="8"/>
        <v>0</v>
      </c>
      <c r="AI19" s="21">
        <f t="shared" si="9"/>
        <v>0</v>
      </c>
    </row>
    <row r="20" spans="1:35" ht="15.75" thickBot="1" x14ac:dyDescent="0.3">
      <c r="A20" s="1285"/>
      <c r="B20" s="1286"/>
      <c r="C20" s="1286"/>
      <c r="D20" s="1286"/>
      <c r="E20" s="1286"/>
      <c r="F20" s="1286"/>
      <c r="G20" s="718"/>
      <c r="H20" s="718"/>
      <c r="I20" s="718"/>
      <c r="J20" s="718"/>
      <c r="K20" s="718"/>
      <c r="L20" s="718"/>
      <c r="M20" s="718"/>
      <c r="N20" s="718"/>
      <c r="O20" s="718"/>
      <c r="P20" s="855">
        <f t="shared" si="2"/>
        <v>-90</v>
      </c>
      <c r="Q20" s="855"/>
      <c r="R20" s="718"/>
      <c r="S20" s="1269"/>
      <c r="T20" s="1313"/>
      <c r="U20" s="1313"/>
      <c r="V20" s="1313"/>
      <c r="W20" s="1313"/>
      <c r="X20" s="1313"/>
      <c r="Z20" s="156" t="s">
        <v>268</v>
      </c>
      <c r="AA20" s="17">
        <f t="shared" si="3"/>
        <v>0</v>
      </c>
      <c r="AB20" s="18">
        <f t="shared" si="4"/>
        <v>0</v>
      </c>
      <c r="AC20" s="19">
        <f t="shared" si="5"/>
        <v>0</v>
      </c>
      <c r="AD20" s="20">
        <f t="shared" si="0"/>
        <v>0</v>
      </c>
      <c r="AE20" s="18">
        <f t="shared" si="6"/>
        <v>0</v>
      </c>
      <c r="AF20" s="21">
        <f t="shared" si="7"/>
        <v>0</v>
      </c>
      <c r="AG20" s="20">
        <f t="shared" si="1"/>
        <v>0</v>
      </c>
      <c r="AH20" s="18">
        <f t="shared" si="8"/>
        <v>0</v>
      </c>
      <c r="AI20" s="21">
        <f t="shared" si="9"/>
        <v>0</v>
      </c>
    </row>
    <row r="21" spans="1:35" ht="15.75" thickBot="1" x14ac:dyDescent="0.3">
      <c r="A21" s="1285"/>
      <c r="B21" s="1286"/>
      <c r="C21" s="1286"/>
      <c r="D21" s="1286"/>
      <c r="E21" s="1286"/>
      <c r="F21" s="1286"/>
      <c r="G21" s="718"/>
      <c r="H21" s="718"/>
      <c r="I21" s="718"/>
      <c r="J21" s="718"/>
      <c r="K21" s="718"/>
      <c r="L21" s="718"/>
      <c r="M21" s="718"/>
      <c r="N21" s="718"/>
      <c r="O21" s="718"/>
      <c r="P21" s="855">
        <f t="shared" si="2"/>
        <v>-90</v>
      </c>
      <c r="Q21" s="855"/>
      <c r="R21" s="718"/>
      <c r="S21" s="1269"/>
      <c r="T21" s="1313"/>
      <c r="U21" s="1313"/>
      <c r="V21" s="1313"/>
      <c r="W21" s="1313"/>
      <c r="X21" s="1313"/>
      <c r="AA21" s="17">
        <f t="shared" si="3"/>
        <v>0</v>
      </c>
      <c r="AB21" s="18">
        <f t="shared" si="4"/>
        <v>0</v>
      </c>
      <c r="AC21" s="19">
        <f t="shared" si="5"/>
        <v>0</v>
      </c>
      <c r="AD21" s="20">
        <f t="shared" si="0"/>
        <v>0</v>
      </c>
      <c r="AE21" s="18">
        <f t="shared" si="6"/>
        <v>0</v>
      </c>
      <c r="AF21" s="21">
        <f t="shared" si="7"/>
        <v>0</v>
      </c>
      <c r="AG21" s="20">
        <f t="shared" si="1"/>
        <v>0</v>
      </c>
      <c r="AH21" s="18">
        <f t="shared" si="8"/>
        <v>0</v>
      </c>
      <c r="AI21" s="21">
        <f t="shared" si="9"/>
        <v>0</v>
      </c>
    </row>
    <row r="22" spans="1:35" ht="15.75" thickBot="1" x14ac:dyDescent="0.3">
      <c r="A22" s="1285"/>
      <c r="B22" s="1286"/>
      <c r="C22" s="1286"/>
      <c r="D22" s="1286"/>
      <c r="E22" s="1286"/>
      <c r="F22" s="1286"/>
      <c r="G22" s="718"/>
      <c r="H22" s="718"/>
      <c r="I22" s="718"/>
      <c r="J22" s="718"/>
      <c r="K22" s="718"/>
      <c r="L22" s="718"/>
      <c r="M22" s="718"/>
      <c r="N22" s="718"/>
      <c r="O22" s="718"/>
      <c r="P22" s="855">
        <f t="shared" si="2"/>
        <v>-90</v>
      </c>
      <c r="Q22" s="855"/>
      <c r="R22" s="718"/>
      <c r="S22" s="1269"/>
      <c r="T22" s="1313"/>
      <c r="U22" s="1313"/>
      <c r="V22" s="1313"/>
      <c r="W22" s="1313"/>
      <c r="X22" s="1313"/>
      <c r="AA22" s="17">
        <f t="shared" si="3"/>
        <v>0</v>
      </c>
      <c r="AB22" s="18">
        <f t="shared" si="4"/>
        <v>0</v>
      </c>
      <c r="AC22" s="19">
        <f t="shared" si="5"/>
        <v>0</v>
      </c>
      <c r="AD22" s="20">
        <f t="shared" si="0"/>
        <v>0</v>
      </c>
      <c r="AE22" s="18">
        <f t="shared" si="6"/>
        <v>0</v>
      </c>
      <c r="AF22" s="21">
        <f t="shared" si="7"/>
        <v>0</v>
      </c>
      <c r="AG22" s="20">
        <f t="shared" si="1"/>
        <v>0</v>
      </c>
      <c r="AH22" s="18">
        <f t="shared" si="8"/>
        <v>0</v>
      </c>
      <c r="AI22" s="21">
        <f t="shared" si="9"/>
        <v>0</v>
      </c>
    </row>
    <row r="23" spans="1:35" ht="15.75" thickBot="1" x14ac:dyDescent="0.3">
      <c r="A23" s="1285"/>
      <c r="B23" s="1286"/>
      <c r="C23" s="1286"/>
      <c r="D23" s="1286"/>
      <c r="E23" s="1286"/>
      <c r="F23" s="1286"/>
      <c r="G23" s="718"/>
      <c r="H23" s="718"/>
      <c r="I23" s="718"/>
      <c r="J23" s="718"/>
      <c r="K23" s="718"/>
      <c r="L23" s="718"/>
      <c r="M23" s="718"/>
      <c r="N23" s="718"/>
      <c r="O23" s="718"/>
      <c r="P23" s="855">
        <f t="shared" si="2"/>
        <v>-90</v>
      </c>
      <c r="Q23" s="855"/>
      <c r="R23" s="718"/>
      <c r="S23" s="1269"/>
      <c r="T23" s="1313"/>
      <c r="U23" s="1313"/>
      <c r="V23" s="1313"/>
      <c r="W23" s="1313"/>
      <c r="X23" s="1313"/>
      <c r="Z23" s="241"/>
      <c r="AA23" s="17">
        <f t="shared" si="3"/>
        <v>0</v>
      </c>
      <c r="AB23" s="18">
        <f t="shared" si="4"/>
        <v>0</v>
      </c>
      <c r="AC23" s="19">
        <f t="shared" si="5"/>
        <v>0</v>
      </c>
      <c r="AD23" s="20">
        <f t="shared" si="0"/>
        <v>0</v>
      </c>
      <c r="AE23" s="18">
        <f t="shared" si="6"/>
        <v>0</v>
      </c>
      <c r="AF23" s="21">
        <f t="shared" si="7"/>
        <v>0</v>
      </c>
      <c r="AG23" s="20">
        <f t="shared" si="1"/>
        <v>0</v>
      </c>
      <c r="AH23" s="18">
        <f t="shared" si="8"/>
        <v>0</v>
      </c>
      <c r="AI23" s="21">
        <f t="shared" si="9"/>
        <v>0</v>
      </c>
    </row>
    <row r="24" spans="1:35" ht="15.75" thickBot="1" x14ac:dyDescent="0.3">
      <c r="A24" s="1285"/>
      <c r="B24" s="1286"/>
      <c r="C24" s="1286"/>
      <c r="D24" s="1286"/>
      <c r="E24" s="1286"/>
      <c r="F24" s="1286"/>
      <c r="G24" s="718"/>
      <c r="H24" s="718"/>
      <c r="I24" s="718"/>
      <c r="J24" s="718"/>
      <c r="K24" s="718"/>
      <c r="L24" s="718"/>
      <c r="M24" s="718"/>
      <c r="N24" s="718"/>
      <c r="O24" s="718"/>
      <c r="P24" s="855">
        <f t="shared" si="2"/>
        <v>-90</v>
      </c>
      <c r="Q24" s="855"/>
      <c r="R24" s="718"/>
      <c r="S24" s="1269"/>
      <c r="T24" s="1313"/>
      <c r="U24" s="1313"/>
      <c r="V24" s="1313"/>
      <c r="W24" s="1313"/>
      <c r="X24" s="1313"/>
      <c r="AA24" s="17">
        <f t="shared" si="3"/>
        <v>0</v>
      </c>
      <c r="AB24" s="18">
        <f t="shared" si="4"/>
        <v>0</v>
      </c>
      <c r="AC24" s="19">
        <f t="shared" si="5"/>
        <v>0</v>
      </c>
      <c r="AD24" s="20">
        <f t="shared" si="0"/>
        <v>0</v>
      </c>
      <c r="AE24" s="18">
        <f t="shared" si="6"/>
        <v>0</v>
      </c>
      <c r="AF24" s="21">
        <f t="shared" si="7"/>
        <v>0</v>
      </c>
      <c r="AG24" s="20">
        <f t="shared" si="1"/>
        <v>0</v>
      </c>
      <c r="AH24" s="18">
        <f t="shared" si="8"/>
        <v>0</v>
      </c>
      <c r="AI24" s="21">
        <f t="shared" si="9"/>
        <v>0</v>
      </c>
    </row>
    <row r="25" spans="1:35" ht="15.75" thickBot="1" x14ac:dyDescent="0.3">
      <c r="A25" s="1285"/>
      <c r="B25" s="1286"/>
      <c r="C25" s="1286"/>
      <c r="D25" s="1286"/>
      <c r="E25" s="1286"/>
      <c r="F25" s="1286"/>
      <c r="G25" s="718"/>
      <c r="H25" s="718"/>
      <c r="I25" s="718"/>
      <c r="J25" s="718"/>
      <c r="K25" s="718"/>
      <c r="L25" s="718"/>
      <c r="M25" s="718"/>
      <c r="N25" s="718"/>
      <c r="O25" s="718"/>
      <c r="P25" s="855">
        <f t="shared" si="2"/>
        <v>-90</v>
      </c>
      <c r="Q25" s="855"/>
      <c r="R25" s="718"/>
      <c r="S25" s="1269"/>
      <c r="T25" s="1313"/>
      <c r="U25" s="1313"/>
      <c r="V25" s="1313"/>
      <c r="W25" s="1313"/>
      <c r="X25" s="1313"/>
      <c r="AA25" s="17">
        <f t="shared" si="3"/>
        <v>0</v>
      </c>
      <c r="AB25" s="18">
        <f t="shared" si="4"/>
        <v>0</v>
      </c>
      <c r="AC25" s="19">
        <f t="shared" si="5"/>
        <v>0</v>
      </c>
      <c r="AD25" s="20">
        <f t="shared" si="0"/>
        <v>0</v>
      </c>
      <c r="AE25" s="18">
        <f t="shared" si="6"/>
        <v>0</v>
      </c>
      <c r="AF25" s="21">
        <f t="shared" si="7"/>
        <v>0</v>
      </c>
      <c r="AG25" s="20">
        <f t="shared" si="1"/>
        <v>0</v>
      </c>
      <c r="AH25" s="18">
        <f t="shared" si="8"/>
        <v>0</v>
      </c>
      <c r="AI25" s="21">
        <f t="shared" si="9"/>
        <v>0</v>
      </c>
    </row>
    <row r="26" spans="1:35" ht="15.75" thickBot="1" x14ac:dyDescent="0.3">
      <c r="A26" s="1285"/>
      <c r="B26" s="1286"/>
      <c r="C26" s="1286"/>
      <c r="D26" s="1286"/>
      <c r="E26" s="1286"/>
      <c r="F26" s="1286"/>
      <c r="G26" s="718"/>
      <c r="H26" s="718"/>
      <c r="I26" s="718"/>
      <c r="J26" s="718"/>
      <c r="K26" s="718"/>
      <c r="L26" s="718"/>
      <c r="M26" s="718"/>
      <c r="N26" s="718"/>
      <c r="O26" s="718"/>
      <c r="P26" s="855">
        <f t="shared" si="2"/>
        <v>-90</v>
      </c>
      <c r="Q26" s="855"/>
      <c r="R26" s="718"/>
      <c r="S26" s="1269"/>
      <c r="T26" s="1313"/>
      <c r="U26" s="1313"/>
      <c r="V26" s="1313"/>
      <c r="W26" s="1313"/>
      <c r="X26" s="1313"/>
      <c r="AA26" s="17">
        <f t="shared" si="3"/>
        <v>0</v>
      </c>
      <c r="AB26" s="18">
        <f t="shared" si="4"/>
        <v>0</v>
      </c>
      <c r="AC26" s="19">
        <f t="shared" si="5"/>
        <v>0</v>
      </c>
      <c r="AD26" s="20">
        <f t="shared" si="0"/>
        <v>0</v>
      </c>
      <c r="AE26" s="18">
        <f t="shared" si="6"/>
        <v>0</v>
      </c>
      <c r="AF26" s="21">
        <f t="shared" si="7"/>
        <v>0</v>
      </c>
      <c r="AG26" s="20">
        <f t="shared" si="1"/>
        <v>0</v>
      </c>
      <c r="AH26" s="18">
        <f t="shared" si="8"/>
        <v>0</v>
      </c>
      <c r="AI26" s="21">
        <f t="shared" si="9"/>
        <v>0</v>
      </c>
    </row>
    <row r="27" spans="1:35" ht="15.75" thickBot="1" x14ac:dyDescent="0.3">
      <c r="A27" s="1285"/>
      <c r="B27" s="1286"/>
      <c r="C27" s="1286"/>
      <c r="D27" s="1286"/>
      <c r="E27" s="1286"/>
      <c r="F27" s="1286"/>
      <c r="G27" s="718"/>
      <c r="H27" s="718"/>
      <c r="I27" s="718"/>
      <c r="J27" s="718"/>
      <c r="K27" s="718"/>
      <c r="L27" s="718"/>
      <c r="M27" s="718"/>
      <c r="N27" s="718"/>
      <c r="O27" s="718"/>
      <c r="P27" s="855">
        <f t="shared" si="2"/>
        <v>-90</v>
      </c>
      <c r="Q27" s="855"/>
      <c r="R27" s="718"/>
      <c r="S27" s="1269"/>
      <c r="T27" s="1313"/>
      <c r="U27" s="1313"/>
      <c r="V27" s="1313"/>
      <c r="W27" s="1313"/>
      <c r="X27" s="1313"/>
      <c r="AA27" s="17">
        <f>G27*N27</f>
        <v>0</v>
      </c>
      <c r="AB27" s="18">
        <f t="shared" si="4"/>
        <v>0</v>
      </c>
      <c r="AC27" s="19">
        <f t="shared" si="5"/>
        <v>0</v>
      </c>
      <c r="AD27" s="22">
        <f t="shared" si="0"/>
        <v>0</v>
      </c>
      <c r="AE27" s="18">
        <f t="shared" si="6"/>
        <v>0</v>
      </c>
      <c r="AF27" s="24">
        <f t="shared" si="7"/>
        <v>0</v>
      </c>
      <c r="AG27" s="22">
        <f t="shared" si="1"/>
        <v>0</v>
      </c>
      <c r="AH27" s="18">
        <f t="shared" si="8"/>
        <v>0</v>
      </c>
      <c r="AI27" s="24">
        <f t="shared" si="9"/>
        <v>0</v>
      </c>
    </row>
    <row r="28" spans="1:35" ht="15.75" customHeight="1" thickBot="1" x14ac:dyDescent="0.3">
      <c r="A28" s="1285"/>
      <c r="B28" s="1286"/>
      <c r="C28" s="1286"/>
      <c r="D28" s="1286"/>
      <c r="E28" s="1286"/>
      <c r="F28" s="1286"/>
      <c r="G28" s="718"/>
      <c r="H28" s="718"/>
      <c r="I28" s="718"/>
      <c r="J28" s="718"/>
      <c r="K28" s="718"/>
      <c r="L28" s="718"/>
      <c r="M28" s="718"/>
      <c r="N28" s="718"/>
      <c r="O28" s="718"/>
      <c r="P28" s="855">
        <f t="shared" si="2"/>
        <v>-90</v>
      </c>
      <c r="Q28" s="855"/>
      <c r="R28" s="718"/>
      <c r="S28" s="1269"/>
      <c r="T28" s="1313"/>
      <c r="U28" s="1313"/>
      <c r="V28" s="1313"/>
      <c r="W28" s="1313"/>
      <c r="X28" s="1313"/>
      <c r="AA28" s="229">
        <f>SUM(AA11:AA27)</f>
        <v>0</v>
      </c>
      <c r="AB28" s="229">
        <f t="shared" ref="AB28:AH28" si="10">SUM(AB11:AB27)</f>
        <v>0</v>
      </c>
      <c r="AC28" s="24">
        <f t="shared" ref="AC28" si="11">IMABS(COMPLEX(AA28,AB28,"i"))</f>
        <v>0</v>
      </c>
      <c r="AD28" s="229">
        <f t="shared" si="10"/>
        <v>0</v>
      </c>
      <c r="AE28" s="229">
        <f t="shared" si="10"/>
        <v>0</v>
      </c>
      <c r="AF28" s="24">
        <f t="shared" si="7"/>
        <v>0</v>
      </c>
      <c r="AG28" s="229">
        <f t="shared" si="10"/>
        <v>0</v>
      </c>
      <c r="AH28" s="229">
        <f t="shared" si="10"/>
        <v>0</v>
      </c>
      <c r="AI28" s="24">
        <f t="shared" si="9"/>
        <v>0</v>
      </c>
    </row>
    <row r="29" spans="1:35" ht="15.75" customHeight="1" thickBot="1" x14ac:dyDescent="0.3">
      <c r="A29" s="1307"/>
      <c r="B29" s="1308"/>
      <c r="C29" s="1308"/>
      <c r="D29" s="1308"/>
      <c r="E29" s="1308"/>
      <c r="F29" s="1308"/>
      <c r="G29" s="1077"/>
      <c r="H29" s="1077"/>
      <c r="I29" s="1077"/>
      <c r="J29" s="1077"/>
      <c r="K29" s="1077"/>
      <c r="L29" s="1077"/>
      <c r="M29" s="1077"/>
      <c r="N29" s="1270"/>
      <c r="O29" s="1270"/>
      <c r="P29" s="1026">
        <f t="shared" si="2"/>
        <v>-90</v>
      </c>
      <c r="Q29" s="1026"/>
      <c r="R29" s="1270"/>
      <c r="S29" s="1280"/>
      <c r="T29" s="1313"/>
      <c r="U29" s="1313"/>
      <c r="V29" s="1313"/>
      <c r="W29" s="1313"/>
      <c r="X29" s="1313"/>
      <c r="AA29" s="40"/>
      <c r="AB29" s="40"/>
      <c r="AC29" s="11"/>
      <c r="AD29" s="40"/>
      <c r="AE29" s="40"/>
      <c r="AF29" s="11"/>
      <c r="AG29" s="40"/>
      <c r="AH29" s="40"/>
      <c r="AI29" s="11"/>
    </row>
    <row r="30" spans="1:35" ht="8.25" customHeight="1" x14ac:dyDescent="0.25">
      <c r="A30" s="1079" t="s">
        <v>267</v>
      </c>
      <c r="B30" s="1080"/>
      <c r="C30" s="697"/>
      <c r="D30" s="697"/>
      <c r="E30" s="697"/>
      <c r="F30" s="697"/>
      <c r="G30" s="1297">
        <f>AC28</f>
        <v>0</v>
      </c>
      <c r="H30" s="1298"/>
      <c r="I30" s="1304">
        <f>AF28</f>
        <v>0</v>
      </c>
      <c r="J30" s="1297"/>
      <c r="K30" s="1298"/>
      <c r="L30" s="1304">
        <f>AI28</f>
        <v>0</v>
      </c>
      <c r="M30" s="1275"/>
      <c r="N30" s="374"/>
      <c r="O30" s="374"/>
      <c r="P30" s="374"/>
      <c r="Q30" s="374"/>
      <c r="R30" s="1274">
        <f>SUM(R11:R29)</f>
        <v>0</v>
      </c>
      <c r="S30" s="1275"/>
      <c r="T30" s="1313"/>
      <c r="U30" s="1313"/>
      <c r="V30" s="1313"/>
      <c r="W30" s="1313"/>
      <c r="X30" s="1313"/>
      <c r="AA30" s="40"/>
      <c r="AB30" s="40"/>
      <c r="AC30" s="11"/>
      <c r="AD30" s="40"/>
      <c r="AE30" s="40"/>
      <c r="AF30" s="11"/>
      <c r="AG30" s="40"/>
      <c r="AH30" s="40"/>
      <c r="AI30" s="11"/>
    </row>
    <row r="31" spans="1:35" ht="18.75" customHeight="1" x14ac:dyDescent="0.25">
      <c r="A31" s="1081"/>
      <c r="B31" s="1082"/>
      <c r="C31" s="1266" t="str">
        <f>K1</f>
        <v>-A10</v>
      </c>
      <c r="D31" s="1266"/>
      <c r="E31" s="1266"/>
      <c r="F31" s="1266"/>
      <c r="G31" s="1299"/>
      <c r="H31" s="1300"/>
      <c r="I31" s="1305"/>
      <c r="J31" s="1299"/>
      <c r="K31" s="1300"/>
      <c r="L31" s="1305"/>
      <c r="M31" s="1277"/>
      <c r="N31" s="376"/>
      <c r="O31" s="376"/>
      <c r="P31" s="376"/>
      <c r="Q31" s="376"/>
      <c r="R31" s="1276"/>
      <c r="S31" s="1277"/>
      <c r="T31" s="1313"/>
      <c r="U31" s="1313"/>
      <c r="V31" s="1313"/>
      <c r="W31" s="1313"/>
      <c r="X31" s="1313"/>
      <c r="AA31" s="328"/>
      <c r="AB31" s="328"/>
      <c r="AC31" s="328"/>
      <c r="AD31" s="40"/>
      <c r="AE31" s="40"/>
      <c r="AF31" s="11"/>
      <c r="AG31" s="40"/>
      <c r="AH31" s="40"/>
      <c r="AI31" s="11"/>
    </row>
    <row r="32" spans="1:35" ht="8.25" customHeight="1" thickBot="1" x14ac:dyDescent="0.3">
      <c r="A32" s="1005"/>
      <c r="B32" s="627"/>
      <c r="C32" s="1303"/>
      <c r="D32" s="1303"/>
      <c r="E32" s="1303"/>
      <c r="F32" s="1303"/>
      <c r="G32" s="1301"/>
      <c r="H32" s="1302"/>
      <c r="I32" s="1306"/>
      <c r="J32" s="1301"/>
      <c r="K32" s="1302"/>
      <c r="L32" s="1306"/>
      <c r="M32" s="1279"/>
      <c r="N32" s="376"/>
      <c r="O32" s="376"/>
      <c r="P32" s="376"/>
      <c r="Q32" s="376"/>
      <c r="R32" s="1278"/>
      <c r="S32" s="1279"/>
      <c r="T32" s="1313"/>
      <c r="U32" s="1313"/>
      <c r="V32" s="1313"/>
      <c r="W32" s="1313"/>
      <c r="X32" s="1313"/>
      <c r="Z32" s="328"/>
      <c r="AA32" s="330"/>
      <c r="AB32" s="330"/>
      <c r="AC32" s="330"/>
      <c r="AD32" s="40"/>
      <c r="AE32" s="40"/>
      <c r="AF32" s="11"/>
      <c r="AG32" s="40"/>
      <c r="AH32" s="40"/>
      <c r="AI32" s="11"/>
    </row>
    <row r="33" spans="1:35" ht="15" customHeight="1" x14ac:dyDescent="0.25">
      <c r="A33" s="1289"/>
      <c r="B33" s="1290"/>
      <c r="C33" s="1290"/>
      <c r="D33" s="1290"/>
      <c r="E33" s="1290"/>
      <c r="F33" s="1290"/>
      <c r="G33" s="505"/>
      <c r="H33" s="505"/>
      <c r="I33" s="505"/>
      <c r="J33" s="505"/>
      <c r="K33" s="505"/>
      <c r="L33" s="505"/>
      <c r="M33" s="505"/>
      <c r="N33" s="375"/>
      <c r="O33" s="376"/>
      <c r="P33" s="376"/>
      <c r="Q33" s="376"/>
      <c r="R33" s="517"/>
      <c r="S33" s="514"/>
      <c r="T33" s="1313"/>
      <c r="U33" s="1313"/>
      <c r="V33" s="1313"/>
      <c r="W33" s="1313"/>
      <c r="X33" s="1313"/>
      <c r="Z33" s="330" t="s">
        <v>269</v>
      </c>
      <c r="AA33" s="330"/>
      <c r="AB33" s="330"/>
      <c r="AC33" s="330"/>
      <c r="AD33" s="40"/>
      <c r="AE33" s="40"/>
      <c r="AF33" s="11"/>
      <c r="AG33" s="40"/>
      <c r="AH33" s="40"/>
      <c r="AI33" s="11"/>
    </row>
    <row r="34" spans="1:35" ht="15.75" thickBot="1" x14ac:dyDescent="0.3">
      <c r="A34" s="1287"/>
      <c r="B34" s="1288"/>
      <c r="C34" s="1288"/>
      <c r="D34" s="1288"/>
      <c r="E34" s="1288"/>
      <c r="F34" s="1288"/>
      <c r="G34" s="506"/>
      <c r="H34" s="506"/>
      <c r="I34" s="506"/>
      <c r="J34" s="506"/>
      <c r="K34" s="506"/>
      <c r="L34" s="506"/>
      <c r="M34" s="506"/>
      <c r="N34" s="377"/>
      <c r="O34" s="378"/>
      <c r="P34" s="378"/>
      <c r="Q34" s="378"/>
      <c r="R34" s="426"/>
      <c r="S34" s="515"/>
      <c r="T34" s="1313"/>
      <c r="U34" s="1313"/>
      <c r="V34" s="1313"/>
      <c r="W34" s="1313"/>
      <c r="X34" s="1313"/>
      <c r="Z34" s="330"/>
      <c r="AA34" s="330"/>
      <c r="AB34" s="330"/>
      <c r="AC34" s="330"/>
    </row>
    <row r="35" spans="1:35" s="340" customFormat="1" x14ac:dyDescent="0.25">
      <c r="A35" s="1000" t="s">
        <v>392</v>
      </c>
      <c r="B35" s="697"/>
      <c r="C35" s="697"/>
      <c r="D35" s="697"/>
      <c r="E35" s="697"/>
      <c r="F35" s="1265"/>
      <c r="G35" s="1075">
        <v>1</v>
      </c>
      <c r="H35" s="1076"/>
      <c r="I35" s="516"/>
      <c r="J35" s="516"/>
      <c r="K35" s="516"/>
      <c r="L35" s="509"/>
      <c r="M35" s="509"/>
      <c r="N35" s="512"/>
      <c r="O35" s="512"/>
      <c r="P35" s="512"/>
      <c r="Q35" s="512"/>
      <c r="R35" s="513"/>
      <c r="S35" s="514"/>
      <c r="T35" s="1313"/>
      <c r="U35" s="1313"/>
      <c r="V35" s="1313"/>
      <c r="W35" s="1313"/>
      <c r="X35" s="1313"/>
      <c r="Z35" s="337"/>
      <c r="AA35" s="337"/>
      <c r="AB35" s="337"/>
      <c r="AC35" s="337"/>
    </row>
    <row r="36" spans="1:35" ht="15.75" thickBot="1" x14ac:dyDescent="0.3">
      <c r="A36" s="1008" t="s">
        <v>393</v>
      </c>
      <c r="B36" s="1009"/>
      <c r="C36" s="1009"/>
      <c r="D36" s="1009"/>
      <c r="E36" s="1009"/>
      <c r="F36" s="1010"/>
      <c r="G36" s="1077">
        <v>1</v>
      </c>
      <c r="H36" s="1078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10"/>
      <c r="T36" s="1313"/>
      <c r="U36" s="1313"/>
      <c r="V36" s="1313"/>
      <c r="W36" s="1313"/>
      <c r="X36" s="1313"/>
      <c r="Z36" s="330"/>
      <c r="AA36" s="330"/>
      <c r="AB36" s="330"/>
      <c r="AC36" s="330"/>
    </row>
    <row r="37" spans="1:35" ht="18.75" thickBot="1" x14ac:dyDescent="0.4">
      <c r="A37" s="520" t="s">
        <v>397</v>
      </c>
      <c r="B37" s="507"/>
      <c r="C37" s="507"/>
      <c r="D37" s="507"/>
      <c r="E37" s="507"/>
      <c r="F37" s="507"/>
      <c r="G37" s="507"/>
      <c r="H37" s="507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21"/>
      <c r="T37" s="1313"/>
      <c r="U37" s="1313"/>
      <c r="V37" s="1313"/>
      <c r="W37" s="1313"/>
      <c r="X37" s="1313"/>
      <c r="Z37" s="330"/>
      <c r="AA37" s="330"/>
      <c r="AB37" s="330"/>
      <c r="AC37" s="330"/>
    </row>
    <row r="38" spans="1:35" x14ac:dyDescent="0.25">
      <c r="A38" s="1081" t="s">
        <v>267</v>
      </c>
      <c r="B38" s="1082"/>
      <c r="C38" s="505"/>
      <c r="D38" s="505"/>
      <c r="E38" s="505"/>
      <c r="F38" s="505"/>
      <c r="G38" s="1268" t="s">
        <v>241</v>
      </c>
      <c r="H38" s="942"/>
      <c r="I38" s="1268" t="s">
        <v>242</v>
      </c>
      <c r="J38" s="942"/>
      <c r="K38" s="1007"/>
      <c r="L38" s="1268" t="s">
        <v>243</v>
      </c>
      <c r="M38" s="1007"/>
      <c r="N38" s="505"/>
      <c r="O38" s="505"/>
      <c r="P38" s="505"/>
      <c r="Q38" s="505"/>
      <c r="R38" s="505"/>
      <c r="S38" s="518"/>
      <c r="T38" s="1313"/>
      <c r="U38" s="1313"/>
      <c r="V38" s="1313"/>
      <c r="W38" s="1313"/>
      <c r="X38" s="1313"/>
      <c r="Z38" s="330"/>
      <c r="AA38" s="330"/>
      <c r="AB38" s="330"/>
      <c r="AC38" s="330"/>
    </row>
    <row r="39" spans="1:35" s="504" customFormat="1" x14ac:dyDescent="0.25">
      <c r="A39" s="1081"/>
      <c r="B39" s="1082"/>
      <c r="C39" s="1266" t="str">
        <f>K1</f>
        <v>-A10</v>
      </c>
      <c r="D39" s="505"/>
      <c r="E39" s="505"/>
      <c r="F39" s="505"/>
      <c r="G39" s="999">
        <f>I46</f>
        <v>0</v>
      </c>
      <c r="H39" s="999"/>
      <c r="I39" s="999">
        <f>I50</f>
        <v>0</v>
      </c>
      <c r="J39" s="999"/>
      <c r="K39" s="999"/>
      <c r="L39" s="999">
        <f>I54</f>
        <v>0</v>
      </c>
      <c r="M39" s="999"/>
      <c r="N39" s="505"/>
      <c r="O39" s="505"/>
      <c r="P39" s="505"/>
      <c r="Q39" s="505"/>
      <c r="R39" s="505"/>
      <c r="S39" s="518"/>
      <c r="T39" s="1313"/>
      <c r="U39" s="1313"/>
      <c r="V39" s="1313"/>
      <c r="W39" s="1313"/>
      <c r="X39" s="1313"/>
      <c r="Z39" s="511"/>
      <c r="AA39" s="511"/>
      <c r="AB39" s="511"/>
      <c r="AC39" s="511"/>
    </row>
    <row r="40" spans="1:35" s="504" customFormat="1" ht="8.25" customHeight="1" x14ac:dyDescent="0.25">
      <c r="A40" s="508"/>
      <c r="B40" s="505"/>
      <c r="C40" s="1267"/>
      <c r="D40" s="505"/>
      <c r="E40" s="505"/>
      <c r="F40" s="505"/>
      <c r="G40" s="999"/>
      <c r="H40" s="999"/>
      <c r="I40" s="999"/>
      <c r="J40" s="999"/>
      <c r="K40" s="999"/>
      <c r="L40" s="999"/>
      <c r="M40" s="999"/>
      <c r="N40" s="505"/>
      <c r="O40" s="505"/>
      <c r="P40" s="505"/>
      <c r="Q40" s="505"/>
      <c r="R40" s="505"/>
      <c r="S40" s="518"/>
      <c r="T40" s="1313"/>
      <c r="U40" s="1313"/>
      <c r="V40" s="1313"/>
      <c r="W40" s="1313"/>
      <c r="X40" s="1313"/>
      <c r="Z40" s="511"/>
      <c r="AA40" s="511"/>
      <c r="AB40" s="511"/>
      <c r="AC40" s="511"/>
    </row>
    <row r="41" spans="1:35" s="504" customFormat="1" x14ac:dyDescent="0.25">
      <c r="A41" s="1263" t="s">
        <v>244</v>
      </c>
      <c r="B41" s="855"/>
      <c r="C41" s="855"/>
      <c r="D41" s="855"/>
      <c r="E41" s="855"/>
      <c r="F41" s="855"/>
      <c r="G41" s="1273" t="str">
        <f>(IF(AA28=0,"",DEGREES(ACOS(AA28/AC28))*-1))</f>
        <v/>
      </c>
      <c r="H41" s="1273"/>
      <c r="I41" s="1273" t="str">
        <f>(IF(AD28=0,"",DEGREES(ACOS(AD28/AF28))*-1))</f>
        <v/>
      </c>
      <c r="J41" s="1273"/>
      <c r="K41" s="1273"/>
      <c r="L41" s="1273" t="str">
        <f>(IF(AG28=0,"",DEGREES(ACOS(AG28/AI28))*-1))</f>
        <v/>
      </c>
      <c r="M41" s="1273"/>
      <c r="N41" s="505"/>
      <c r="O41" s="505"/>
      <c r="P41" s="505"/>
      <c r="Q41" s="505"/>
      <c r="R41" s="505"/>
      <c r="S41" s="518"/>
      <c r="T41" s="1313"/>
      <c r="U41" s="1313"/>
      <c r="V41" s="1313"/>
      <c r="W41" s="1313"/>
      <c r="X41" s="1313"/>
      <c r="Z41" s="511"/>
      <c r="AA41" s="511"/>
      <c r="AB41" s="511"/>
      <c r="AC41" s="511"/>
    </row>
    <row r="42" spans="1:35" s="504" customFormat="1" ht="15.75" thickBot="1" x14ac:dyDescent="0.3">
      <c r="A42" s="1264" t="s">
        <v>154</v>
      </c>
      <c r="B42" s="1026"/>
      <c r="C42" s="1026"/>
      <c r="D42" s="1026"/>
      <c r="E42" s="1026"/>
      <c r="F42" s="1026"/>
      <c r="G42" s="1057" t="str">
        <f>IF(G41="","",COS(RADIANS(G41)))</f>
        <v/>
      </c>
      <c r="H42" s="1057"/>
      <c r="I42" s="1057" t="str">
        <f>IF(I41="","",COS(RADIANS(I41)))</f>
        <v/>
      </c>
      <c r="J42" s="1057"/>
      <c r="K42" s="1057"/>
      <c r="L42" s="1057" t="str">
        <f>IF(L41="","",COS(RADIANS(L41)))</f>
        <v/>
      </c>
      <c r="M42" s="1057"/>
      <c r="N42" s="506"/>
      <c r="O42" s="506"/>
      <c r="P42" s="506"/>
      <c r="Q42" s="506"/>
      <c r="R42" s="506"/>
      <c r="S42" s="519"/>
      <c r="T42" s="1313"/>
      <c r="U42" s="1313"/>
      <c r="V42" s="1313"/>
      <c r="W42" s="1313"/>
      <c r="X42" s="1313"/>
      <c r="Z42" s="511"/>
      <c r="AA42" s="511"/>
      <c r="AB42" s="511"/>
      <c r="AC42" s="511"/>
    </row>
    <row r="43" spans="1:35" ht="8.25" hidden="1" customHeight="1" x14ac:dyDescent="0.25">
      <c r="A43" s="1079" t="s">
        <v>267</v>
      </c>
      <c r="B43" s="1080"/>
      <c r="C43" s="239"/>
      <c r="D43" s="1024" t="s">
        <v>241</v>
      </c>
      <c r="E43" s="1024"/>
      <c r="F43" s="1024" t="s">
        <v>248</v>
      </c>
      <c r="G43" s="1024"/>
      <c r="H43" s="1024" t="s">
        <v>249</v>
      </c>
      <c r="I43" s="1024" t="s">
        <v>250</v>
      </c>
      <c r="J43" s="1024"/>
      <c r="K43" s="1024"/>
      <c r="L43" s="1024"/>
      <c r="M43" s="1024" t="s">
        <v>244</v>
      </c>
      <c r="N43" s="1024"/>
      <c r="O43" s="1037"/>
      <c r="P43" s="261"/>
      <c r="Q43" s="261"/>
      <c r="T43" s="1313"/>
      <c r="U43" s="1313"/>
      <c r="V43" s="1313"/>
      <c r="W43" s="1313"/>
      <c r="X43" s="1313"/>
      <c r="Z43" s="330"/>
      <c r="AA43" s="330"/>
      <c r="AB43" s="330"/>
      <c r="AC43" s="330"/>
    </row>
    <row r="44" spans="1:35" ht="18.75" hidden="1" customHeight="1" x14ac:dyDescent="0.25">
      <c r="A44" s="1081"/>
      <c r="B44" s="1082"/>
      <c r="C44" s="1001" t="str">
        <f>K1</f>
        <v>-A10</v>
      </c>
      <c r="D44" s="1025"/>
      <c r="E44" s="1025"/>
      <c r="F44" s="1025"/>
      <c r="G44" s="1025"/>
      <c r="H44" s="1025"/>
      <c r="I44" s="1025"/>
      <c r="J44" s="1025"/>
      <c r="K44" s="1025"/>
      <c r="L44" s="1025"/>
      <c r="M44" s="1025"/>
      <c r="N44" s="1025"/>
      <c r="O44" s="1038"/>
      <c r="P44" s="261"/>
      <c r="Q44" s="261"/>
      <c r="T44" s="1313"/>
      <c r="U44" s="1313"/>
      <c r="V44" s="1313"/>
      <c r="W44" s="1313"/>
      <c r="X44" s="1313"/>
      <c r="Z44" s="330"/>
      <c r="AA44" s="330"/>
      <c r="AB44" s="330"/>
      <c r="AC44" s="330"/>
    </row>
    <row r="45" spans="1:35" ht="8.25" hidden="1" customHeight="1" x14ac:dyDescent="0.25">
      <c r="A45" s="236"/>
      <c r="B45" s="11"/>
      <c r="C45" s="1002"/>
      <c r="D45" s="1284"/>
      <c r="E45" s="1284"/>
      <c r="F45" s="1284"/>
      <c r="G45" s="1284"/>
      <c r="H45" s="1284"/>
      <c r="I45" s="1025"/>
      <c r="J45" s="1025"/>
      <c r="K45" s="1025"/>
      <c r="L45" s="1025"/>
      <c r="M45" s="1025"/>
      <c r="N45" s="1025"/>
      <c r="O45" s="1038"/>
      <c r="P45" s="261"/>
      <c r="Q45" s="261"/>
      <c r="T45" s="262"/>
      <c r="U45" s="262"/>
      <c r="V45" s="262"/>
      <c r="W45" s="262"/>
      <c r="X45" s="262"/>
      <c r="Z45" s="330"/>
      <c r="AA45" s="330"/>
      <c r="AB45" s="330"/>
      <c r="AC45" s="330"/>
    </row>
    <row r="46" spans="1:35" ht="15" hidden="1" customHeight="1" thickBot="1" x14ac:dyDescent="0.3">
      <c r="A46" s="1283">
        <f>G30</f>
        <v>0</v>
      </c>
      <c r="B46" s="1057"/>
      <c r="C46" s="1057"/>
      <c r="D46" s="1057"/>
      <c r="E46" s="1057"/>
      <c r="F46" s="1026">
        <f>G35</f>
        <v>1</v>
      </c>
      <c r="G46" s="1026"/>
      <c r="H46" s="23">
        <f>G36</f>
        <v>1</v>
      </c>
      <c r="I46" s="1114">
        <f>A46*F46*H46</f>
        <v>0</v>
      </c>
      <c r="J46" s="1114"/>
      <c r="K46" s="1114"/>
      <c r="L46" s="1114"/>
      <c r="M46" s="1039" t="str">
        <f>G41</f>
        <v/>
      </c>
      <c r="N46" s="1039"/>
      <c r="O46" s="1040"/>
      <c r="P46" s="261"/>
      <c r="Q46" s="261"/>
      <c r="T46" s="262"/>
      <c r="U46" s="262"/>
      <c r="V46" s="262"/>
      <c r="W46" s="262"/>
      <c r="X46" s="262"/>
    </row>
    <row r="47" spans="1:35" ht="8.25" hidden="1" customHeight="1" x14ac:dyDescent="0.25">
      <c r="A47" s="1292" t="s">
        <v>267</v>
      </c>
      <c r="B47" s="1293"/>
      <c r="C47" s="227"/>
      <c r="D47" s="1024" t="s">
        <v>242</v>
      </c>
      <c r="E47" s="1024"/>
      <c r="F47" s="1024" t="s">
        <v>248</v>
      </c>
      <c r="G47" s="1024"/>
      <c r="H47" s="1024" t="s">
        <v>249</v>
      </c>
      <c r="I47" s="1024" t="s">
        <v>250</v>
      </c>
      <c r="J47" s="1024"/>
      <c r="K47" s="1024"/>
      <c r="L47" s="1024"/>
      <c r="M47" s="1024" t="s">
        <v>244</v>
      </c>
      <c r="N47" s="1024"/>
      <c r="O47" s="1037"/>
      <c r="P47" s="261"/>
      <c r="Q47" s="261"/>
      <c r="T47" s="262"/>
      <c r="U47" s="262"/>
      <c r="V47" s="262"/>
      <c r="W47" s="262"/>
    </row>
    <row r="48" spans="1:35" ht="18.75" hidden="1" customHeight="1" x14ac:dyDescent="0.25">
      <c r="A48" s="1294"/>
      <c r="B48" s="1295"/>
      <c r="C48" s="1266" t="str">
        <f>K1</f>
        <v>-A10</v>
      </c>
      <c r="D48" s="1025"/>
      <c r="E48" s="1025"/>
      <c r="F48" s="1025"/>
      <c r="G48" s="1025"/>
      <c r="H48" s="1025"/>
      <c r="I48" s="1025"/>
      <c r="J48" s="1025"/>
      <c r="K48" s="1025"/>
      <c r="L48" s="1025"/>
      <c r="M48" s="1025"/>
      <c r="N48" s="1025"/>
      <c r="O48" s="1038"/>
      <c r="P48" s="261"/>
      <c r="Q48" s="261"/>
      <c r="T48" s="262"/>
      <c r="U48" s="262"/>
      <c r="V48" s="262"/>
      <c r="W48" s="262"/>
      <c r="X48" s="262"/>
    </row>
    <row r="49" spans="1:33" ht="8.25" hidden="1" customHeight="1" x14ac:dyDescent="0.25">
      <c r="A49" s="236"/>
      <c r="B49" s="11"/>
      <c r="C49" s="1296"/>
      <c r="D49" s="1025"/>
      <c r="E49" s="1025"/>
      <c r="F49" s="1025"/>
      <c r="G49" s="1025"/>
      <c r="H49" s="1025"/>
      <c r="I49" s="1025"/>
      <c r="J49" s="1025"/>
      <c r="K49" s="1025"/>
      <c r="L49" s="1025"/>
      <c r="M49" s="1025"/>
      <c r="N49" s="1025"/>
      <c r="O49" s="1038"/>
      <c r="P49" s="261"/>
      <c r="Q49" s="261"/>
      <c r="T49" s="262"/>
      <c r="U49" s="262"/>
      <c r="V49" s="262"/>
      <c r="W49" s="262"/>
      <c r="X49" s="262"/>
      <c r="Z49" s="330"/>
      <c r="AA49" s="330"/>
      <c r="AB49" s="330"/>
      <c r="AC49" s="330"/>
    </row>
    <row r="50" spans="1:33" ht="15" hidden="1" customHeight="1" thickBot="1" x14ac:dyDescent="0.3">
      <c r="A50" s="1283">
        <f>I30</f>
        <v>0</v>
      </c>
      <c r="B50" s="1057"/>
      <c r="C50" s="1057"/>
      <c r="D50" s="1057"/>
      <c r="E50" s="1057"/>
      <c r="F50" s="1026">
        <f>G35</f>
        <v>1</v>
      </c>
      <c r="G50" s="1026"/>
      <c r="H50" s="259">
        <f>G36</f>
        <v>1</v>
      </c>
      <c r="I50" s="1114">
        <f>A50*F50*H50</f>
        <v>0</v>
      </c>
      <c r="J50" s="1114"/>
      <c r="K50" s="1114"/>
      <c r="L50" s="1114"/>
      <c r="M50" s="1039" t="str">
        <f>I41</f>
        <v/>
      </c>
      <c r="N50" s="1039"/>
      <c r="O50" s="1040"/>
      <c r="P50" s="261"/>
      <c r="Q50" s="261"/>
      <c r="T50" s="262"/>
      <c r="U50" s="262"/>
      <c r="V50" s="262"/>
      <c r="W50" s="262"/>
      <c r="Z50" s="330"/>
      <c r="AA50" s="330"/>
      <c r="AB50" s="330"/>
      <c r="AC50" s="330"/>
    </row>
    <row r="51" spans="1:33" ht="8.25" hidden="1" customHeight="1" x14ac:dyDescent="0.25">
      <c r="A51" s="1079" t="s">
        <v>267</v>
      </c>
      <c r="B51" s="1080"/>
      <c r="C51" s="260"/>
      <c r="D51" s="1024" t="s">
        <v>243</v>
      </c>
      <c r="E51" s="1024"/>
      <c r="F51" s="1024" t="s">
        <v>248</v>
      </c>
      <c r="G51" s="1024"/>
      <c r="H51" s="1024" t="s">
        <v>249</v>
      </c>
      <c r="I51" s="1024" t="s">
        <v>250</v>
      </c>
      <c r="J51" s="1024"/>
      <c r="K51" s="1024"/>
      <c r="L51" s="1024"/>
      <c r="M51" s="1024" t="s">
        <v>244</v>
      </c>
      <c r="N51" s="1024"/>
      <c r="O51" s="1037"/>
      <c r="P51" s="261"/>
      <c r="Q51" s="261"/>
      <c r="T51" s="262"/>
      <c r="U51" s="262"/>
      <c r="V51" s="262"/>
      <c r="W51" s="262"/>
      <c r="Z51" s="330"/>
      <c r="AA51" s="262"/>
      <c r="AB51" s="262"/>
      <c r="AC51" s="262"/>
    </row>
    <row r="52" spans="1:33" ht="18.75" hidden="1" customHeight="1" x14ac:dyDescent="0.25">
      <c r="A52" s="1081"/>
      <c r="B52" s="1082"/>
      <c r="C52" s="1266" t="str">
        <f>K1</f>
        <v>-A10</v>
      </c>
      <c r="D52" s="1025"/>
      <c r="E52" s="1025"/>
      <c r="F52" s="1025"/>
      <c r="G52" s="1025"/>
      <c r="H52" s="1025"/>
      <c r="I52" s="1025"/>
      <c r="J52" s="1025"/>
      <c r="K52" s="1025"/>
      <c r="L52" s="1025"/>
      <c r="M52" s="1025"/>
      <c r="N52" s="1025"/>
      <c r="O52" s="1038"/>
      <c r="P52" s="261"/>
      <c r="Q52" s="261"/>
      <c r="T52" s="262"/>
      <c r="U52" s="262"/>
      <c r="V52" s="262"/>
      <c r="W52" s="262"/>
      <c r="X52" s="262"/>
      <c r="Z52" s="262"/>
      <c r="AA52" s="262"/>
      <c r="AB52" s="262"/>
      <c r="AC52" s="262"/>
    </row>
    <row r="53" spans="1:33" ht="8.25" hidden="1" customHeight="1" x14ac:dyDescent="0.25">
      <c r="A53" s="236"/>
      <c r="B53" s="11"/>
      <c r="C53" s="1296"/>
      <c r="D53" s="1025"/>
      <c r="E53" s="1025"/>
      <c r="F53" s="1025"/>
      <c r="G53" s="1025"/>
      <c r="H53" s="1025"/>
      <c r="I53" s="1025"/>
      <c r="J53" s="1025"/>
      <c r="K53" s="1025"/>
      <c r="L53" s="1025"/>
      <c r="M53" s="1025"/>
      <c r="N53" s="1025"/>
      <c r="O53" s="1038"/>
      <c r="P53" s="261"/>
      <c r="Q53" s="261"/>
      <c r="T53" s="262"/>
      <c r="U53" s="262"/>
      <c r="V53" s="262"/>
      <c r="W53" s="262"/>
      <c r="X53" s="262"/>
      <c r="Z53" s="262"/>
      <c r="AA53" s="262"/>
      <c r="AB53" s="262"/>
      <c r="AC53" s="262"/>
    </row>
    <row r="54" spans="1:33" ht="15.75" hidden="1" thickBot="1" x14ac:dyDescent="0.3">
      <c r="A54" s="1283">
        <f>L30</f>
        <v>0</v>
      </c>
      <c r="B54" s="1057"/>
      <c r="C54" s="1057"/>
      <c r="D54" s="1057"/>
      <c r="E54" s="1057"/>
      <c r="F54" s="1026">
        <f>G35</f>
        <v>1</v>
      </c>
      <c r="G54" s="1026"/>
      <c r="H54" s="23">
        <f>G36</f>
        <v>1</v>
      </c>
      <c r="I54" s="1114">
        <f>A54*F54*H54</f>
        <v>0</v>
      </c>
      <c r="J54" s="1114"/>
      <c r="K54" s="1114"/>
      <c r="L54" s="1114"/>
      <c r="M54" s="1039" t="str">
        <f>L41</f>
        <v/>
      </c>
      <c r="N54" s="1039"/>
      <c r="O54" s="1040"/>
      <c r="P54" s="261"/>
      <c r="Q54" s="261"/>
      <c r="T54" s="262"/>
      <c r="U54" s="262"/>
      <c r="V54" s="262"/>
      <c r="W54" s="262"/>
      <c r="X54" s="262"/>
      <c r="Z54" s="262"/>
    </row>
    <row r="55" spans="1:33" s="504" customFormat="1" x14ac:dyDescent="0.25">
      <c r="A55" s="371"/>
      <c r="B55" s="371"/>
      <c r="C55" s="371"/>
      <c r="D55" s="371"/>
      <c r="E55" s="371"/>
      <c r="F55" s="428"/>
      <c r="G55" s="428"/>
      <c r="H55" s="505"/>
      <c r="I55" s="383"/>
      <c r="J55" s="383"/>
      <c r="K55" s="383"/>
      <c r="L55" s="383"/>
      <c r="M55" s="384"/>
      <c r="N55" s="384"/>
      <c r="O55" s="384"/>
      <c r="P55" s="261"/>
      <c r="Q55" s="261"/>
      <c r="T55" s="262"/>
      <c r="U55" s="262"/>
      <c r="V55" s="262"/>
      <c r="W55" s="262"/>
      <c r="X55" s="262"/>
      <c r="Z55" s="262"/>
    </row>
    <row r="56" spans="1:33" s="504" customFormat="1" x14ac:dyDescent="0.25">
      <c r="A56" s="371"/>
      <c r="B56" s="371"/>
      <c r="C56" s="371"/>
      <c r="D56" s="371"/>
      <c r="E56" s="371"/>
      <c r="F56" s="428"/>
      <c r="G56" s="428"/>
      <c r="H56" s="505"/>
      <c r="I56" s="383"/>
      <c r="J56" s="383"/>
      <c r="K56" s="383"/>
      <c r="L56" s="383"/>
      <c r="M56" s="384"/>
      <c r="N56" s="384"/>
      <c r="O56" s="384"/>
      <c r="P56" s="261"/>
      <c r="Q56" s="261"/>
      <c r="T56" s="262"/>
      <c r="U56" s="262"/>
      <c r="V56" s="262"/>
      <c r="W56" s="262"/>
      <c r="X56" s="262"/>
      <c r="Z56" s="262"/>
    </row>
    <row r="57" spans="1:33" s="504" customFormat="1" ht="19.5" thickBot="1" x14ac:dyDescent="0.4">
      <c r="A57" s="1312" t="s">
        <v>398</v>
      </c>
      <c r="B57" s="1312"/>
      <c r="C57" s="1312"/>
      <c r="D57" s="1312"/>
      <c r="E57" s="1316" t="s">
        <v>104</v>
      </c>
      <c r="F57" s="428"/>
      <c r="G57" s="428"/>
      <c r="H57" s="505"/>
      <c r="I57" s="383"/>
      <c r="J57" s="383"/>
      <c r="K57" s="383"/>
      <c r="L57" s="383"/>
      <c r="M57" s="384"/>
      <c r="N57" s="384"/>
      <c r="O57" s="384"/>
      <c r="P57" s="261"/>
      <c r="Q57" s="261"/>
      <c r="T57" s="262"/>
      <c r="U57" s="262"/>
      <c r="V57" s="262"/>
      <c r="W57" s="262"/>
      <c r="X57" s="262"/>
      <c r="Z57" s="262"/>
    </row>
    <row r="58" spans="1:33" s="370" customFormat="1" ht="18.75" thickBot="1" x14ac:dyDescent="0.4">
      <c r="A58" s="1315" t="s">
        <v>399</v>
      </c>
      <c r="B58" s="1315"/>
      <c r="C58" s="1315"/>
      <c r="D58" s="1315"/>
      <c r="E58" s="1317"/>
      <c r="F58" s="369"/>
      <c r="G58" s="369"/>
      <c r="H58" s="11"/>
      <c r="I58" s="383"/>
      <c r="J58" s="383"/>
      <c r="K58" s="383"/>
      <c r="L58" s="383"/>
      <c r="M58" s="384"/>
      <c r="N58" s="384"/>
      <c r="O58" s="384"/>
      <c r="P58" s="261"/>
      <c r="Q58" s="261"/>
      <c r="T58" s="262"/>
      <c r="U58" s="262"/>
      <c r="V58" s="262"/>
      <c r="W58" s="262"/>
      <c r="X58" s="262"/>
      <c r="Z58" s="262"/>
    </row>
    <row r="59" spans="1:33" s="370" customFormat="1" x14ac:dyDescent="0.25">
      <c r="A59" s="1000" t="s">
        <v>251</v>
      </c>
      <c r="B59" s="697"/>
      <c r="C59" s="697"/>
      <c r="D59" s="697"/>
      <c r="E59" s="697"/>
      <c r="F59" s="697"/>
      <c r="G59" s="697"/>
      <c r="H59" s="697"/>
      <c r="I59" s="697"/>
      <c r="J59" s="697"/>
      <c r="K59" s="1061"/>
      <c r="L59" s="1281" t="s">
        <v>400</v>
      </c>
      <c r="M59" s="1282"/>
      <c r="N59" s="1282"/>
      <c r="O59" s="1282"/>
      <c r="P59" s="1282"/>
      <c r="Q59" s="1282"/>
      <c r="R59" s="1282"/>
      <c r="S59" s="1282"/>
      <c r="T59" s="262"/>
      <c r="U59" s="262"/>
      <c r="V59" s="262"/>
      <c r="W59" s="262"/>
      <c r="X59" s="262"/>
      <c r="Z59" s="262"/>
    </row>
    <row r="60" spans="1:33" s="370" customFormat="1" x14ac:dyDescent="0.25">
      <c r="A60" s="372"/>
      <c r="B60" s="855" t="s">
        <v>241</v>
      </c>
      <c r="C60" s="855"/>
      <c r="D60" s="855"/>
      <c r="E60" s="855" t="s">
        <v>242</v>
      </c>
      <c r="F60" s="855"/>
      <c r="G60" s="855"/>
      <c r="H60" s="855" t="s">
        <v>243</v>
      </c>
      <c r="I60" s="855"/>
      <c r="J60" s="855"/>
      <c r="K60" s="1272"/>
      <c r="L60" s="1281"/>
      <c r="M60" s="1282"/>
      <c r="N60" s="1282"/>
      <c r="O60" s="1282"/>
      <c r="P60" s="1282"/>
      <c r="Q60" s="1282"/>
      <c r="R60" s="1282"/>
      <c r="S60" s="1282"/>
      <c r="T60" s="262"/>
      <c r="U60" s="262"/>
      <c r="V60" s="262"/>
      <c r="W60" s="262"/>
      <c r="X60" s="262"/>
      <c r="Z60" s="262"/>
    </row>
    <row r="61" spans="1:33" s="370" customFormat="1" ht="15.75" thickBot="1" x14ac:dyDescent="0.3">
      <c r="A61" s="373"/>
      <c r="B61" s="1271" t="str">
        <f>IF(R30=0,"",$R$30/(3*I46))</f>
        <v/>
      </c>
      <c r="C61" s="1271"/>
      <c r="D61" s="1271"/>
      <c r="E61" s="1271" t="str">
        <f>IF(R30=0,"",$R$30/(3*I50))</f>
        <v/>
      </c>
      <c r="F61" s="1271"/>
      <c r="G61" s="1271"/>
      <c r="H61" s="1271" t="str">
        <f>IF(R30=0,"",$R$30/(3*I54))</f>
        <v/>
      </c>
      <c r="I61" s="1271"/>
      <c r="J61" s="1271"/>
      <c r="K61" s="1309"/>
      <c r="L61" s="1281"/>
      <c r="M61" s="1282"/>
      <c r="N61" s="1282"/>
      <c r="O61" s="1282"/>
      <c r="P61" s="1282"/>
      <c r="Q61" s="1282"/>
      <c r="R61" s="1282"/>
      <c r="S61" s="1282"/>
      <c r="T61" s="262"/>
      <c r="U61" s="262"/>
      <c r="V61" s="262"/>
      <c r="W61" s="262"/>
      <c r="X61" s="262"/>
      <c r="Z61" s="262"/>
    </row>
    <row r="62" spans="1:33" x14ac:dyDescent="0.25">
      <c r="B62" s="11"/>
      <c r="C62" s="11"/>
      <c r="D62" s="11"/>
      <c r="E62" s="11"/>
      <c r="F62" s="11"/>
      <c r="G62" s="11"/>
      <c r="H62" s="11"/>
    </row>
    <row r="63" spans="1:33" x14ac:dyDescent="0.25">
      <c r="A63" s="11" t="s">
        <v>319</v>
      </c>
      <c r="B63" s="11"/>
      <c r="C63" s="11"/>
      <c r="D63" s="11"/>
      <c r="E63" s="11"/>
      <c r="F63" s="11"/>
      <c r="G63" s="11"/>
      <c r="H63" s="11"/>
    </row>
    <row r="64" spans="1:33" x14ac:dyDescent="0.25">
      <c r="A64" s="11"/>
      <c r="B64" s="11"/>
      <c r="C64" s="11"/>
      <c r="D64" s="11"/>
      <c r="E64" s="11"/>
      <c r="F64" s="11"/>
      <c r="G64" s="11"/>
      <c r="H64" s="11"/>
      <c r="AA64" s="11"/>
      <c r="AB64" s="11"/>
      <c r="AC64" s="11"/>
      <c r="AD64" s="11"/>
      <c r="AE64" s="11"/>
      <c r="AF64" s="11"/>
      <c r="AG64" s="11"/>
    </row>
    <row r="65" spans="1:33" ht="15.75" thickBot="1" x14ac:dyDescent="0.3">
      <c r="A65" s="11"/>
      <c r="B65" s="11"/>
      <c r="C65" s="11"/>
      <c r="D65" s="11"/>
      <c r="E65" s="11"/>
      <c r="F65" s="11"/>
      <c r="G65" s="11"/>
      <c r="H65" s="11"/>
      <c r="Z65" s="11"/>
    </row>
    <row r="66" spans="1:33" ht="15.75" thickBot="1" x14ac:dyDescent="0.3">
      <c r="A66" s="1116" t="s">
        <v>253</v>
      </c>
      <c r="B66" s="1012"/>
      <c r="C66" s="91"/>
      <c r="D66" s="91"/>
      <c r="E66" s="91"/>
      <c r="F66" s="91"/>
      <c r="G66" s="91"/>
      <c r="H66" s="91" t="s">
        <v>320</v>
      </c>
      <c r="I66" s="1012" t="s">
        <v>257</v>
      </c>
      <c r="J66" s="1012"/>
      <c r="K66" s="1310">
        <v>400</v>
      </c>
      <c r="L66" s="1311"/>
      <c r="M66" s="327" t="s">
        <v>337</v>
      </c>
      <c r="N66" s="327"/>
      <c r="O66" s="325"/>
      <c r="P66" s="325"/>
      <c r="Q66" s="325"/>
    </row>
    <row r="67" spans="1:33" x14ac:dyDescent="0.25">
      <c r="A67" s="226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8"/>
      <c r="M67" s="11"/>
      <c r="N67" s="11"/>
    </row>
    <row r="68" spans="1:33" ht="12" customHeight="1" thickBot="1" x14ac:dyDescent="0.3">
      <c r="A68" s="1089" t="s">
        <v>254</v>
      </c>
      <c r="B68" s="623"/>
      <c r="C68" s="653" t="str">
        <f>A66</f>
        <v>P</v>
      </c>
      <c r="D68" s="653"/>
      <c r="E68" s="653"/>
      <c r="F68" s="653"/>
      <c r="G68" s="653"/>
      <c r="H68" s="11"/>
      <c r="I68" s="11"/>
      <c r="J68" s="11"/>
      <c r="K68" s="11"/>
      <c r="L68" s="319"/>
      <c r="M68" s="11"/>
      <c r="N68" s="11"/>
    </row>
    <row r="69" spans="1:33" x14ac:dyDescent="0.25">
      <c r="A69" s="1089"/>
      <c r="B69" s="623"/>
      <c r="C69" s="322" t="str">
        <f>IF(I66=$Z$16,$Z$14,IF(I66=$Z$15,"",))</f>
        <v>√3 *</v>
      </c>
      <c r="D69" s="320" t="s">
        <v>258</v>
      </c>
      <c r="E69" s="155" t="str">
        <f>IF(A66="P","* cosϕ",IF(A66="S","",))</f>
        <v>* cosϕ</v>
      </c>
      <c r="F69" s="155"/>
      <c r="G69" s="11"/>
      <c r="H69" s="11"/>
      <c r="I69" s="11"/>
      <c r="J69" s="11"/>
      <c r="K69" s="11"/>
      <c r="L69" s="319"/>
      <c r="M69" s="11"/>
      <c r="N69" s="11"/>
    </row>
    <row r="70" spans="1:33" x14ac:dyDescent="0.25">
      <c r="A70" s="23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319"/>
      <c r="M70" s="11"/>
      <c r="N70" s="11"/>
      <c r="AA70" s="11"/>
      <c r="AB70" s="11"/>
      <c r="AC70" s="11"/>
      <c r="AD70" s="11"/>
      <c r="AE70" s="11"/>
      <c r="AF70" s="11"/>
      <c r="AG70" s="11"/>
    </row>
    <row r="71" spans="1:33" ht="15.75" thickBot="1" x14ac:dyDescent="0.3">
      <c r="A71" s="1089" t="s">
        <v>254</v>
      </c>
      <c r="B71" s="623"/>
      <c r="C71" s="1091">
        <v>12500</v>
      </c>
      <c r="D71" s="1091"/>
      <c r="E71" s="1091"/>
      <c r="F71" s="1091"/>
      <c r="G71" s="1091"/>
      <c r="H71" s="623" t="s">
        <v>104</v>
      </c>
      <c r="I71" s="1069">
        <f>IF(AND(A66=$Z$17,I66=$Z$16),C71/(SQRT(3)*D72*F72))+IF(AND(A66=$Z$18,I66=$Z$16),C71/(SQRT(3)*D72))+IF(AND(A66=$Z$17,I66=$Z$15),C71/(D72*F72))+IF(AND(A66=$Z$18,I66=$Z$15),C71/D72)</f>
        <v>25.774565588822579</v>
      </c>
      <c r="J71" s="1069"/>
      <c r="K71" s="1069"/>
      <c r="L71" s="1070"/>
      <c r="M71" s="11"/>
      <c r="N71" s="11"/>
      <c r="Z71" s="11"/>
      <c r="AA71" s="11"/>
      <c r="AB71" s="11"/>
      <c r="AC71" s="11"/>
      <c r="AD71" s="11"/>
      <c r="AE71" s="11"/>
      <c r="AF71" s="11"/>
      <c r="AG71" s="11"/>
    </row>
    <row r="72" spans="1:33" ht="15.75" thickBot="1" x14ac:dyDescent="0.3">
      <c r="A72" s="878"/>
      <c r="B72" s="879"/>
      <c r="C72" s="12" t="str">
        <f>IF($I$66=$Z$16,$Z$14,IF($I$66=$Z$15,"",))</f>
        <v>√3 *</v>
      </c>
      <c r="D72" s="1314">
        <f>K66</f>
        <v>400</v>
      </c>
      <c r="E72" s="1314"/>
      <c r="F72" s="1090">
        <v>0.7</v>
      </c>
      <c r="G72" s="1090"/>
      <c r="H72" s="879"/>
      <c r="I72" s="1071"/>
      <c r="J72" s="1071"/>
      <c r="K72" s="1071"/>
      <c r="L72" s="1072"/>
      <c r="M72" s="11"/>
      <c r="N72" s="11"/>
      <c r="Z72" s="11"/>
    </row>
    <row r="75" spans="1:33" ht="12" customHeight="1" thickBot="1" x14ac:dyDescent="0.3"/>
    <row r="76" spans="1:33" ht="15.75" thickBot="1" x14ac:dyDescent="0.3">
      <c r="A76" s="1116" t="s">
        <v>253</v>
      </c>
      <c r="B76" s="1012"/>
      <c r="C76" s="91"/>
      <c r="D76" s="91"/>
      <c r="E76" s="91"/>
      <c r="F76" s="91"/>
      <c r="G76" s="91"/>
      <c r="H76" s="91" t="s">
        <v>320</v>
      </c>
      <c r="I76" s="1012" t="s">
        <v>257</v>
      </c>
      <c r="J76" s="1012"/>
      <c r="K76" s="1310">
        <v>400</v>
      </c>
      <c r="L76" s="1311"/>
      <c r="M76" s="327" t="s">
        <v>337</v>
      </c>
      <c r="N76" s="327"/>
      <c r="O76" s="325"/>
      <c r="P76" s="325"/>
      <c r="Q76" s="325"/>
    </row>
    <row r="77" spans="1:33" x14ac:dyDescent="0.25">
      <c r="A77" s="226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8"/>
      <c r="M77" s="11"/>
      <c r="N77" s="11"/>
    </row>
    <row r="78" spans="1:33" ht="12" customHeight="1" thickBot="1" x14ac:dyDescent="0.3">
      <c r="A78" s="1089" t="s">
        <v>254</v>
      </c>
      <c r="B78" s="623"/>
      <c r="C78" s="653" t="str">
        <f>A76</f>
        <v>P</v>
      </c>
      <c r="D78" s="653"/>
      <c r="E78" s="653"/>
      <c r="F78" s="653"/>
      <c r="G78" s="653"/>
      <c r="H78" s="11"/>
      <c r="I78" s="11"/>
      <c r="J78" s="11"/>
      <c r="K78" s="11"/>
      <c r="L78" s="329"/>
      <c r="M78" s="11"/>
      <c r="N78" s="11"/>
    </row>
    <row r="79" spans="1:33" x14ac:dyDescent="0.25">
      <c r="A79" s="1089"/>
      <c r="B79" s="623"/>
      <c r="C79" s="333" t="str">
        <f>IF(I76=$Z$16,$Z$14,IF(I76=$Z$15,"",))</f>
        <v>√3 *</v>
      </c>
      <c r="D79" s="331" t="s">
        <v>258</v>
      </c>
      <c r="E79" s="155" t="str">
        <f>IF(A76="P","* cosϕ",IF(A76="S","",))</f>
        <v>* cosϕ</v>
      </c>
      <c r="F79" s="155"/>
      <c r="G79" s="11"/>
      <c r="H79" s="11"/>
      <c r="I79" s="11"/>
      <c r="J79" s="11"/>
      <c r="K79" s="11"/>
      <c r="L79" s="329"/>
      <c r="M79" s="11"/>
      <c r="N79" s="11"/>
    </row>
    <row r="80" spans="1:33" x14ac:dyDescent="0.25">
      <c r="A80" s="23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329"/>
      <c r="M80" s="11"/>
      <c r="N80" s="11"/>
    </row>
    <row r="81" spans="1:17" ht="15.75" thickBot="1" x14ac:dyDescent="0.3">
      <c r="A81" s="1089" t="s">
        <v>254</v>
      </c>
      <c r="B81" s="623"/>
      <c r="C81" s="1091">
        <v>6200</v>
      </c>
      <c r="D81" s="1091"/>
      <c r="E81" s="1091"/>
      <c r="F81" s="1091"/>
      <c r="G81" s="1091"/>
      <c r="H81" s="623" t="s">
        <v>104</v>
      </c>
      <c r="I81" s="1069">
        <f>IF(AND(A76=$Z$17,I76=$Z$16),C81/(SQRT(3)*D82*F82))+IF(AND(A76=$Z$18,I76=$Z$16),C81/(SQRT(3)*D82))+IF(AND(A76=$Z$17,I76=$Z$15),C81/(D82*F82))+IF(AND(A76=$Z$18,I76=$Z$15),C81/D82)</f>
        <v>8.9489291724392004</v>
      </c>
      <c r="J81" s="1069"/>
      <c r="K81" s="1069"/>
      <c r="L81" s="1070"/>
      <c r="M81" s="11"/>
      <c r="N81" s="11"/>
    </row>
    <row r="82" spans="1:17" ht="15.75" thickBot="1" x14ac:dyDescent="0.3">
      <c r="A82" s="878"/>
      <c r="B82" s="879"/>
      <c r="C82" s="12" t="str">
        <f>IF($I$76=$Z$16,$Z$14,IF($I$76=$Z$15,"",))</f>
        <v>√3 *</v>
      </c>
      <c r="D82" s="1314">
        <f>K76</f>
        <v>400</v>
      </c>
      <c r="E82" s="1314"/>
      <c r="F82" s="1090">
        <v>1</v>
      </c>
      <c r="G82" s="1090"/>
      <c r="H82" s="879"/>
      <c r="I82" s="1071"/>
      <c r="J82" s="1071"/>
      <c r="K82" s="1071"/>
      <c r="L82" s="1072"/>
      <c r="M82" s="11"/>
      <c r="N82" s="11"/>
    </row>
    <row r="85" spans="1:17" ht="12" customHeight="1" thickBot="1" x14ac:dyDescent="0.3"/>
    <row r="86" spans="1:17" ht="15.75" thickBot="1" x14ac:dyDescent="0.3">
      <c r="A86" s="1116" t="s">
        <v>253</v>
      </c>
      <c r="B86" s="1012"/>
      <c r="C86" s="91"/>
      <c r="D86" s="91"/>
      <c r="E86" s="91"/>
      <c r="F86" s="91"/>
      <c r="G86" s="91"/>
      <c r="H86" s="91" t="s">
        <v>320</v>
      </c>
      <c r="I86" s="1012" t="s">
        <v>257</v>
      </c>
      <c r="J86" s="1012"/>
      <c r="K86" s="1310">
        <v>400</v>
      </c>
      <c r="L86" s="1311"/>
      <c r="M86" s="327" t="s">
        <v>337</v>
      </c>
      <c r="N86" s="327"/>
      <c r="O86" s="325"/>
      <c r="P86" s="325"/>
      <c r="Q86" s="325"/>
    </row>
    <row r="87" spans="1:17" x14ac:dyDescent="0.25">
      <c r="A87" s="226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8"/>
      <c r="M87" s="11"/>
      <c r="N87" s="11"/>
    </row>
    <row r="88" spans="1:17" ht="12" customHeight="1" thickBot="1" x14ac:dyDescent="0.3">
      <c r="A88" s="1089" t="s">
        <v>254</v>
      </c>
      <c r="B88" s="623"/>
      <c r="C88" s="653" t="str">
        <f>A86</f>
        <v>P</v>
      </c>
      <c r="D88" s="653"/>
      <c r="E88" s="653"/>
      <c r="F88" s="653"/>
      <c r="G88" s="653"/>
      <c r="H88" s="11"/>
      <c r="I88" s="11"/>
      <c r="J88" s="11"/>
      <c r="K88" s="11"/>
      <c r="L88" s="329"/>
      <c r="M88" s="11"/>
      <c r="N88" s="11"/>
    </row>
    <row r="89" spans="1:17" x14ac:dyDescent="0.25">
      <c r="A89" s="1089"/>
      <c r="B89" s="623"/>
      <c r="C89" s="333" t="str">
        <f>IF(I86=$Z$16,$Z$14,IF(I86=$Z$15,"",))</f>
        <v>√3 *</v>
      </c>
      <c r="D89" s="331" t="s">
        <v>258</v>
      </c>
      <c r="E89" s="155" t="str">
        <f>IF(A86="P","* cosϕ",IF(A86="S","",))</f>
        <v>* cosϕ</v>
      </c>
      <c r="F89" s="155"/>
      <c r="G89" s="11"/>
      <c r="H89" s="11"/>
      <c r="I89" s="11"/>
      <c r="J89" s="11"/>
      <c r="K89" s="11"/>
      <c r="L89" s="329"/>
      <c r="M89" s="11"/>
      <c r="N89" s="11"/>
    </row>
    <row r="90" spans="1:17" x14ac:dyDescent="0.25">
      <c r="A90" s="23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329"/>
      <c r="M90" s="11"/>
      <c r="N90" s="11"/>
    </row>
    <row r="91" spans="1:17" ht="15.75" thickBot="1" x14ac:dyDescent="0.3">
      <c r="A91" s="1089" t="s">
        <v>254</v>
      </c>
      <c r="B91" s="623"/>
      <c r="C91" s="1091">
        <v>6200</v>
      </c>
      <c r="D91" s="1091"/>
      <c r="E91" s="1091"/>
      <c r="F91" s="1091"/>
      <c r="G91" s="1091"/>
      <c r="H91" s="623" t="s">
        <v>104</v>
      </c>
      <c r="I91" s="1069">
        <f>IF(AND(A86=$Z$17,I86=$Z$16),C91/(SQRT(3)*D92*F92))+IF(AND(A86=$Z$18,I86=$Z$16),C91/(SQRT(3)*D92))+IF(AND(A86=$Z$17,I86=$Z$15),C91/(D92*F92))+IF(AND(A86=$Z$18,I86=$Z$15),C91/D92)</f>
        <v>8.9489291724392004</v>
      </c>
      <c r="J91" s="1069"/>
      <c r="K91" s="1069"/>
      <c r="L91" s="1070"/>
      <c r="M91" s="11"/>
      <c r="N91" s="11"/>
    </row>
    <row r="92" spans="1:17" ht="15.75" thickBot="1" x14ac:dyDescent="0.3">
      <c r="A92" s="878"/>
      <c r="B92" s="879"/>
      <c r="C92" s="12" t="str">
        <f>IF(I86=$Z$16,$Z$14,IF(I86=$Z$15,"",))</f>
        <v>√3 *</v>
      </c>
      <c r="D92" s="1314">
        <f>K86</f>
        <v>400</v>
      </c>
      <c r="E92" s="1314"/>
      <c r="F92" s="1090">
        <v>1</v>
      </c>
      <c r="G92" s="1090"/>
      <c r="H92" s="879"/>
      <c r="I92" s="1071"/>
      <c r="J92" s="1071"/>
      <c r="K92" s="1071"/>
      <c r="L92" s="1072"/>
      <c r="M92" s="11"/>
      <c r="N92" s="11"/>
    </row>
    <row r="95" spans="1:17" ht="12" customHeight="1" thickBot="1" x14ac:dyDescent="0.3"/>
    <row r="96" spans="1:17" ht="15.75" thickBot="1" x14ac:dyDescent="0.3">
      <c r="A96" s="1116" t="s">
        <v>253</v>
      </c>
      <c r="B96" s="1012"/>
      <c r="C96" s="91"/>
      <c r="D96" s="91"/>
      <c r="E96" s="91"/>
      <c r="F96" s="91"/>
      <c r="G96" s="91"/>
      <c r="H96" s="91" t="s">
        <v>320</v>
      </c>
      <c r="I96" s="1012" t="s">
        <v>257</v>
      </c>
      <c r="J96" s="1012"/>
      <c r="K96" s="1310">
        <v>400</v>
      </c>
      <c r="L96" s="1311"/>
      <c r="M96" s="327" t="s">
        <v>337</v>
      </c>
      <c r="N96" s="327"/>
      <c r="O96" s="325"/>
      <c r="P96" s="325"/>
      <c r="Q96" s="325"/>
    </row>
    <row r="97" spans="1:17" x14ac:dyDescent="0.25">
      <c r="A97" s="226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8"/>
      <c r="M97" s="11"/>
      <c r="N97" s="11"/>
    </row>
    <row r="98" spans="1:17" ht="12" customHeight="1" thickBot="1" x14ac:dyDescent="0.3">
      <c r="A98" s="1089" t="s">
        <v>254</v>
      </c>
      <c r="B98" s="623"/>
      <c r="C98" s="653" t="str">
        <f>A96</f>
        <v>P</v>
      </c>
      <c r="D98" s="653"/>
      <c r="E98" s="653"/>
      <c r="F98" s="653"/>
      <c r="G98" s="653"/>
      <c r="H98" s="11"/>
      <c r="I98" s="11"/>
      <c r="J98" s="11"/>
      <c r="K98" s="11"/>
      <c r="L98" s="329"/>
      <c r="M98" s="11"/>
      <c r="N98" s="11"/>
    </row>
    <row r="99" spans="1:17" x14ac:dyDescent="0.25">
      <c r="A99" s="1089"/>
      <c r="B99" s="623"/>
      <c r="C99" s="333" t="str">
        <f>IF(I96=$Z$16,$Z$14,IF(I96=$Z$15,"",))</f>
        <v>√3 *</v>
      </c>
      <c r="D99" s="331" t="s">
        <v>258</v>
      </c>
      <c r="E99" s="155" t="str">
        <f>IF(A96="P","* cosϕ",IF(A96="S","",))</f>
        <v>* cosϕ</v>
      </c>
      <c r="F99" s="155"/>
      <c r="G99" s="11"/>
      <c r="H99" s="11"/>
      <c r="I99" s="11"/>
      <c r="J99" s="11"/>
      <c r="K99" s="11"/>
      <c r="L99" s="329"/>
      <c r="M99" s="11"/>
      <c r="N99" s="11"/>
    </row>
    <row r="100" spans="1:17" x14ac:dyDescent="0.25">
      <c r="A100" s="23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329"/>
      <c r="M100" s="11"/>
      <c r="N100" s="11"/>
    </row>
    <row r="101" spans="1:17" ht="15.75" thickBot="1" x14ac:dyDescent="0.3">
      <c r="A101" s="1089" t="s">
        <v>254</v>
      </c>
      <c r="B101" s="623"/>
      <c r="C101" s="1091">
        <v>6200</v>
      </c>
      <c r="D101" s="1091"/>
      <c r="E101" s="1091"/>
      <c r="F101" s="1091"/>
      <c r="G101" s="1091"/>
      <c r="H101" s="623" t="s">
        <v>104</v>
      </c>
      <c r="I101" s="1069">
        <f>IF(AND(A96=$Z$17,I96=$Z$16),C101/(SQRT(3)*D102*F102))+IF(AND(A96=$Z$18,I96=$Z$16),C101/(SQRT(3)*D102))+IF(AND(A96=$Z$17,I96=$Z$15),C101/(D102*F102))+IF(AND(A96=$Z$18,I96=$Z$15),C101/D102)</f>
        <v>8.9489291724392004</v>
      </c>
      <c r="J101" s="1069"/>
      <c r="K101" s="1069"/>
      <c r="L101" s="1070"/>
      <c r="M101" s="11"/>
      <c r="N101" s="11"/>
    </row>
    <row r="102" spans="1:17" ht="15.75" thickBot="1" x14ac:dyDescent="0.3">
      <c r="A102" s="878"/>
      <c r="B102" s="879"/>
      <c r="C102" s="12" t="str">
        <f>IF(I96=$Z$16,$Z$14,IF(I96=$Z$15,"",))</f>
        <v>√3 *</v>
      </c>
      <c r="D102" s="1314">
        <f>K96</f>
        <v>400</v>
      </c>
      <c r="E102" s="1314"/>
      <c r="F102" s="1090">
        <v>1</v>
      </c>
      <c r="G102" s="1090"/>
      <c r="H102" s="879"/>
      <c r="I102" s="1071"/>
      <c r="J102" s="1071"/>
      <c r="K102" s="1071"/>
      <c r="L102" s="1072"/>
      <c r="M102" s="11"/>
      <c r="N102" s="11"/>
    </row>
    <row r="105" spans="1:17" ht="12" customHeight="1" thickBot="1" x14ac:dyDescent="0.3"/>
    <row r="106" spans="1:17" ht="15.75" thickBot="1" x14ac:dyDescent="0.3">
      <c r="A106" s="1116" t="s">
        <v>253</v>
      </c>
      <c r="B106" s="1012"/>
      <c r="C106" s="91"/>
      <c r="D106" s="91"/>
      <c r="E106" s="91"/>
      <c r="F106" s="91"/>
      <c r="G106" s="91"/>
      <c r="H106" s="91" t="s">
        <v>320</v>
      </c>
      <c r="I106" s="1012" t="s">
        <v>257</v>
      </c>
      <c r="J106" s="1012"/>
      <c r="K106" s="1310">
        <v>400</v>
      </c>
      <c r="L106" s="1311"/>
      <c r="M106" s="327" t="s">
        <v>337</v>
      </c>
      <c r="N106" s="327"/>
      <c r="O106" s="325"/>
      <c r="P106" s="325"/>
      <c r="Q106" s="325"/>
    </row>
    <row r="107" spans="1:17" x14ac:dyDescent="0.25">
      <c r="A107" s="226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8"/>
      <c r="M107" s="11"/>
      <c r="N107" s="11"/>
    </row>
    <row r="108" spans="1:17" ht="12" customHeight="1" thickBot="1" x14ac:dyDescent="0.3">
      <c r="A108" s="1089" t="s">
        <v>254</v>
      </c>
      <c r="B108" s="623"/>
      <c r="C108" s="653" t="str">
        <f>A106</f>
        <v>P</v>
      </c>
      <c r="D108" s="653"/>
      <c r="E108" s="653"/>
      <c r="F108" s="653"/>
      <c r="G108" s="653"/>
      <c r="H108" s="11"/>
      <c r="I108" s="11"/>
      <c r="J108" s="11"/>
      <c r="K108" s="11"/>
      <c r="L108" s="329"/>
      <c r="M108" s="11"/>
      <c r="N108" s="11"/>
    </row>
    <row r="109" spans="1:17" x14ac:dyDescent="0.25">
      <c r="A109" s="1089"/>
      <c r="B109" s="623"/>
      <c r="C109" s="333" t="str">
        <f>IF(I106=$Z$16,$Z$14,IF(I106=$Z$15,"",))</f>
        <v>√3 *</v>
      </c>
      <c r="D109" s="331" t="s">
        <v>258</v>
      </c>
      <c r="E109" s="155" t="str">
        <f>IF(A106="P","* cosϕ",IF(A106="S","",))</f>
        <v>* cosϕ</v>
      </c>
      <c r="F109" s="155"/>
      <c r="G109" s="11"/>
      <c r="H109" s="11"/>
      <c r="I109" s="11"/>
      <c r="J109" s="11"/>
      <c r="K109" s="11"/>
      <c r="L109" s="329"/>
      <c r="M109" s="11"/>
      <c r="N109" s="11"/>
    </row>
    <row r="110" spans="1:17" x14ac:dyDescent="0.25">
      <c r="A110" s="23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329"/>
      <c r="M110" s="11"/>
      <c r="N110" s="11"/>
    </row>
    <row r="111" spans="1:17" ht="15.75" thickBot="1" x14ac:dyDescent="0.3">
      <c r="A111" s="1089" t="s">
        <v>254</v>
      </c>
      <c r="B111" s="623"/>
      <c r="C111" s="1091">
        <v>6200</v>
      </c>
      <c r="D111" s="1091"/>
      <c r="E111" s="1091"/>
      <c r="F111" s="1091"/>
      <c r="G111" s="1091"/>
      <c r="H111" s="623" t="s">
        <v>104</v>
      </c>
      <c r="I111" s="1069">
        <f>IF(AND(A106=$Z$17,I106=$Z$16),C111/(SQRT(3)*D112*F112))+IF(AND(A106=$Z$18,I106=$Z$16),C111/(SQRT(3)*D112))+IF(AND(A106=$Z$17,I106=$Z$15),C111/(D112*F112))+IF(AND(A106=$Z$18,I106=$Z$15),C111/D112)</f>
        <v>8.9489291724392004</v>
      </c>
      <c r="J111" s="1069"/>
      <c r="K111" s="1069"/>
      <c r="L111" s="1070"/>
      <c r="M111" s="11"/>
      <c r="N111" s="11"/>
    </row>
    <row r="112" spans="1:17" ht="15.75" thickBot="1" x14ac:dyDescent="0.3">
      <c r="A112" s="878"/>
      <c r="B112" s="879"/>
      <c r="C112" s="12" t="str">
        <f>IF(I106=$Z$16,$Z$14,IF(I106=$Z$15,"",))</f>
        <v>√3 *</v>
      </c>
      <c r="D112" s="1314">
        <f>K106</f>
        <v>400</v>
      </c>
      <c r="E112" s="1314"/>
      <c r="F112" s="1090">
        <v>1</v>
      </c>
      <c r="G112" s="1090"/>
      <c r="H112" s="879"/>
      <c r="I112" s="1071"/>
      <c r="J112" s="1071"/>
      <c r="K112" s="1071"/>
      <c r="L112" s="1072"/>
      <c r="M112" s="11"/>
      <c r="N112" s="11"/>
    </row>
  </sheetData>
  <mergeCells count="272">
    <mergeCell ref="A58:D58"/>
    <mergeCell ref="E57:E58"/>
    <mergeCell ref="A76:B76"/>
    <mergeCell ref="I76:J76"/>
    <mergeCell ref="K76:L76"/>
    <mergeCell ref="A78:B79"/>
    <mergeCell ref="C78:G78"/>
    <mergeCell ref="A108:B109"/>
    <mergeCell ref="A111:B112"/>
    <mergeCell ref="H111:H112"/>
    <mergeCell ref="I111:L112"/>
    <mergeCell ref="D112:E112"/>
    <mergeCell ref="F112:G112"/>
    <mergeCell ref="C111:G111"/>
    <mergeCell ref="C101:G101"/>
    <mergeCell ref="C108:G108"/>
    <mergeCell ref="K96:L96"/>
    <mergeCell ref="A98:B99"/>
    <mergeCell ref="A101:B102"/>
    <mergeCell ref="H101:H102"/>
    <mergeCell ref="I101:L102"/>
    <mergeCell ref="D102:E102"/>
    <mergeCell ref="F102:G102"/>
    <mergeCell ref="K106:L106"/>
    <mergeCell ref="C98:G98"/>
    <mergeCell ref="A96:B96"/>
    <mergeCell ref="A106:B106"/>
    <mergeCell ref="I96:J96"/>
    <mergeCell ref="I106:J106"/>
    <mergeCell ref="A81:B82"/>
    <mergeCell ref="H81:H82"/>
    <mergeCell ref="I81:L82"/>
    <mergeCell ref="D82:E82"/>
    <mergeCell ref="F82:G82"/>
    <mergeCell ref="K86:L86"/>
    <mergeCell ref="A88:B89"/>
    <mergeCell ref="A91:B92"/>
    <mergeCell ref="H91:H92"/>
    <mergeCell ref="I91:L92"/>
    <mergeCell ref="D92:E92"/>
    <mergeCell ref="F92:G92"/>
    <mergeCell ref="C91:G91"/>
    <mergeCell ref="C88:G88"/>
    <mergeCell ref="C81:G81"/>
    <mergeCell ref="I86:J86"/>
    <mergeCell ref="A86:B86"/>
    <mergeCell ref="A68:B69"/>
    <mergeCell ref="A71:B72"/>
    <mergeCell ref="D72:E72"/>
    <mergeCell ref="I71:L72"/>
    <mergeCell ref="C71:G71"/>
    <mergeCell ref="C68:G68"/>
    <mergeCell ref="I66:J66"/>
    <mergeCell ref="A66:B66"/>
    <mergeCell ref="F72:G72"/>
    <mergeCell ref="H71:H72"/>
    <mergeCell ref="A13:F13"/>
    <mergeCell ref="A14:F14"/>
    <mergeCell ref="A25:F25"/>
    <mergeCell ref="A26:F26"/>
    <mergeCell ref="T10:X10"/>
    <mergeCell ref="T11:X44"/>
    <mergeCell ref="R16:S16"/>
    <mergeCell ref="R17:S17"/>
    <mergeCell ref="R18:S18"/>
    <mergeCell ref="I16:K16"/>
    <mergeCell ref="I17:K17"/>
    <mergeCell ref="I10:K10"/>
    <mergeCell ref="I11:K11"/>
    <mergeCell ref="I12:K12"/>
    <mergeCell ref="I19:K19"/>
    <mergeCell ref="I20:K20"/>
    <mergeCell ref="I21:K21"/>
    <mergeCell ref="I22:K22"/>
    <mergeCell ref="L16:M16"/>
    <mergeCell ref="L17:M17"/>
    <mergeCell ref="L18:M18"/>
    <mergeCell ref="N19:O19"/>
    <mergeCell ref="N20:O20"/>
    <mergeCell ref="N21:O21"/>
    <mergeCell ref="B60:D60"/>
    <mergeCell ref="B61:D61"/>
    <mergeCell ref="H61:K61"/>
    <mergeCell ref="K66:L66"/>
    <mergeCell ref="A15:F15"/>
    <mergeCell ref="A16:F16"/>
    <mergeCell ref="A17:F17"/>
    <mergeCell ref="A18:F18"/>
    <mergeCell ref="A19:F19"/>
    <mergeCell ref="G21:H21"/>
    <mergeCell ref="G22:H22"/>
    <mergeCell ref="G23:H23"/>
    <mergeCell ref="G24:H24"/>
    <mergeCell ref="I23:K23"/>
    <mergeCell ref="I24:K24"/>
    <mergeCell ref="I25:K25"/>
    <mergeCell ref="I26:K26"/>
    <mergeCell ref="I27:K27"/>
    <mergeCell ref="I30:K32"/>
    <mergeCell ref="G35:H35"/>
    <mergeCell ref="G36:H36"/>
    <mergeCell ref="C30:F30"/>
    <mergeCell ref="A57:D57"/>
    <mergeCell ref="G20:H20"/>
    <mergeCell ref="A10:F10"/>
    <mergeCell ref="A11:F11"/>
    <mergeCell ref="A12:F12"/>
    <mergeCell ref="G10:H10"/>
    <mergeCell ref="G11:H11"/>
    <mergeCell ref="G12:H12"/>
    <mergeCell ref="L10:M10"/>
    <mergeCell ref="A29:F29"/>
    <mergeCell ref="A20:F20"/>
    <mergeCell ref="A21:F21"/>
    <mergeCell ref="A22:F22"/>
    <mergeCell ref="A23:F23"/>
    <mergeCell ref="A24:F24"/>
    <mergeCell ref="G15:H15"/>
    <mergeCell ref="G16:H16"/>
    <mergeCell ref="G17:H17"/>
    <mergeCell ref="G18:H18"/>
    <mergeCell ref="G19:H19"/>
    <mergeCell ref="G25:H25"/>
    <mergeCell ref="G26:H26"/>
    <mergeCell ref="G27:H27"/>
    <mergeCell ref="G28:H28"/>
    <mergeCell ref="G29:H29"/>
    <mergeCell ref="A27:F27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I18:K18"/>
    <mergeCell ref="I15:K15"/>
    <mergeCell ref="G13:H13"/>
    <mergeCell ref="G14:H14"/>
    <mergeCell ref="L11:M11"/>
    <mergeCell ref="L12:M12"/>
    <mergeCell ref="L13:M13"/>
    <mergeCell ref="L14:M14"/>
    <mergeCell ref="L15:M15"/>
    <mergeCell ref="I13:K13"/>
    <mergeCell ref="I14:K14"/>
    <mergeCell ref="P17:Q17"/>
    <mergeCell ref="P18:Q18"/>
    <mergeCell ref="P19:Q19"/>
    <mergeCell ref="P20:Q20"/>
    <mergeCell ref="P21:Q21"/>
    <mergeCell ref="P22:Q22"/>
    <mergeCell ref="P23:Q23"/>
    <mergeCell ref="P24:Q24"/>
    <mergeCell ref="L25:M25"/>
    <mergeCell ref="L19:M19"/>
    <mergeCell ref="L20:M20"/>
    <mergeCell ref="L21:M21"/>
    <mergeCell ref="L22:M22"/>
    <mergeCell ref="L23:M23"/>
    <mergeCell ref="N22:O22"/>
    <mergeCell ref="N23:O23"/>
    <mergeCell ref="K1:L1"/>
    <mergeCell ref="D43:E45"/>
    <mergeCell ref="D47:E49"/>
    <mergeCell ref="D51:E53"/>
    <mergeCell ref="A46:E46"/>
    <mergeCell ref="A50:E50"/>
    <mergeCell ref="A43:B44"/>
    <mergeCell ref="A47:B48"/>
    <mergeCell ref="A51:B52"/>
    <mergeCell ref="C52:C53"/>
    <mergeCell ref="C48:C49"/>
    <mergeCell ref="C44:C45"/>
    <mergeCell ref="I43:L45"/>
    <mergeCell ref="I46:L46"/>
    <mergeCell ref="G41:H41"/>
    <mergeCell ref="G42:H42"/>
    <mergeCell ref="A30:B31"/>
    <mergeCell ref="G30:H32"/>
    <mergeCell ref="C31:F32"/>
    <mergeCell ref="L30:M32"/>
    <mergeCell ref="I28:K28"/>
    <mergeCell ref="I29:K29"/>
    <mergeCell ref="L41:M41"/>
    <mergeCell ref="L26:M26"/>
    <mergeCell ref="E60:G60"/>
    <mergeCell ref="A59:K59"/>
    <mergeCell ref="L29:M29"/>
    <mergeCell ref="L27:M27"/>
    <mergeCell ref="M54:O54"/>
    <mergeCell ref="I47:L49"/>
    <mergeCell ref="I50:L50"/>
    <mergeCell ref="I51:L53"/>
    <mergeCell ref="I54:L54"/>
    <mergeCell ref="A54:E54"/>
    <mergeCell ref="F43:G45"/>
    <mergeCell ref="F47:G49"/>
    <mergeCell ref="F51:G53"/>
    <mergeCell ref="H43:H45"/>
    <mergeCell ref="H47:H49"/>
    <mergeCell ref="H51:H53"/>
    <mergeCell ref="F54:G54"/>
    <mergeCell ref="F50:G50"/>
    <mergeCell ref="F46:G46"/>
    <mergeCell ref="M51:O53"/>
    <mergeCell ref="A28:F28"/>
    <mergeCell ref="A34:F34"/>
    <mergeCell ref="A32:B32"/>
    <mergeCell ref="A33:F33"/>
    <mergeCell ref="E61:G61"/>
    <mergeCell ref="R20:S20"/>
    <mergeCell ref="R21:S21"/>
    <mergeCell ref="R22:S22"/>
    <mergeCell ref="R23:S23"/>
    <mergeCell ref="R24:S24"/>
    <mergeCell ref="P25:Q25"/>
    <mergeCell ref="P26:Q26"/>
    <mergeCell ref="P27:Q27"/>
    <mergeCell ref="P28:Q28"/>
    <mergeCell ref="P29:Q29"/>
    <mergeCell ref="H60:K60"/>
    <mergeCell ref="L42:M42"/>
    <mergeCell ref="I41:K41"/>
    <mergeCell ref="I42:K42"/>
    <mergeCell ref="R30:S32"/>
    <mergeCell ref="R25:S25"/>
    <mergeCell ref="R26:S26"/>
    <mergeCell ref="R27:S27"/>
    <mergeCell ref="R28:S28"/>
    <mergeCell ref="R29:S29"/>
    <mergeCell ref="N25:O25"/>
    <mergeCell ref="N26:O26"/>
    <mergeCell ref="L59:S61"/>
    <mergeCell ref="R19:S19"/>
    <mergeCell ref="R10:S10"/>
    <mergeCell ref="R11:S11"/>
    <mergeCell ref="R12:S12"/>
    <mergeCell ref="M43:O45"/>
    <mergeCell ref="M46:O46"/>
    <mergeCell ref="M47:O49"/>
    <mergeCell ref="M50:O50"/>
    <mergeCell ref="P10:Q10"/>
    <mergeCell ref="P11:Q11"/>
    <mergeCell ref="N27:O27"/>
    <mergeCell ref="N28:O28"/>
    <mergeCell ref="N29:O29"/>
    <mergeCell ref="L28:M28"/>
    <mergeCell ref="N24:O24"/>
    <mergeCell ref="L24:M24"/>
    <mergeCell ref="R13:S13"/>
    <mergeCell ref="R14:S14"/>
    <mergeCell ref="R15:S15"/>
    <mergeCell ref="P12:Q12"/>
    <mergeCell ref="P13:Q13"/>
    <mergeCell ref="P14:Q14"/>
    <mergeCell ref="P15:Q15"/>
    <mergeCell ref="P16:Q16"/>
    <mergeCell ref="A41:F41"/>
    <mergeCell ref="A42:F42"/>
    <mergeCell ref="G39:H40"/>
    <mergeCell ref="I39:K40"/>
    <mergeCell ref="L39:M40"/>
    <mergeCell ref="A35:F35"/>
    <mergeCell ref="A36:F36"/>
    <mergeCell ref="A38:B39"/>
    <mergeCell ref="C39:C40"/>
    <mergeCell ref="G38:H38"/>
    <mergeCell ref="I38:K38"/>
    <mergeCell ref="L38:M38"/>
  </mergeCells>
  <dataValidations count="5">
    <dataValidation type="list" allowBlank="1" showInputMessage="1" showErrorMessage="1" sqref="I66 I76 I86 I96 I106" xr:uid="{00000000-0002-0000-0D00-000000000000}">
      <formula1>$Z$15:$Z$16</formula1>
    </dataValidation>
    <dataValidation type="list" allowBlank="1" showInputMessage="1" showErrorMessage="1" sqref="K66 K76 K86 K96 K106" xr:uid="{00000000-0002-0000-0D00-000001000000}">
      <formula1>$Z$11:$Z$12</formula1>
    </dataValidation>
    <dataValidation type="list" allowBlank="1" showInputMessage="1" showErrorMessage="1" sqref="A66 A76 A86 A96 A106" xr:uid="{00000000-0002-0000-0D00-000002000000}">
      <formula1>$Z$17:$Z$18</formula1>
    </dataValidation>
    <dataValidation type="list" allowBlank="1" showInputMessage="1" showErrorMessage="1" sqref="T11:X44" xr:uid="{00000000-0002-0000-0D00-000003000000}">
      <formula1>$Z$33</formula1>
    </dataValidation>
    <dataValidation type="list" allowBlank="1" showInputMessage="1" showErrorMessage="1" sqref="T10:X10" xr:uid="{00000000-0002-0000-0D00-000004000000}">
      <formula1>$Z$20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  <rowBreaks count="1" manualBreakCount="1">
    <brk id="61" max="1638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93"/>
  <sheetViews>
    <sheetView showGridLines="0" zoomScale="85" zoomScaleNormal="85" workbookViewId="0">
      <selection activeCell="A10" sqref="A10:F10"/>
    </sheetView>
  </sheetViews>
  <sheetFormatPr defaultRowHeight="15" x14ac:dyDescent="0.25"/>
  <cols>
    <col min="1" max="1" width="2.85546875" style="30" customWidth="1"/>
    <col min="2" max="2" width="4.140625" style="30" customWidth="1"/>
    <col min="3" max="3" width="4.5703125" style="30" customWidth="1"/>
    <col min="4" max="5" width="3.42578125" style="30" customWidth="1"/>
    <col min="6" max="6" width="3.140625" style="30" customWidth="1"/>
    <col min="7" max="7" width="3.28515625" style="30" customWidth="1"/>
    <col min="8" max="8" width="5.42578125" style="30" customWidth="1"/>
    <col min="9" max="9" width="2.140625" style="30" customWidth="1"/>
    <col min="10" max="10" width="5" style="30" customWidth="1"/>
    <col min="11" max="11" width="4.7109375" style="30" customWidth="1"/>
    <col min="12" max="12" width="2" style="30" customWidth="1"/>
    <col min="13" max="13" width="6" style="30" customWidth="1"/>
    <col min="14" max="14" width="7" style="30" customWidth="1"/>
    <col min="15" max="15" width="3" style="30" customWidth="1"/>
    <col min="16" max="16" width="2.7109375" style="30" customWidth="1"/>
    <col min="17" max="17" width="3.7109375" style="30" customWidth="1"/>
    <col min="18" max="18" width="2.85546875" style="30" customWidth="1"/>
    <col min="19" max="21" width="12.85546875" style="30" customWidth="1"/>
    <col min="22" max="22" width="4.42578125" style="30" customWidth="1"/>
    <col min="23" max="23" width="9.42578125" style="30" hidden="1" customWidth="1"/>
    <col min="24" max="24" width="11" style="30" hidden="1" customWidth="1"/>
    <col min="25" max="25" width="10.140625" style="30" hidden="1" customWidth="1"/>
    <col min="26" max="26" width="7.7109375" style="30" hidden="1" customWidth="1"/>
    <col min="27" max="27" width="8.85546875" style="30" hidden="1" customWidth="1"/>
    <col min="28" max="28" width="9.140625" style="30" hidden="1" customWidth="1"/>
    <col min="29" max="29" width="9.140625" style="30" customWidth="1"/>
    <col min="30" max="30" width="12" style="30" customWidth="1"/>
    <col min="31" max="38" width="9.140625" style="30" customWidth="1"/>
    <col min="39" max="16384" width="9.140625" style="30"/>
  </cols>
  <sheetData>
    <row r="1" spans="1:26" ht="21" x14ac:dyDescent="0.35">
      <c r="A1" s="565" t="s">
        <v>259</v>
      </c>
      <c r="B1" s="564"/>
      <c r="C1" s="565"/>
      <c r="D1" s="564"/>
      <c r="E1" s="564"/>
      <c r="F1" s="564"/>
      <c r="G1" s="1353" t="s">
        <v>252</v>
      </c>
      <c r="H1" s="1353"/>
      <c r="I1" s="1353"/>
      <c r="J1" s="1352" t="s">
        <v>344</v>
      </c>
      <c r="K1" s="1352"/>
      <c r="L1" s="1352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  <c r="Y1" s="564"/>
      <c r="Z1" s="564"/>
    </row>
    <row r="2" spans="1:26" ht="15.75" thickBot="1" x14ac:dyDescent="0.3"/>
    <row r="3" spans="1:26" ht="15.75" thickBot="1" x14ac:dyDescent="0.3">
      <c r="A3" s="1134" t="s">
        <v>222</v>
      </c>
      <c r="B3" s="1135"/>
      <c r="C3" s="1135"/>
      <c r="D3" s="1135"/>
      <c r="E3" s="1135"/>
      <c r="F3" s="1135"/>
      <c r="G3" s="1135" t="s">
        <v>241</v>
      </c>
      <c r="H3" s="1135"/>
      <c r="I3" s="1135" t="s">
        <v>50</v>
      </c>
      <c r="J3" s="1135"/>
      <c r="K3" s="1135" t="s">
        <v>244</v>
      </c>
      <c r="L3" s="1135"/>
      <c r="M3" s="1135" t="s">
        <v>394</v>
      </c>
      <c r="N3" s="1139"/>
      <c r="O3" s="1008"/>
      <c r="P3" s="720"/>
      <c r="Q3" s="720"/>
      <c r="R3" s="720"/>
      <c r="S3" s="720"/>
      <c r="T3" s="554"/>
      <c r="U3" s="554"/>
      <c r="X3" s="599" t="s">
        <v>245</v>
      </c>
      <c r="Y3" s="404" t="s">
        <v>246</v>
      </c>
      <c r="Z3" s="406" t="s">
        <v>247</v>
      </c>
    </row>
    <row r="4" spans="1:26" ht="15.75" customHeight="1" thickBot="1" x14ac:dyDescent="0.3">
      <c r="A4" s="1318" t="s">
        <v>338</v>
      </c>
      <c r="B4" s="1319"/>
      <c r="C4" s="1319"/>
      <c r="D4" s="1319"/>
      <c r="E4" s="1319"/>
      <c r="F4" s="1319"/>
      <c r="G4" s="1130">
        <v>36</v>
      </c>
      <c r="H4" s="1130"/>
      <c r="I4" s="1130">
        <v>0.85</v>
      </c>
      <c r="J4" s="1130"/>
      <c r="K4" s="1130">
        <f>DEGREES(ACOS(I4))*-1</f>
        <v>-31.788330617051621</v>
      </c>
      <c r="L4" s="1130"/>
      <c r="M4" s="1130"/>
      <c r="N4" s="1320"/>
      <c r="O4" s="1354"/>
      <c r="P4" s="1355"/>
      <c r="Q4" s="1355"/>
      <c r="R4" s="1355"/>
      <c r="S4" s="1355"/>
      <c r="T4" s="600"/>
      <c r="U4" s="600"/>
      <c r="W4" s="30">
        <v>400</v>
      </c>
      <c r="X4" s="601">
        <f t="shared" ref="X4:X20" si="0">G4*I4</f>
        <v>30.599999999999998</v>
      </c>
      <c r="Y4" s="602">
        <f t="shared" ref="Y4:Y20" si="1">G4*SIN(RADIANS((-1*K4)))</f>
        <v>18.964176755134929</v>
      </c>
      <c r="Z4" s="603">
        <f>IMABS(COMPLEX(X4,Y4,"i"))</f>
        <v>35.999999999999986</v>
      </c>
    </row>
    <row r="5" spans="1:26" ht="15.75" thickBot="1" x14ac:dyDescent="0.3">
      <c r="A5" s="1318" t="s">
        <v>339</v>
      </c>
      <c r="B5" s="1319"/>
      <c r="C5" s="1319"/>
      <c r="D5" s="1319"/>
      <c r="E5" s="1319"/>
      <c r="F5" s="1319"/>
      <c r="G5" s="1130">
        <v>48</v>
      </c>
      <c r="H5" s="1130"/>
      <c r="I5" s="1130">
        <v>0.82</v>
      </c>
      <c r="J5" s="1130"/>
      <c r="K5" s="1130">
        <f t="shared" ref="K5:K22" si="2">DEGREES(ACOS(I5))*-1</f>
        <v>-34.915206247444189</v>
      </c>
      <c r="L5" s="1130"/>
      <c r="M5" s="1130"/>
      <c r="N5" s="1320"/>
      <c r="O5" s="1354"/>
      <c r="P5" s="1355"/>
      <c r="Q5" s="1355"/>
      <c r="R5" s="1355"/>
      <c r="S5" s="1355"/>
      <c r="T5" s="600"/>
      <c r="U5" s="600"/>
      <c r="W5" s="30">
        <v>230</v>
      </c>
      <c r="X5" s="601">
        <f t="shared" si="0"/>
        <v>39.36</v>
      </c>
      <c r="Y5" s="602">
        <f t="shared" si="1"/>
        <v>27.473449000808035</v>
      </c>
      <c r="Z5" s="603">
        <f t="shared" ref="Z5:Z21" si="3">IMABS(COMPLEX(X5,Y5,"i"))</f>
        <v>47.999999999999979</v>
      </c>
    </row>
    <row r="6" spans="1:26" ht="15.75" thickBot="1" x14ac:dyDescent="0.3">
      <c r="A6" s="1318" t="s">
        <v>340</v>
      </c>
      <c r="B6" s="1319"/>
      <c r="C6" s="1319"/>
      <c r="D6" s="1319"/>
      <c r="E6" s="1319"/>
      <c r="F6" s="1319"/>
      <c r="G6" s="1130">
        <v>15.5</v>
      </c>
      <c r="H6" s="1130"/>
      <c r="I6" s="1130">
        <v>0.88</v>
      </c>
      <c r="J6" s="1130"/>
      <c r="K6" s="1130">
        <f t="shared" si="2"/>
        <v>-28.357636576327966</v>
      </c>
      <c r="L6" s="1130"/>
      <c r="M6" s="1130"/>
      <c r="N6" s="1320"/>
      <c r="O6" s="1354"/>
      <c r="P6" s="1355"/>
      <c r="Q6" s="1355"/>
      <c r="R6" s="1355"/>
      <c r="S6" s="1355"/>
      <c r="T6" s="600"/>
      <c r="U6" s="600"/>
      <c r="X6" s="601">
        <f t="shared" si="0"/>
        <v>13.64</v>
      </c>
      <c r="Y6" s="602">
        <f t="shared" si="1"/>
        <v>7.3620920939635051</v>
      </c>
      <c r="Z6" s="603">
        <f t="shared" si="3"/>
        <v>15.500000000000002</v>
      </c>
    </row>
    <row r="7" spans="1:26" ht="15.75" thickBot="1" x14ac:dyDescent="0.3">
      <c r="A7" s="1318" t="s">
        <v>341</v>
      </c>
      <c r="B7" s="1319"/>
      <c r="C7" s="1319"/>
      <c r="D7" s="1319"/>
      <c r="E7" s="1319"/>
      <c r="F7" s="1319"/>
      <c r="G7" s="1130">
        <v>8.5</v>
      </c>
      <c r="H7" s="1130"/>
      <c r="I7" s="1130">
        <v>0.85</v>
      </c>
      <c r="J7" s="1130"/>
      <c r="K7" s="1130">
        <f t="shared" si="2"/>
        <v>-31.788330617051621</v>
      </c>
      <c r="L7" s="1130"/>
      <c r="M7" s="1130"/>
      <c r="N7" s="1320"/>
      <c r="O7" s="1354"/>
      <c r="P7" s="1355"/>
      <c r="Q7" s="1355"/>
      <c r="R7" s="1355"/>
      <c r="S7" s="1355"/>
      <c r="T7" s="600"/>
      <c r="U7" s="600"/>
      <c r="W7" s="30" t="s">
        <v>218</v>
      </c>
      <c r="X7" s="601">
        <f t="shared" si="0"/>
        <v>7.2249999999999996</v>
      </c>
      <c r="Y7" s="602">
        <f t="shared" si="1"/>
        <v>4.4776528449624138</v>
      </c>
      <c r="Z7" s="603">
        <f t="shared" si="3"/>
        <v>8.4999999999999982</v>
      </c>
    </row>
    <row r="8" spans="1:26" ht="15.75" thickBot="1" x14ac:dyDescent="0.3">
      <c r="A8" s="1318" t="s">
        <v>342</v>
      </c>
      <c r="B8" s="1319"/>
      <c r="C8" s="1319"/>
      <c r="D8" s="1319"/>
      <c r="E8" s="1319"/>
      <c r="F8" s="1319"/>
      <c r="G8" s="1130">
        <v>25.99</v>
      </c>
      <c r="H8" s="1130"/>
      <c r="I8" s="1130">
        <v>1</v>
      </c>
      <c r="J8" s="1130"/>
      <c r="K8" s="1130">
        <f t="shared" si="2"/>
        <v>0</v>
      </c>
      <c r="L8" s="1130"/>
      <c r="M8" s="1130"/>
      <c r="N8" s="1320"/>
      <c r="O8" s="1354"/>
      <c r="P8" s="1355"/>
      <c r="Q8" s="1355"/>
      <c r="R8" s="1355"/>
      <c r="S8" s="1355"/>
      <c r="T8" s="600"/>
      <c r="U8" s="600"/>
      <c r="W8" s="30" t="s">
        <v>256</v>
      </c>
      <c r="X8" s="601">
        <f t="shared" si="0"/>
        <v>25.99</v>
      </c>
      <c r="Y8" s="602">
        <f t="shared" si="1"/>
        <v>0</v>
      </c>
      <c r="Z8" s="603">
        <f t="shared" si="3"/>
        <v>25.99</v>
      </c>
    </row>
    <row r="9" spans="1:26" ht="15.75" thickBot="1" x14ac:dyDescent="0.3">
      <c r="A9" s="1318" t="s">
        <v>343</v>
      </c>
      <c r="B9" s="1319"/>
      <c r="C9" s="1319"/>
      <c r="D9" s="1319"/>
      <c r="E9" s="1319"/>
      <c r="F9" s="1319"/>
      <c r="G9" s="1130">
        <v>93</v>
      </c>
      <c r="H9" s="1130"/>
      <c r="I9" s="1130">
        <v>0.38</v>
      </c>
      <c r="J9" s="1130"/>
      <c r="K9" s="1130">
        <f t="shared" si="2"/>
        <v>-67.666317342194702</v>
      </c>
      <c r="L9" s="1130"/>
      <c r="M9" s="1130"/>
      <c r="N9" s="1320"/>
      <c r="O9" s="1354"/>
      <c r="P9" s="1355"/>
      <c r="Q9" s="1355"/>
      <c r="R9" s="1355"/>
      <c r="S9" s="1355"/>
      <c r="T9" s="600"/>
      <c r="U9" s="600"/>
      <c r="W9" s="30" t="s">
        <v>257</v>
      </c>
      <c r="X9" s="601">
        <f t="shared" si="0"/>
        <v>35.340000000000003</v>
      </c>
      <c r="Y9" s="602">
        <f t="shared" si="1"/>
        <v>86.023743234063005</v>
      </c>
      <c r="Z9" s="603">
        <f t="shared" si="3"/>
        <v>93</v>
      </c>
    </row>
    <row r="10" spans="1:26" ht="15.75" thickBot="1" x14ac:dyDescent="0.3">
      <c r="A10" s="1318"/>
      <c r="B10" s="1319"/>
      <c r="C10" s="1319"/>
      <c r="D10" s="1319"/>
      <c r="E10" s="1319"/>
      <c r="F10" s="1319"/>
      <c r="G10" s="1130">
        <v>10.87</v>
      </c>
      <c r="H10" s="1130"/>
      <c r="I10" s="1130">
        <v>0.9</v>
      </c>
      <c r="J10" s="1130"/>
      <c r="K10" s="1130">
        <f t="shared" si="2"/>
        <v>-25.841932763167126</v>
      </c>
      <c r="L10" s="1130"/>
      <c r="M10" s="1130"/>
      <c r="N10" s="1320"/>
      <c r="O10" s="1354"/>
      <c r="P10" s="1355"/>
      <c r="Q10" s="1355"/>
      <c r="R10" s="1355"/>
      <c r="S10" s="1355"/>
      <c r="T10" s="600"/>
      <c r="U10" s="600"/>
      <c r="W10" s="30" t="s">
        <v>253</v>
      </c>
      <c r="X10" s="601">
        <f t="shared" si="0"/>
        <v>9.7829999999999995</v>
      </c>
      <c r="Y10" s="602">
        <f t="shared" si="1"/>
        <v>4.7381231516287112</v>
      </c>
      <c r="Z10" s="603">
        <f t="shared" si="3"/>
        <v>10.87</v>
      </c>
    </row>
    <row r="11" spans="1:26" ht="15.75" thickBot="1" x14ac:dyDescent="0.3">
      <c r="A11" s="1318"/>
      <c r="B11" s="1319"/>
      <c r="C11" s="1319"/>
      <c r="D11" s="1319"/>
      <c r="E11" s="1319"/>
      <c r="F11" s="1319"/>
      <c r="G11" s="1130">
        <v>34.369999999999997</v>
      </c>
      <c r="H11" s="1130"/>
      <c r="I11" s="1130">
        <v>0.84</v>
      </c>
      <c r="J11" s="1130"/>
      <c r="K11" s="1130">
        <f t="shared" si="2"/>
        <v>-32.859880378889102</v>
      </c>
      <c r="L11" s="1130"/>
      <c r="M11" s="1130"/>
      <c r="N11" s="1320"/>
      <c r="O11" s="1354"/>
      <c r="P11" s="1355"/>
      <c r="Q11" s="1355"/>
      <c r="R11" s="1355"/>
      <c r="S11" s="1355"/>
      <c r="T11" s="600"/>
      <c r="U11" s="600"/>
      <c r="W11" s="30" t="s">
        <v>255</v>
      </c>
      <c r="X11" s="601">
        <f t="shared" si="0"/>
        <v>28.870799999999996</v>
      </c>
      <c r="Y11" s="602">
        <f t="shared" si="1"/>
        <v>18.648694521601232</v>
      </c>
      <c r="Z11" s="603">
        <f t="shared" si="3"/>
        <v>34.369999999999976</v>
      </c>
    </row>
    <row r="12" spans="1:26" ht="15.75" thickBot="1" x14ac:dyDescent="0.3">
      <c r="A12" s="1318"/>
      <c r="B12" s="1319"/>
      <c r="C12" s="1319"/>
      <c r="D12" s="1319"/>
      <c r="E12" s="1319"/>
      <c r="F12" s="1319"/>
      <c r="G12" s="1130">
        <v>67.14</v>
      </c>
      <c r="H12" s="1130"/>
      <c r="I12" s="1130">
        <v>0.86</v>
      </c>
      <c r="J12" s="1130"/>
      <c r="K12" s="1130">
        <f t="shared" si="2"/>
        <v>-30.683417108975817</v>
      </c>
      <c r="L12" s="1130"/>
      <c r="M12" s="1130"/>
      <c r="N12" s="1320"/>
      <c r="O12" s="1354"/>
      <c r="P12" s="1355"/>
      <c r="Q12" s="1355"/>
      <c r="R12" s="1355"/>
      <c r="S12" s="1355"/>
      <c r="T12" s="600"/>
      <c r="U12" s="600"/>
      <c r="X12" s="601">
        <f t="shared" si="0"/>
        <v>57.740400000000001</v>
      </c>
      <c r="Y12" s="602">
        <f t="shared" si="1"/>
        <v>34.261141368027999</v>
      </c>
      <c r="Z12" s="603">
        <f t="shared" si="3"/>
        <v>67.139999999999986</v>
      </c>
    </row>
    <row r="13" spans="1:26" ht="15.75" thickBot="1" x14ac:dyDescent="0.3">
      <c r="A13" s="1318"/>
      <c r="B13" s="1319"/>
      <c r="C13" s="1319"/>
      <c r="D13" s="1319"/>
      <c r="E13" s="1319"/>
      <c r="F13" s="1319"/>
      <c r="G13" s="1130"/>
      <c r="H13" s="1130"/>
      <c r="I13" s="1130"/>
      <c r="J13" s="1130"/>
      <c r="K13" s="1130">
        <f t="shared" si="2"/>
        <v>-90</v>
      </c>
      <c r="L13" s="1130"/>
      <c r="M13" s="1130"/>
      <c r="N13" s="1320"/>
      <c r="O13" s="1354"/>
      <c r="P13" s="1355"/>
      <c r="Q13" s="1355"/>
      <c r="R13" s="1355"/>
      <c r="S13" s="1355"/>
      <c r="T13" s="600"/>
      <c r="U13" s="600"/>
      <c r="W13" s="31" t="s">
        <v>268</v>
      </c>
      <c r="X13" s="601">
        <f t="shared" si="0"/>
        <v>0</v>
      </c>
      <c r="Y13" s="602">
        <f t="shared" si="1"/>
        <v>0</v>
      </c>
      <c r="Z13" s="603">
        <f t="shared" si="3"/>
        <v>0</v>
      </c>
    </row>
    <row r="14" spans="1:26" ht="15.75" thickBot="1" x14ac:dyDescent="0.3">
      <c r="A14" s="1318"/>
      <c r="B14" s="1319"/>
      <c r="C14" s="1319"/>
      <c r="D14" s="1319"/>
      <c r="E14" s="1319"/>
      <c r="F14" s="1319"/>
      <c r="G14" s="1130"/>
      <c r="H14" s="1130"/>
      <c r="I14" s="1130"/>
      <c r="J14" s="1130"/>
      <c r="K14" s="1130">
        <f t="shared" si="2"/>
        <v>-90</v>
      </c>
      <c r="L14" s="1130"/>
      <c r="M14" s="1130"/>
      <c r="N14" s="1320"/>
      <c r="O14" s="1354"/>
      <c r="P14" s="1355"/>
      <c r="Q14" s="1355"/>
      <c r="R14" s="1355"/>
      <c r="S14" s="1355"/>
      <c r="T14" s="600"/>
      <c r="U14" s="600"/>
      <c r="X14" s="601">
        <f t="shared" si="0"/>
        <v>0</v>
      </c>
      <c r="Y14" s="602">
        <f t="shared" si="1"/>
        <v>0</v>
      </c>
      <c r="Z14" s="603">
        <f t="shared" si="3"/>
        <v>0</v>
      </c>
    </row>
    <row r="15" spans="1:26" ht="15.75" thickBot="1" x14ac:dyDescent="0.3">
      <c r="A15" s="1318"/>
      <c r="B15" s="1319"/>
      <c r="C15" s="1319"/>
      <c r="D15" s="1319"/>
      <c r="E15" s="1319"/>
      <c r="F15" s="1319"/>
      <c r="G15" s="1130"/>
      <c r="H15" s="1130"/>
      <c r="I15" s="1130"/>
      <c r="J15" s="1130"/>
      <c r="K15" s="1130">
        <f t="shared" si="2"/>
        <v>-90</v>
      </c>
      <c r="L15" s="1130"/>
      <c r="M15" s="1130"/>
      <c r="N15" s="1320"/>
      <c r="O15" s="1354"/>
      <c r="P15" s="1355"/>
      <c r="Q15" s="1355"/>
      <c r="R15" s="1355"/>
      <c r="S15" s="1355"/>
      <c r="T15" s="600"/>
      <c r="U15" s="600"/>
      <c r="X15" s="601">
        <f t="shared" si="0"/>
        <v>0</v>
      </c>
      <c r="Y15" s="602">
        <f t="shared" si="1"/>
        <v>0</v>
      </c>
      <c r="Z15" s="603">
        <f t="shared" si="3"/>
        <v>0</v>
      </c>
    </row>
    <row r="16" spans="1:26" ht="15.75" thickBot="1" x14ac:dyDescent="0.3">
      <c r="A16" s="1318"/>
      <c r="B16" s="1319"/>
      <c r="C16" s="1319"/>
      <c r="D16" s="1319"/>
      <c r="E16" s="1319"/>
      <c r="F16" s="1319"/>
      <c r="G16" s="1130"/>
      <c r="H16" s="1130"/>
      <c r="I16" s="1130"/>
      <c r="J16" s="1130"/>
      <c r="K16" s="1130">
        <f t="shared" si="2"/>
        <v>-90</v>
      </c>
      <c r="L16" s="1130"/>
      <c r="M16" s="1130"/>
      <c r="N16" s="1320"/>
      <c r="O16" s="1354"/>
      <c r="P16" s="1355"/>
      <c r="Q16" s="1355"/>
      <c r="R16" s="1355"/>
      <c r="S16" s="1355"/>
      <c r="T16" s="600"/>
      <c r="U16" s="600"/>
      <c r="W16" s="554"/>
      <c r="X16" s="601">
        <f t="shared" si="0"/>
        <v>0</v>
      </c>
      <c r="Y16" s="602">
        <f t="shared" si="1"/>
        <v>0</v>
      </c>
      <c r="Z16" s="603">
        <f t="shared" si="3"/>
        <v>0</v>
      </c>
    </row>
    <row r="17" spans="1:31" ht="15.75" thickBot="1" x14ac:dyDescent="0.3">
      <c r="A17" s="1318"/>
      <c r="B17" s="1319"/>
      <c r="C17" s="1319"/>
      <c r="D17" s="1319"/>
      <c r="E17" s="1319"/>
      <c r="F17" s="1319"/>
      <c r="G17" s="1130"/>
      <c r="H17" s="1130"/>
      <c r="I17" s="1130"/>
      <c r="J17" s="1130"/>
      <c r="K17" s="1130">
        <f t="shared" si="2"/>
        <v>-90</v>
      </c>
      <c r="L17" s="1130"/>
      <c r="M17" s="1130"/>
      <c r="N17" s="1320"/>
      <c r="O17" s="1354"/>
      <c r="P17" s="1355"/>
      <c r="Q17" s="1355"/>
      <c r="R17" s="1355"/>
      <c r="S17" s="1355"/>
      <c r="T17" s="600"/>
      <c r="U17" s="600"/>
      <c r="X17" s="601">
        <f t="shared" si="0"/>
        <v>0</v>
      </c>
      <c r="Y17" s="602">
        <f t="shared" si="1"/>
        <v>0</v>
      </c>
      <c r="Z17" s="603">
        <f t="shared" si="3"/>
        <v>0</v>
      </c>
    </row>
    <row r="18" spans="1:31" ht="15.75" thickBot="1" x14ac:dyDescent="0.3">
      <c r="A18" s="1318"/>
      <c r="B18" s="1319"/>
      <c r="C18" s="1319"/>
      <c r="D18" s="1319"/>
      <c r="E18" s="1319"/>
      <c r="F18" s="1319"/>
      <c r="G18" s="1130"/>
      <c r="H18" s="1130"/>
      <c r="I18" s="1130"/>
      <c r="J18" s="1130"/>
      <c r="K18" s="1130">
        <f t="shared" si="2"/>
        <v>-90</v>
      </c>
      <c r="L18" s="1130"/>
      <c r="M18" s="1130"/>
      <c r="N18" s="1320"/>
      <c r="O18" s="1354"/>
      <c r="P18" s="1355"/>
      <c r="Q18" s="1355"/>
      <c r="R18" s="1355"/>
      <c r="S18" s="1355"/>
      <c r="T18" s="600"/>
      <c r="U18" s="600"/>
      <c r="X18" s="601">
        <f t="shared" si="0"/>
        <v>0</v>
      </c>
      <c r="Y18" s="602">
        <f t="shared" si="1"/>
        <v>0</v>
      </c>
      <c r="Z18" s="603">
        <f t="shared" si="3"/>
        <v>0</v>
      </c>
    </row>
    <row r="19" spans="1:31" ht="15.75" thickBot="1" x14ac:dyDescent="0.3">
      <c r="A19" s="1318"/>
      <c r="B19" s="1319"/>
      <c r="C19" s="1319"/>
      <c r="D19" s="1319"/>
      <c r="E19" s="1319"/>
      <c r="F19" s="1319"/>
      <c r="G19" s="1130"/>
      <c r="H19" s="1130"/>
      <c r="I19" s="1130"/>
      <c r="J19" s="1130"/>
      <c r="K19" s="1130">
        <f t="shared" si="2"/>
        <v>-90</v>
      </c>
      <c r="L19" s="1130"/>
      <c r="M19" s="1130"/>
      <c r="N19" s="1320"/>
      <c r="O19" s="1354"/>
      <c r="P19" s="1355"/>
      <c r="Q19" s="1355"/>
      <c r="R19" s="1355"/>
      <c r="S19" s="1355"/>
      <c r="T19" s="600"/>
      <c r="U19" s="600"/>
      <c r="X19" s="601">
        <f t="shared" si="0"/>
        <v>0</v>
      </c>
      <c r="Y19" s="602">
        <f t="shared" si="1"/>
        <v>0</v>
      </c>
      <c r="Z19" s="603">
        <f t="shared" si="3"/>
        <v>0</v>
      </c>
    </row>
    <row r="20" spans="1:31" ht="15.75" thickBot="1" x14ac:dyDescent="0.3">
      <c r="A20" s="1318"/>
      <c r="B20" s="1319"/>
      <c r="C20" s="1319"/>
      <c r="D20" s="1319"/>
      <c r="E20" s="1319"/>
      <c r="F20" s="1319"/>
      <c r="G20" s="1130"/>
      <c r="H20" s="1130"/>
      <c r="I20" s="1130"/>
      <c r="J20" s="1130"/>
      <c r="K20" s="1130">
        <f t="shared" si="2"/>
        <v>-90</v>
      </c>
      <c r="L20" s="1130"/>
      <c r="M20" s="1130"/>
      <c r="N20" s="1320"/>
      <c r="O20" s="1354"/>
      <c r="P20" s="1355"/>
      <c r="Q20" s="1355"/>
      <c r="R20" s="1355"/>
      <c r="S20" s="1355"/>
      <c r="T20" s="600"/>
      <c r="U20" s="600"/>
      <c r="X20" s="601">
        <f t="shared" si="0"/>
        <v>0</v>
      </c>
      <c r="Y20" s="602">
        <f t="shared" si="1"/>
        <v>0</v>
      </c>
      <c r="Z20" s="603">
        <f t="shared" si="3"/>
        <v>0</v>
      </c>
    </row>
    <row r="21" spans="1:31" ht="15.75" customHeight="1" thickBot="1" x14ac:dyDescent="0.3">
      <c r="A21" s="1318"/>
      <c r="B21" s="1319"/>
      <c r="C21" s="1319"/>
      <c r="D21" s="1319"/>
      <c r="E21" s="1319"/>
      <c r="F21" s="1319"/>
      <c r="G21" s="1130"/>
      <c r="H21" s="1130"/>
      <c r="I21" s="1130"/>
      <c r="J21" s="1130"/>
      <c r="K21" s="1130">
        <f t="shared" si="2"/>
        <v>-90</v>
      </c>
      <c r="L21" s="1130"/>
      <c r="M21" s="1130"/>
      <c r="N21" s="1320"/>
      <c r="O21" s="1354"/>
      <c r="P21" s="1355"/>
      <c r="Q21" s="1355"/>
      <c r="R21" s="1355"/>
      <c r="S21" s="1355"/>
      <c r="T21" s="600"/>
      <c r="U21" s="600"/>
      <c r="X21" s="229">
        <f>SUM(X4:X20)</f>
        <v>248.54919999999996</v>
      </c>
      <c r="Y21" s="229">
        <f t="shared" ref="Y21" si="4">SUM(Y4:Y20)</f>
        <v>201.94907297018986</v>
      </c>
      <c r="Z21" s="573">
        <f t="shared" si="3"/>
        <v>320.25010990499152</v>
      </c>
    </row>
    <row r="22" spans="1:31" ht="15.75" customHeight="1" thickBot="1" x14ac:dyDescent="0.3">
      <c r="A22" s="1321"/>
      <c r="B22" s="1322"/>
      <c r="C22" s="1322"/>
      <c r="D22" s="1322"/>
      <c r="E22" s="1322"/>
      <c r="F22" s="1322"/>
      <c r="G22" s="1166"/>
      <c r="H22" s="1166"/>
      <c r="I22" s="1177"/>
      <c r="J22" s="1177"/>
      <c r="K22" s="1177">
        <f t="shared" si="2"/>
        <v>-90</v>
      </c>
      <c r="L22" s="1177"/>
      <c r="M22" s="1177"/>
      <c r="N22" s="1178"/>
      <c r="O22" s="1354"/>
      <c r="P22" s="1355"/>
      <c r="Q22" s="1355"/>
      <c r="R22" s="1355"/>
      <c r="S22" s="1355"/>
      <c r="T22" s="600"/>
      <c r="U22" s="600"/>
      <c r="X22" s="485"/>
      <c r="Y22" s="485"/>
      <c r="Z22" s="485"/>
    </row>
    <row r="23" spans="1:31" ht="8.25" customHeight="1" x14ac:dyDescent="0.25">
      <c r="A23" s="1259" t="s">
        <v>267</v>
      </c>
      <c r="B23" s="1260"/>
      <c r="C23" s="716"/>
      <c r="D23" s="716"/>
      <c r="E23" s="716"/>
      <c r="F23" s="716"/>
      <c r="G23" s="1330">
        <f>Z21</f>
        <v>320.25010990499152</v>
      </c>
      <c r="H23" s="1331"/>
      <c r="I23" s="405"/>
      <c r="J23" s="405"/>
      <c r="K23" s="405"/>
      <c r="L23" s="405"/>
      <c r="M23" s="1336">
        <f>SUM(M4:M22)</f>
        <v>0</v>
      </c>
      <c r="N23" s="1337"/>
      <c r="O23" s="1354"/>
      <c r="P23" s="1355"/>
      <c r="Q23" s="1355"/>
      <c r="R23" s="1355"/>
      <c r="S23" s="1355"/>
      <c r="T23" s="600"/>
      <c r="U23" s="600"/>
      <c r="X23" s="485"/>
      <c r="Y23" s="485"/>
      <c r="Z23" s="485"/>
    </row>
    <row r="24" spans="1:31" ht="18.75" customHeight="1" x14ac:dyDescent="0.25">
      <c r="A24" s="1261"/>
      <c r="B24" s="1262"/>
      <c r="C24" s="1083" t="str">
        <f>J1</f>
        <v>-A10</v>
      </c>
      <c r="D24" s="1083"/>
      <c r="E24" s="1083"/>
      <c r="F24" s="1083"/>
      <c r="G24" s="1332"/>
      <c r="H24" s="1333"/>
      <c r="I24" s="82"/>
      <c r="J24" s="82"/>
      <c r="K24" s="82"/>
      <c r="L24" s="82"/>
      <c r="M24" s="1338"/>
      <c r="N24" s="1339"/>
      <c r="O24" s="1354"/>
      <c r="P24" s="1355"/>
      <c r="Q24" s="1355"/>
      <c r="R24" s="1355"/>
      <c r="S24" s="1355"/>
      <c r="T24" s="600"/>
      <c r="U24" s="600"/>
      <c r="X24" s="554"/>
      <c r="Y24" s="554"/>
      <c r="Z24" s="554"/>
    </row>
    <row r="25" spans="1:31" ht="8.25" customHeight="1" thickBot="1" x14ac:dyDescent="0.3">
      <c r="A25" s="1174"/>
      <c r="B25" s="1175"/>
      <c r="C25" s="1342"/>
      <c r="D25" s="1342"/>
      <c r="E25" s="1342"/>
      <c r="F25" s="1342"/>
      <c r="G25" s="1334"/>
      <c r="H25" s="1335"/>
      <c r="I25" s="82"/>
      <c r="J25" s="82"/>
      <c r="K25" s="82"/>
      <c r="L25" s="82"/>
      <c r="M25" s="1340"/>
      <c r="N25" s="1341"/>
      <c r="O25" s="1354"/>
      <c r="P25" s="1355"/>
      <c r="Q25" s="1355"/>
      <c r="R25" s="1355"/>
      <c r="S25" s="1355"/>
      <c r="T25" s="600"/>
      <c r="U25" s="600"/>
      <c r="W25" s="554"/>
      <c r="X25" s="600"/>
      <c r="Y25" s="600"/>
      <c r="Z25" s="600"/>
    </row>
    <row r="26" spans="1:31" ht="15" customHeight="1" x14ac:dyDescent="0.25">
      <c r="A26" s="715" t="s">
        <v>392</v>
      </c>
      <c r="B26" s="716"/>
      <c r="C26" s="716"/>
      <c r="D26" s="716"/>
      <c r="E26" s="716"/>
      <c r="F26" s="1365"/>
      <c r="G26" s="1135">
        <v>1</v>
      </c>
      <c r="H26" s="1139"/>
      <c r="I26" s="604"/>
      <c r="J26" s="604"/>
      <c r="K26" s="604"/>
      <c r="L26" s="404"/>
      <c r="M26" s="404"/>
      <c r="N26" s="568"/>
      <c r="O26" s="82"/>
      <c r="P26" s="82"/>
      <c r="Q26" s="82"/>
      <c r="R26" s="82"/>
      <c r="S26" s="82"/>
      <c r="T26" s="555"/>
      <c r="U26" s="555"/>
      <c r="V26" s="600"/>
      <c r="W26" s="600"/>
      <c r="X26" s="600"/>
      <c r="Y26" s="600"/>
      <c r="Z26" s="600"/>
      <c r="AB26" s="600" t="s">
        <v>269</v>
      </c>
      <c r="AC26" s="600"/>
      <c r="AD26" s="600"/>
      <c r="AE26" s="600"/>
    </row>
    <row r="27" spans="1:31" ht="15.75" thickBot="1" x14ac:dyDescent="0.3">
      <c r="A27" s="1174" t="s">
        <v>393</v>
      </c>
      <c r="B27" s="1175"/>
      <c r="C27" s="1175"/>
      <c r="D27" s="1175"/>
      <c r="E27" s="1175"/>
      <c r="F27" s="1176"/>
      <c r="G27" s="1177">
        <v>1</v>
      </c>
      <c r="H27" s="1178"/>
      <c r="I27" s="392"/>
      <c r="J27" s="392"/>
      <c r="K27" s="392"/>
      <c r="L27" s="392"/>
      <c r="M27" s="392"/>
      <c r="N27" s="597"/>
      <c r="O27" s="82"/>
      <c r="P27" s="82"/>
      <c r="Q27" s="82"/>
      <c r="R27" s="82"/>
      <c r="S27" s="82"/>
      <c r="T27" s="555"/>
      <c r="U27" s="555"/>
      <c r="V27" s="600"/>
      <c r="W27" s="600"/>
      <c r="X27" s="600"/>
      <c r="Y27" s="600"/>
      <c r="Z27" s="600"/>
      <c r="AB27" s="600"/>
      <c r="AC27" s="600"/>
      <c r="AD27" s="600"/>
      <c r="AE27" s="600"/>
    </row>
    <row r="28" spans="1:31" ht="18.75" thickBot="1" x14ac:dyDescent="0.4">
      <c r="A28" s="605" t="s">
        <v>397</v>
      </c>
      <c r="B28" s="606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598"/>
      <c r="O28" s="82"/>
      <c r="P28" s="82"/>
      <c r="Q28" s="82"/>
      <c r="R28" s="82"/>
      <c r="S28" s="82"/>
      <c r="T28" s="555"/>
      <c r="U28" s="555"/>
      <c r="V28" s="600"/>
      <c r="W28" s="600"/>
      <c r="X28" s="600"/>
      <c r="Y28" s="600"/>
      <c r="Z28" s="600"/>
      <c r="AB28" s="600"/>
      <c r="AC28" s="600"/>
      <c r="AD28" s="600"/>
      <c r="AE28" s="600"/>
    </row>
    <row r="29" spans="1:31" x14ac:dyDescent="0.25">
      <c r="A29" s="1259" t="s">
        <v>267</v>
      </c>
      <c r="B29" s="1260"/>
      <c r="C29" s="404"/>
      <c r="D29" s="404"/>
      <c r="E29" s="404"/>
      <c r="F29" s="404"/>
      <c r="G29" s="1136" t="s">
        <v>437</v>
      </c>
      <c r="H29" s="1137"/>
      <c r="I29" s="1137"/>
      <c r="J29" s="1137"/>
      <c r="K29" s="1138"/>
      <c r="L29" s="1136"/>
      <c r="M29" s="1138"/>
      <c r="N29" s="568"/>
      <c r="O29" s="82"/>
      <c r="P29" s="82"/>
      <c r="Q29" s="82"/>
      <c r="R29" s="82"/>
      <c r="S29" s="82"/>
      <c r="T29" s="485"/>
      <c r="U29" s="485"/>
      <c r="V29" s="600"/>
      <c r="W29" s="600"/>
      <c r="X29" s="600"/>
      <c r="Y29" s="600"/>
      <c r="Z29" s="600"/>
      <c r="AB29" s="600"/>
      <c r="AC29" s="600"/>
      <c r="AD29" s="600"/>
      <c r="AE29" s="600"/>
    </row>
    <row r="30" spans="1:31" x14ac:dyDescent="0.25">
      <c r="A30" s="1261"/>
      <c r="B30" s="1262"/>
      <c r="C30" s="1083" t="str">
        <f>J1</f>
        <v>-A10</v>
      </c>
      <c r="D30" s="485"/>
      <c r="E30" s="485"/>
      <c r="F30" s="485"/>
      <c r="G30" s="1240">
        <f>I37</f>
        <v>320.25010990499152</v>
      </c>
      <c r="H30" s="1241"/>
      <c r="I30" s="1241"/>
      <c r="J30" s="1241"/>
      <c r="K30" s="1242"/>
      <c r="L30" s="1129"/>
      <c r="M30" s="1129"/>
      <c r="N30" s="596"/>
      <c r="O30" s="82"/>
      <c r="P30" s="82"/>
      <c r="Q30" s="82"/>
      <c r="R30" s="82"/>
      <c r="S30" s="82"/>
      <c r="T30" s="82"/>
      <c r="U30" s="82"/>
      <c r="V30" s="600"/>
      <c r="W30" s="600"/>
      <c r="X30" s="600"/>
      <c r="Y30" s="600"/>
      <c r="Z30" s="600"/>
      <c r="AB30" s="600"/>
      <c r="AC30" s="600"/>
      <c r="AD30" s="600"/>
      <c r="AE30" s="600"/>
    </row>
    <row r="31" spans="1:31" x14ac:dyDescent="0.25">
      <c r="A31" s="393"/>
      <c r="B31" s="485"/>
      <c r="C31" s="1348"/>
      <c r="D31" s="485"/>
      <c r="E31" s="485"/>
      <c r="F31" s="485"/>
      <c r="G31" s="1245"/>
      <c r="H31" s="1246"/>
      <c r="I31" s="1246"/>
      <c r="J31" s="1246"/>
      <c r="K31" s="1247"/>
      <c r="L31" s="1129"/>
      <c r="M31" s="1129"/>
      <c r="N31" s="596"/>
      <c r="O31" s="82"/>
      <c r="P31" s="82"/>
      <c r="Q31" s="82"/>
      <c r="R31" s="82"/>
      <c r="S31" s="82"/>
      <c r="T31" s="82"/>
      <c r="U31" s="82"/>
      <c r="V31" s="600"/>
      <c r="W31" s="600"/>
      <c r="X31" s="600"/>
      <c r="Y31" s="600"/>
      <c r="Z31" s="600"/>
      <c r="AB31" s="600"/>
      <c r="AC31" s="600"/>
      <c r="AD31" s="600"/>
      <c r="AE31" s="600"/>
    </row>
    <row r="32" spans="1:31" ht="18.75" customHeight="1" x14ac:dyDescent="0.25">
      <c r="A32" s="1152" t="s">
        <v>244</v>
      </c>
      <c r="B32" s="1130"/>
      <c r="C32" s="1130"/>
      <c r="D32" s="1130"/>
      <c r="E32" s="1130"/>
      <c r="F32" s="1130"/>
      <c r="G32" s="1356">
        <f>(IF(X21=0,"",DEGREES(ACOS(X21/Z21))*-1))</f>
        <v>-39.094254338707962</v>
      </c>
      <c r="H32" s="1357"/>
      <c r="I32" s="1357"/>
      <c r="J32" s="1357"/>
      <c r="K32" s="1358"/>
      <c r="L32" s="1363"/>
      <c r="M32" s="1363"/>
      <c r="N32" s="596"/>
      <c r="O32" s="82"/>
      <c r="P32" s="82"/>
      <c r="Q32" s="82"/>
      <c r="R32" s="82"/>
      <c r="S32" s="82"/>
      <c r="T32" s="82"/>
      <c r="U32" s="82"/>
      <c r="V32" s="600"/>
      <c r="W32" s="600"/>
      <c r="X32" s="600"/>
      <c r="Y32" s="600"/>
      <c r="Z32" s="600"/>
      <c r="AB32" s="600"/>
      <c r="AC32" s="600"/>
      <c r="AD32" s="600"/>
      <c r="AE32" s="600"/>
    </row>
    <row r="33" spans="1:31" ht="19.5" customHeight="1" thickBot="1" x14ac:dyDescent="0.3">
      <c r="A33" s="1364" t="s">
        <v>154</v>
      </c>
      <c r="B33" s="1177"/>
      <c r="C33" s="1177"/>
      <c r="D33" s="1177"/>
      <c r="E33" s="1177"/>
      <c r="F33" s="1177"/>
      <c r="G33" s="1359">
        <f>IF(G32="","",COS(RADIANS(G32)))</f>
        <v>0.77610964778040814</v>
      </c>
      <c r="H33" s="1360"/>
      <c r="I33" s="1360"/>
      <c r="J33" s="1360"/>
      <c r="K33" s="1361"/>
      <c r="L33" s="1344"/>
      <c r="M33" s="1344"/>
      <c r="N33" s="597"/>
      <c r="O33" s="82"/>
      <c r="P33" s="82"/>
      <c r="Q33" s="82"/>
      <c r="R33" s="82"/>
      <c r="S33" s="82"/>
      <c r="T33" s="82"/>
      <c r="U33" s="82"/>
      <c r="V33" s="600"/>
      <c r="W33" s="600"/>
      <c r="X33" s="600"/>
      <c r="Y33" s="600"/>
      <c r="Z33" s="600"/>
      <c r="AB33" s="600"/>
      <c r="AC33" s="600"/>
      <c r="AD33" s="600"/>
      <c r="AE33" s="600"/>
    </row>
    <row r="34" spans="1:31" x14ac:dyDescent="0.25">
      <c r="A34" s="1259" t="s">
        <v>267</v>
      </c>
      <c r="B34" s="1260"/>
      <c r="C34" s="404"/>
      <c r="D34" s="1345"/>
      <c r="E34" s="1212"/>
      <c r="F34" s="1212" t="s">
        <v>248</v>
      </c>
      <c r="G34" s="1212"/>
      <c r="H34" s="1212" t="s">
        <v>249</v>
      </c>
      <c r="I34" s="1212" t="s">
        <v>250</v>
      </c>
      <c r="J34" s="1212"/>
      <c r="K34" s="1212"/>
      <c r="L34" s="1212"/>
      <c r="M34" s="1206" t="s">
        <v>244</v>
      </c>
      <c r="N34" s="1325"/>
      <c r="O34" s="224"/>
      <c r="P34" s="607"/>
      <c r="Q34" s="608"/>
      <c r="T34" s="82"/>
      <c r="U34" s="82"/>
      <c r="V34" s="600"/>
      <c r="W34" s="600"/>
      <c r="X34" s="600"/>
      <c r="Y34" s="600"/>
      <c r="Z34" s="600"/>
      <c r="AB34" s="600"/>
      <c r="AC34" s="600"/>
      <c r="AD34" s="600"/>
      <c r="AE34" s="600"/>
    </row>
    <row r="35" spans="1:31" x14ac:dyDescent="0.25">
      <c r="A35" s="1261"/>
      <c r="B35" s="1262"/>
      <c r="C35" s="1083" t="str">
        <f>J1</f>
        <v>-A10</v>
      </c>
      <c r="D35" s="1346"/>
      <c r="E35" s="1213"/>
      <c r="F35" s="1213"/>
      <c r="G35" s="1213"/>
      <c r="H35" s="1213"/>
      <c r="I35" s="1213"/>
      <c r="J35" s="1213"/>
      <c r="K35" s="1213"/>
      <c r="L35" s="1213"/>
      <c r="M35" s="1208"/>
      <c r="N35" s="1326"/>
      <c r="O35" s="224"/>
      <c r="P35" s="607"/>
      <c r="Q35" s="608"/>
      <c r="T35" s="82"/>
      <c r="U35" s="82"/>
      <c r="V35" s="600"/>
      <c r="W35" s="600"/>
      <c r="X35" s="600"/>
      <c r="Y35" s="600"/>
      <c r="Z35" s="600"/>
      <c r="AB35" s="600"/>
      <c r="AC35" s="600"/>
      <c r="AD35" s="600"/>
      <c r="AE35" s="600"/>
    </row>
    <row r="36" spans="1:31" ht="8.25" customHeight="1" x14ac:dyDescent="0.25">
      <c r="A36" s="393"/>
      <c r="B36" s="485"/>
      <c r="C36" s="1348"/>
      <c r="D36" s="1346"/>
      <c r="E36" s="1213"/>
      <c r="F36" s="1347"/>
      <c r="G36" s="1347"/>
      <c r="H36" s="1347"/>
      <c r="I36" s="1213"/>
      <c r="J36" s="1213"/>
      <c r="K36" s="1213"/>
      <c r="L36" s="1213"/>
      <c r="M36" s="1210"/>
      <c r="N36" s="1327"/>
      <c r="O36" s="224"/>
      <c r="P36" s="607"/>
      <c r="Q36" s="608"/>
      <c r="V36" s="600"/>
      <c r="W36" s="600"/>
      <c r="X36" s="600"/>
      <c r="Y36" s="600"/>
      <c r="Z36" s="600"/>
      <c r="AB36" s="600"/>
      <c r="AC36" s="600"/>
      <c r="AD36" s="600"/>
      <c r="AE36" s="600"/>
    </row>
    <row r="37" spans="1:31" ht="18.75" customHeight="1" thickBot="1" x14ac:dyDescent="0.3">
      <c r="A37" s="1343">
        <f>G23</f>
        <v>320.25010990499152</v>
      </c>
      <c r="B37" s="1344"/>
      <c r="C37" s="1344"/>
      <c r="D37" s="1344"/>
      <c r="E37" s="1344"/>
      <c r="F37" s="1177">
        <f>G26</f>
        <v>1</v>
      </c>
      <c r="G37" s="1177"/>
      <c r="H37" s="572">
        <f>G27</f>
        <v>1</v>
      </c>
      <c r="I37" s="1199">
        <f>A37*F37*H37</f>
        <v>320.25010990499152</v>
      </c>
      <c r="J37" s="1199"/>
      <c r="K37" s="1199"/>
      <c r="L37" s="1199"/>
      <c r="M37" s="1328">
        <f>G32</f>
        <v>-39.094254338707962</v>
      </c>
      <c r="N37" s="1329"/>
      <c r="O37" s="609"/>
      <c r="P37" s="607"/>
      <c r="Q37" s="608"/>
      <c r="V37" s="600"/>
      <c r="W37" s="600"/>
      <c r="X37" s="600"/>
      <c r="Y37" s="600"/>
      <c r="Z37" s="600"/>
      <c r="AB37" s="600"/>
      <c r="AC37" s="600"/>
      <c r="AD37" s="600"/>
      <c r="AE37" s="600"/>
    </row>
    <row r="38" spans="1:31" ht="8.25" customHeight="1" x14ac:dyDescent="0.25">
      <c r="A38" s="610"/>
      <c r="B38" s="610"/>
      <c r="C38" s="610"/>
      <c r="D38" s="610"/>
      <c r="E38" s="610"/>
      <c r="F38" s="555"/>
      <c r="G38" s="555"/>
      <c r="H38" s="485"/>
      <c r="I38" s="611"/>
      <c r="J38" s="611"/>
      <c r="K38" s="611"/>
      <c r="L38" s="611"/>
      <c r="M38" s="612"/>
      <c r="N38" s="612"/>
      <c r="O38" s="612"/>
      <c r="P38" s="608"/>
      <c r="Q38" s="608"/>
      <c r="V38" s="613"/>
      <c r="W38" s="613"/>
      <c r="X38" s="613"/>
      <c r="Y38" s="613"/>
      <c r="Z38" s="613"/>
      <c r="AB38" s="613"/>
      <c r="AC38" s="613"/>
      <c r="AD38" s="613"/>
      <c r="AE38" s="613"/>
    </row>
    <row r="39" spans="1:31" x14ac:dyDescent="0.25">
      <c r="A39" s="610"/>
      <c r="B39" s="610"/>
      <c r="C39" s="610"/>
      <c r="D39" s="610"/>
      <c r="E39" s="610"/>
      <c r="F39" s="555"/>
      <c r="G39" s="555"/>
      <c r="H39" s="485"/>
      <c r="I39" s="611"/>
      <c r="J39" s="611"/>
      <c r="K39" s="611"/>
      <c r="L39" s="611"/>
      <c r="M39" s="612"/>
      <c r="N39" s="612"/>
      <c r="O39" s="612"/>
      <c r="P39" s="608"/>
      <c r="Q39" s="608"/>
      <c r="V39" s="613"/>
      <c r="W39" s="613"/>
      <c r="X39" s="613"/>
      <c r="Y39" s="613"/>
      <c r="Z39" s="613"/>
      <c r="AB39" s="613"/>
    </row>
    <row r="40" spans="1:31" ht="19.5" thickBot="1" x14ac:dyDescent="0.4">
      <c r="A40" s="1366" t="s">
        <v>398</v>
      </c>
      <c r="B40" s="1366"/>
      <c r="C40" s="1366"/>
      <c r="D40" s="1366"/>
      <c r="E40" s="1367" t="s">
        <v>104</v>
      </c>
      <c r="F40" s="1362">
        <f>M23</f>
        <v>0</v>
      </c>
      <c r="G40" s="1175"/>
      <c r="H40" s="1175" t="s">
        <v>438</v>
      </c>
      <c r="I40" s="1175"/>
      <c r="J40" s="1323" t="s">
        <v>104</v>
      </c>
      <c r="K40" s="1324" t="str">
        <f>IF(M23=0,"",$M$23/(3*I37))</f>
        <v/>
      </c>
      <c r="L40" s="1369" t="s">
        <v>400</v>
      </c>
      <c r="M40" s="1369"/>
      <c r="N40" s="1369"/>
      <c r="O40" s="1369"/>
      <c r="P40" s="1369"/>
      <c r="Q40" s="1369"/>
      <c r="R40" s="1369"/>
      <c r="S40" s="1369"/>
      <c r="V40" s="613"/>
      <c r="W40" s="613"/>
      <c r="X40" s="613"/>
      <c r="Y40" s="613"/>
      <c r="Z40" s="613"/>
      <c r="AB40" s="613"/>
    </row>
    <row r="41" spans="1:31" ht="18" x14ac:dyDescent="0.35">
      <c r="A41" s="1368" t="s">
        <v>399</v>
      </c>
      <c r="B41" s="1368"/>
      <c r="C41" s="1368"/>
      <c r="D41" s="1368"/>
      <c r="E41" s="1367"/>
      <c r="F41" s="555">
        <v>3</v>
      </c>
      <c r="G41" s="555" t="s">
        <v>134</v>
      </c>
      <c r="H41" s="1172">
        <f>G30</f>
        <v>320.25010990499152</v>
      </c>
      <c r="I41" s="1172"/>
      <c r="J41" s="1323"/>
      <c r="K41" s="1324"/>
      <c r="L41" s="1369"/>
      <c r="M41" s="1369"/>
      <c r="N41" s="1369"/>
      <c r="O41" s="1369"/>
      <c r="P41" s="1369"/>
      <c r="Q41" s="1369"/>
      <c r="R41" s="1369"/>
      <c r="S41" s="1369"/>
      <c r="V41" s="613"/>
      <c r="W41" s="613"/>
      <c r="X41" s="613"/>
      <c r="Y41" s="613"/>
      <c r="Z41" s="613"/>
      <c r="AB41" s="613"/>
    </row>
    <row r="42" spans="1:31" x14ac:dyDescent="0.25">
      <c r="A42" s="610"/>
      <c r="B42" s="610"/>
      <c r="C42" s="610"/>
      <c r="D42" s="610"/>
      <c r="E42" s="614"/>
      <c r="F42" s="555"/>
      <c r="G42" s="555"/>
      <c r="H42" s="485"/>
      <c r="I42" s="611"/>
      <c r="J42" s="611"/>
      <c r="K42" s="611"/>
      <c r="L42" s="1369"/>
      <c r="M42" s="1369"/>
      <c r="N42" s="1369"/>
      <c r="O42" s="1369"/>
      <c r="P42" s="1369"/>
      <c r="Q42" s="1369"/>
      <c r="R42" s="1369"/>
      <c r="S42" s="1369"/>
      <c r="V42" s="613"/>
      <c r="W42" s="613"/>
      <c r="X42" s="613"/>
      <c r="Y42" s="613"/>
      <c r="Z42" s="613"/>
      <c r="AB42" s="613"/>
    </row>
    <row r="43" spans="1:31" x14ac:dyDescent="0.25">
      <c r="A43" s="485"/>
      <c r="B43" s="485"/>
      <c r="C43" s="485"/>
      <c r="D43" s="485"/>
      <c r="E43" s="485"/>
      <c r="F43" s="485"/>
      <c r="G43" s="485"/>
      <c r="H43" s="485"/>
      <c r="T43" s="615"/>
      <c r="U43" s="615"/>
      <c r="V43" s="613"/>
      <c r="W43" s="613"/>
      <c r="X43" s="613"/>
      <c r="Y43" s="613"/>
      <c r="Z43" s="613"/>
      <c r="AB43" s="613"/>
    </row>
    <row r="44" spans="1:31" x14ac:dyDescent="0.25">
      <c r="B44" s="485"/>
      <c r="C44" s="485"/>
      <c r="D44" s="485"/>
      <c r="E44" s="485"/>
      <c r="F44" s="485"/>
      <c r="G44" s="485"/>
      <c r="H44" s="485"/>
      <c r="T44" s="615"/>
      <c r="U44" s="615"/>
      <c r="V44" s="613"/>
      <c r="W44" s="613"/>
      <c r="X44" s="613"/>
      <c r="Y44" s="613"/>
      <c r="Z44" s="613"/>
      <c r="AB44" s="613"/>
    </row>
    <row r="45" spans="1:31" x14ac:dyDescent="0.25">
      <c r="A45" s="485" t="s">
        <v>319</v>
      </c>
      <c r="B45" s="485"/>
      <c r="C45" s="485"/>
      <c r="D45" s="485"/>
      <c r="E45" s="485"/>
      <c r="F45" s="485"/>
      <c r="G45" s="485"/>
      <c r="H45" s="485"/>
    </row>
    <row r="46" spans="1:31" ht="15.75" thickBot="1" x14ac:dyDescent="0.3">
      <c r="A46" s="485"/>
      <c r="B46" s="485"/>
      <c r="C46" s="485"/>
      <c r="D46" s="485"/>
      <c r="E46" s="485"/>
      <c r="F46" s="485"/>
      <c r="G46" s="485"/>
      <c r="H46" s="485"/>
    </row>
    <row r="47" spans="1:31" x14ac:dyDescent="0.25">
      <c r="A47" s="1216" t="s">
        <v>253</v>
      </c>
      <c r="B47" s="1217"/>
      <c r="C47" s="577"/>
      <c r="D47" s="577"/>
      <c r="E47" s="577"/>
      <c r="F47" s="577"/>
      <c r="G47" s="577"/>
      <c r="H47" s="577" t="s">
        <v>320</v>
      </c>
      <c r="I47" s="1217" t="s">
        <v>257</v>
      </c>
      <c r="J47" s="1217"/>
      <c r="K47" s="1350">
        <v>230</v>
      </c>
      <c r="L47" s="1351"/>
      <c r="M47" s="485" t="s">
        <v>337</v>
      </c>
      <c r="N47" s="485"/>
      <c r="AC47" s="485"/>
      <c r="AD47" s="485"/>
      <c r="AE47" s="485"/>
    </row>
    <row r="48" spans="1:31" x14ac:dyDescent="0.25">
      <c r="A48" s="393"/>
      <c r="B48" s="581"/>
      <c r="C48" s="581"/>
      <c r="D48" s="581"/>
      <c r="E48" s="581"/>
      <c r="F48" s="581"/>
      <c r="G48" s="581"/>
      <c r="H48" s="581"/>
      <c r="I48" s="581"/>
      <c r="J48" s="581"/>
      <c r="K48" s="581"/>
      <c r="L48" s="394"/>
      <c r="M48" s="485"/>
      <c r="N48" s="485"/>
      <c r="AB48" s="485"/>
    </row>
    <row r="49" spans="1:31" ht="15.75" thickBot="1" x14ac:dyDescent="0.3">
      <c r="A49" s="1221" t="s">
        <v>254</v>
      </c>
      <c r="B49" s="652"/>
      <c r="C49" s="653" t="str">
        <f>A47</f>
        <v>P</v>
      </c>
      <c r="D49" s="653"/>
      <c r="E49" s="653"/>
      <c r="F49" s="653"/>
      <c r="G49" s="653"/>
      <c r="H49" s="581"/>
      <c r="I49" s="581"/>
      <c r="J49" s="581"/>
      <c r="K49" s="581"/>
      <c r="L49" s="394"/>
      <c r="M49" s="485"/>
      <c r="N49" s="485"/>
    </row>
    <row r="50" spans="1:31" x14ac:dyDescent="0.25">
      <c r="A50" s="1221"/>
      <c r="B50" s="652"/>
      <c r="C50" s="562" t="str">
        <f>IF(I47=$W$9,$W$7,IF(I47=$W$8,"",))</f>
        <v>√3 *</v>
      </c>
      <c r="D50" s="149" t="s">
        <v>258</v>
      </c>
      <c r="E50" s="224" t="str">
        <f>IF(A47="P","* cosϕ",IF(A47="S","",))</f>
        <v>* cosϕ</v>
      </c>
      <c r="F50" s="224"/>
      <c r="G50" s="581"/>
      <c r="H50" s="581"/>
      <c r="I50" s="581"/>
      <c r="J50" s="581"/>
      <c r="K50" s="581"/>
      <c r="L50" s="394"/>
      <c r="M50" s="485"/>
      <c r="N50" s="485"/>
    </row>
    <row r="51" spans="1:31" ht="12" customHeight="1" x14ac:dyDescent="0.25">
      <c r="A51" s="393"/>
      <c r="B51" s="581"/>
      <c r="C51" s="581"/>
      <c r="D51" s="581"/>
      <c r="E51" s="581"/>
      <c r="F51" s="581"/>
      <c r="G51" s="581"/>
      <c r="H51" s="581"/>
      <c r="I51" s="581"/>
      <c r="J51" s="581"/>
      <c r="K51" s="581"/>
      <c r="L51" s="394"/>
      <c r="M51" s="485"/>
      <c r="N51" s="485"/>
    </row>
    <row r="52" spans="1:31" ht="15.75" thickBot="1" x14ac:dyDescent="0.3">
      <c r="A52" s="1221" t="s">
        <v>254</v>
      </c>
      <c r="B52" s="652"/>
      <c r="C52" s="1091">
        <v>6200</v>
      </c>
      <c r="D52" s="1091"/>
      <c r="E52" s="1091"/>
      <c r="F52" s="1091"/>
      <c r="G52" s="1091"/>
      <c r="H52" s="652" t="s">
        <v>104</v>
      </c>
      <c r="I52" s="1225">
        <f>IF(AND(A47=$W$10,I47=$W$9),C52/(SQRT(3)*D53*F53))+IF(AND(A47=$W$11,I47=$W$9),C52/(SQRT(3)*D53))+IF(AND(A47=$W$10,I47=$W$8),C52/(D53*F53))+IF(AND(A47=$W$11,I47=$W$8),C52/D53)</f>
        <v>15.563355082502955</v>
      </c>
      <c r="J52" s="1225"/>
      <c r="K52" s="1225"/>
      <c r="L52" s="1226"/>
      <c r="M52" s="485"/>
      <c r="N52" s="485"/>
    </row>
    <row r="53" spans="1:31" ht="15.75" thickBot="1" x14ac:dyDescent="0.3">
      <c r="A53" s="669"/>
      <c r="B53" s="653"/>
      <c r="C53" s="392" t="str">
        <f>IF($I$47=$W$9,$W$7,IF($I$47=$W$8,"",))</f>
        <v>√3 *</v>
      </c>
      <c r="D53" s="1349">
        <f>K47</f>
        <v>230</v>
      </c>
      <c r="E53" s="1349"/>
      <c r="F53" s="1090">
        <v>1</v>
      </c>
      <c r="G53" s="1090"/>
      <c r="H53" s="653"/>
      <c r="I53" s="1227"/>
      <c r="J53" s="1227"/>
      <c r="K53" s="1227"/>
      <c r="L53" s="1228"/>
      <c r="M53" s="485"/>
      <c r="N53" s="485"/>
      <c r="AC53" s="485"/>
      <c r="AD53" s="485"/>
      <c r="AE53" s="485"/>
    </row>
    <row r="54" spans="1:31" x14ac:dyDescent="0.25">
      <c r="AB54" s="485"/>
      <c r="AC54" s="485"/>
      <c r="AD54" s="485"/>
      <c r="AE54" s="485"/>
    </row>
    <row r="55" spans="1:31" x14ac:dyDescent="0.25">
      <c r="AB55" s="485"/>
    </row>
    <row r="56" spans="1:31" ht="15.75" thickBot="1" x14ac:dyDescent="0.3"/>
    <row r="57" spans="1:31" x14ac:dyDescent="0.25">
      <c r="A57" s="1216" t="s">
        <v>253</v>
      </c>
      <c r="B57" s="1217"/>
      <c r="C57" s="577"/>
      <c r="D57" s="577"/>
      <c r="E57" s="577"/>
      <c r="F57" s="577"/>
      <c r="G57" s="577"/>
      <c r="H57" s="577" t="s">
        <v>320</v>
      </c>
      <c r="I57" s="1217" t="s">
        <v>257</v>
      </c>
      <c r="J57" s="1217"/>
      <c r="K57" s="1350">
        <v>400</v>
      </c>
      <c r="L57" s="1351"/>
      <c r="M57" s="485" t="s">
        <v>337</v>
      </c>
      <c r="N57" s="485"/>
    </row>
    <row r="58" spans="1:31" ht="12" customHeight="1" x14ac:dyDescent="0.25">
      <c r="A58" s="393"/>
      <c r="B58" s="581"/>
      <c r="C58" s="581"/>
      <c r="D58" s="581"/>
      <c r="E58" s="581"/>
      <c r="F58" s="581"/>
      <c r="G58" s="581"/>
      <c r="H58" s="581"/>
      <c r="I58" s="581"/>
      <c r="J58" s="581"/>
      <c r="K58" s="581"/>
      <c r="L58" s="394"/>
      <c r="M58" s="485"/>
      <c r="N58" s="485"/>
    </row>
    <row r="59" spans="1:31" ht="15.75" thickBot="1" x14ac:dyDescent="0.3">
      <c r="A59" s="1221" t="s">
        <v>254</v>
      </c>
      <c r="B59" s="652"/>
      <c r="C59" s="653" t="str">
        <f>A57</f>
        <v>P</v>
      </c>
      <c r="D59" s="653"/>
      <c r="E59" s="653"/>
      <c r="F59" s="653"/>
      <c r="G59" s="653"/>
      <c r="H59" s="581"/>
      <c r="I59" s="581"/>
      <c r="J59" s="581"/>
      <c r="K59" s="581"/>
      <c r="L59" s="394"/>
      <c r="M59" s="485"/>
      <c r="N59" s="485"/>
    </row>
    <row r="60" spans="1:31" x14ac:dyDescent="0.25">
      <c r="A60" s="1221"/>
      <c r="B60" s="652"/>
      <c r="C60" s="562" t="str">
        <f>IF(I57=$W$9,$W$7,IF(I57=$W$8,"",))</f>
        <v>√3 *</v>
      </c>
      <c r="D60" s="149" t="s">
        <v>258</v>
      </c>
      <c r="E60" s="224" t="str">
        <f>IF(A57="P","* cosϕ",IF(A57="S","",))</f>
        <v>* cosϕ</v>
      </c>
      <c r="F60" s="224"/>
      <c r="G60" s="581"/>
      <c r="H60" s="581"/>
      <c r="I60" s="581"/>
      <c r="J60" s="581"/>
      <c r="K60" s="581"/>
      <c r="L60" s="394"/>
      <c r="M60" s="485"/>
      <c r="N60" s="485"/>
    </row>
    <row r="61" spans="1:31" ht="12" customHeight="1" x14ac:dyDescent="0.25">
      <c r="A61" s="393"/>
      <c r="B61" s="581"/>
      <c r="C61" s="581"/>
      <c r="D61" s="581"/>
      <c r="E61" s="581"/>
      <c r="F61" s="581"/>
      <c r="G61" s="581"/>
      <c r="H61" s="581"/>
      <c r="I61" s="581"/>
      <c r="J61" s="581"/>
      <c r="K61" s="581"/>
      <c r="L61" s="394"/>
      <c r="M61" s="485"/>
      <c r="N61" s="485"/>
    </row>
    <row r="62" spans="1:31" ht="15.75" thickBot="1" x14ac:dyDescent="0.3">
      <c r="A62" s="1221" t="s">
        <v>254</v>
      </c>
      <c r="B62" s="652"/>
      <c r="C62" s="1091">
        <v>6200</v>
      </c>
      <c r="D62" s="1091"/>
      <c r="E62" s="1091"/>
      <c r="F62" s="1091"/>
      <c r="G62" s="1091"/>
      <c r="H62" s="652" t="s">
        <v>104</v>
      </c>
      <c r="I62" s="1225">
        <f>IF(AND(A57=$W$10,I57=$W$9),C62/(SQRT(3)*D63*F63))+IF(AND(A57=$W$11,I57=$W$9),C62/(SQRT(3)*D63))+IF(AND(A57=$W$10,I57=$W$8),C62/(D63*F63))+IF(AND(A57=$W$11,I57=$W$8),C62/D63)</f>
        <v>8.9489291724392004</v>
      </c>
      <c r="J62" s="1225"/>
      <c r="K62" s="1225"/>
      <c r="L62" s="1226"/>
      <c r="M62" s="485"/>
      <c r="N62" s="485"/>
    </row>
    <row r="63" spans="1:31" ht="15.75" thickBot="1" x14ac:dyDescent="0.3">
      <c r="A63" s="669"/>
      <c r="B63" s="653"/>
      <c r="C63" s="392" t="str">
        <f>IF($I$57=$W$9,$W$7,IF($I$57=$W$8,"",))</f>
        <v>√3 *</v>
      </c>
      <c r="D63" s="1349">
        <f>K57</f>
        <v>400</v>
      </c>
      <c r="E63" s="1349"/>
      <c r="F63" s="1090">
        <v>1</v>
      </c>
      <c r="G63" s="1090"/>
      <c r="H63" s="653"/>
      <c r="I63" s="1227"/>
      <c r="J63" s="1227"/>
      <c r="K63" s="1227"/>
      <c r="L63" s="1228"/>
      <c r="M63" s="485"/>
      <c r="N63" s="485"/>
    </row>
    <row r="66" spans="1:14" ht="15.75" thickBot="1" x14ac:dyDescent="0.3"/>
    <row r="67" spans="1:14" x14ac:dyDescent="0.25">
      <c r="A67" s="1216" t="s">
        <v>253</v>
      </c>
      <c r="B67" s="1217"/>
      <c r="C67" s="577"/>
      <c r="D67" s="577"/>
      <c r="E67" s="577"/>
      <c r="F67" s="577"/>
      <c r="G67" s="577"/>
      <c r="H67" s="577" t="s">
        <v>320</v>
      </c>
      <c r="I67" s="1217" t="s">
        <v>257</v>
      </c>
      <c r="J67" s="1217"/>
      <c r="K67" s="1350">
        <v>400</v>
      </c>
      <c r="L67" s="1351"/>
      <c r="M67" s="485" t="s">
        <v>337</v>
      </c>
      <c r="N67" s="485"/>
    </row>
    <row r="68" spans="1:14" ht="12" customHeight="1" x14ac:dyDescent="0.25">
      <c r="A68" s="393"/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394"/>
      <c r="M68" s="485"/>
      <c r="N68" s="485"/>
    </row>
    <row r="69" spans="1:14" ht="15.75" thickBot="1" x14ac:dyDescent="0.3">
      <c r="A69" s="1221" t="s">
        <v>254</v>
      </c>
      <c r="B69" s="652"/>
      <c r="C69" s="653" t="str">
        <f>A67</f>
        <v>P</v>
      </c>
      <c r="D69" s="653"/>
      <c r="E69" s="653"/>
      <c r="F69" s="653"/>
      <c r="G69" s="653"/>
      <c r="H69" s="581"/>
      <c r="I69" s="581"/>
      <c r="J69" s="581"/>
      <c r="K69" s="581"/>
      <c r="L69" s="394"/>
      <c r="M69" s="485"/>
      <c r="N69" s="485"/>
    </row>
    <row r="70" spans="1:14" x14ac:dyDescent="0.25">
      <c r="A70" s="1221"/>
      <c r="B70" s="652"/>
      <c r="C70" s="562" t="str">
        <f>IF(I67=$W$9,$W$7,IF(I67=$W$8,"",))</f>
        <v>√3 *</v>
      </c>
      <c r="D70" s="149" t="s">
        <v>258</v>
      </c>
      <c r="E70" s="224" t="str">
        <f>IF(A67="P","* cosϕ",IF(A67="S","",))</f>
        <v>* cosϕ</v>
      </c>
      <c r="F70" s="224"/>
      <c r="G70" s="581"/>
      <c r="H70" s="581"/>
      <c r="I70" s="581"/>
      <c r="J70" s="581"/>
      <c r="K70" s="581"/>
      <c r="L70" s="394"/>
      <c r="M70" s="485"/>
      <c r="N70" s="485"/>
    </row>
    <row r="71" spans="1:14" ht="12" customHeight="1" x14ac:dyDescent="0.25">
      <c r="A71" s="393"/>
      <c r="B71" s="581"/>
      <c r="C71" s="581"/>
      <c r="D71" s="581"/>
      <c r="E71" s="581"/>
      <c r="F71" s="581"/>
      <c r="G71" s="581"/>
      <c r="H71" s="581"/>
      <c r="I71" s="581"/>
      <c r="J71" s="581"/>
      <c r="K71" s="581"/>
      <c r="L71" s="394"/>
      <c r="M71" s="485"/>
      <c r="N71" s="485"/>
    </row>
    <row r="72" spans="1:14" ht="15.75" thickBot="1" x14ac:dyDescent="0.3">
      <c r="A72" s="1221" t="s">
        <v>254</v>
      </c>
      <c r="B72" s="652"/>
      <c r="C72" s="1091">
        <v>6200</v>
      </c>
      <c r="D72" s="1091"/>
      <c r="E72" s="1091"/>
      <c r="F72" s="1091"/>
      <c r="G72" s="1091"/>
      <c r="H72" s="652" t="s">
        <v>104</v>
      </c>
      <c r="I72" s="1225">
        <f>IF(AND(A67=$W$10,I67=$W$9),C72/(SQRT(3)*D73*F73))+IF(AND(A67=$W$11,I67=$W$9),C72/(SQRT(3)*D73))+IF(AND(A67=$W$10,I67=$W$8),C72/(D73*F73))+IF(AND(A67=$W$11,I67=$W$8),C72/D73)</f>
        <v>8.9489291724392004</v>
      </c>
      <c r="J72" s="1225"/>
      <c r="K72" s="1225"/>
      <c r="L72" s="1226"/>
      <c r="M72" s="485"/>
      <c r="N72" s="485"/>
    </row>
    <row r="73" spans="1:14" ht="15.75" thickBot="1" x14ac:dyDescent="0.3">
      <c r="A73" s="669"/>
      <c r="B73" s="653"/>
      <c r="C73" s="392" t="str">
        <f>IF($I$67=$W$9,$W$7,IF($I$67=$W$8,"",))</f>
        <v>√3 *</v>
      </c>
      <c r="D73" s="1349">
        <f>K67</f>
        <v>400</v>
      </c>
      <c r="E73" s="1349"/>
      <c r="F73" s="1090">
        <v>1</v>
      </c>
      <c r="G73" s="1090"/>
      <c r="H73" s="653"/>
      <c r="I73" s="1227"/>
      <c r="J73" s="1227"/>
      <c r="K73" s="1227"/>
      <c r="L73" s="1228"/>
      <c r="M73" s="485"/>
      <c r="N73" s="485"/>
    </row>
    <row r="76" spans="1:14" ht="15.75" thickBot="1" x14ac:dyDescent="0.3"/>
    <row r="77" spans="1:14" x14ac:dyDescent="0.25">
      <c r="A77" s="1216" t="s">
        <v>253</v>
      </c>
      <c r="B77" s="1217"/>
      <c r="C77" s="577"/>
      <c r="D77" s="577"/>
      <c r="E77" s="577"/>
      <c r="F77" s="577"/>
      <c r="G77" s="577"/>
      <c r="H77" s="577" t="s">
        <v>320</v>
      </c>
      <c r="I77" s="1217" t="s">
        <v>257</v>
      </c>
      <c r="J77" s="1217"/>
      <c r="K77" s="1350">
        <v>400</v>
      </c>
      <c r="L77" s="1351"/>
      <c r="M77" s="485" t="s">
        <v>337</v>
      </c>
      <c r="N77" s="485"/>
    </row>
    <row r="78" spans="1:14" ht="12" customHeight="1" x14ac:dyDescent="0.25">
      <c r="A78" s="393"/>
      <c r="B78" s="581"/>
      <c r="C78" s="581"/>
      <c r="D78" s="581"/>
      <c r="E78" s="581"/>
      <c r="F78" s="581"/>
      <c r="G78" s="581"/>
      <c r="H78" s="581"/>
      <c r="I78" s="581"/>
      <c r="J78" s="581"/>
      <c r="K78" s="581"/>
      <c r="L78" s="394"/>
      <c r="M78" s="485"/>
      <c r="N78" s="485"/>
    </row>
    <row r="79" spans="1:14" ht="15.75" thickBot="1" x14ac:dyDescent="0.3">
      <c r="A79" s="1221" t="s">
        <v>254</v>
      </c>
      <c r="B79" s="652"/>
      <c r="C79" s="653" t="str">
        <f>A77</f>
        <v>P</v>
      </c>
      <c r="D79" s="653"/>
      <c r="E79" s="653"/>
      <c r="F79" s="653"/>
      <c r="G79" s="653"/>
      <c r="H79" s="581"/>
      <c r="I79" s="581"/>
      <c r="J79" s="581"/>
      <c r="K79" s="581"/>
      <c r="L79" s="394"/>
      <c r="M79" s="485"/>
      <c r="N79" s="485"/>
    </row>
    <row r="80" spans="1:14" x14ac:dyDescent="0.25">
      <c r="A80" s="1221"/>
      <c r="B80" s="652"/>
      <c r="C80" s="562" t="str">
        <f>IF(I77=$W$9,$W$7,IF(I77=$W$8,"",))</f>
        <v>√3 *</v>
      </c>
      <c r="D80" s="149" t="s">
        <v>258</v>
      </c>
      <c r="E80" s="224" t="str">
        <f>IF(A77="P","* cosϕ",IF(A77="S","",))</f>
        <v>* cosϕ</v>
      </c>
      <c r="F80" s="224"/>
      <c r="G80" s="581"/>
      <c r="H80" s="581"/>
      <c r="I80" s="581"/>
      <c r="J80" s="581"/>
      <c r="K80" s="581"/>
      <c r="L80" s="394"/>
      <c r="M80" s="485"/>
      <c r="N80" s="485"/>
    </row>
    <row r="81" spans="1:14" ht="12" customHeight="1" x14ac:dyDescent="0.25">
      <c r="A81" s="393"/>
      <c r="B81" s="581"/>
      <c r="C81" s="581"/>
      <c r="D81" s="581"/>
      <c r="E81" s="581"/>
      <c r="F81" s="581"/>
      <c r="G81" s="581"/>
      <c r="H81" s="581"/>
      <c r="I81" s="581"/>
      <c r="J81" s="581"/>
      <c r="K81" s="581"/>
      <c r="L81" s="394"/>
      <c r="M81" s="485"/>
      <c r="N81" s="485"/>
    </row>
    <row r="82" spans="1:14" ht="15.75" thickBot="1" x14ac:dyDescent="0.3">
      <c r="A82" s="1221" t="s">
        <v>254</v>
      </c>
      <c r="B82" s="652"/>
      <c r="C82" s="1091">
        <v>6200</v>
      </c>
      <c r="D82" s="1091"/>
      <c r="E82" s="1091"/>
      <c r="F82" s="1091"/>
      <c r="G82" s="1091"/>
      <c r="H82" s="652" t="s">
        <v>104</v>
      </c>
      <c r="I82" s="1225">
        <f>IF(AND(A77=$W$10,I77=$W$9),C82/(SQRT(3)*D83*F83))+IF(AND(A77=$W$11,I77=$W$9),C82/(SQRT(3)*D83))+IF(AND(A77=$W$10,I77=$W$8),C82/(D83*F83))+IF(AND(A77=$W$11,I77=$W$8),C82/D83)</f>
        <v>8.9489291724392004</v>
      </c>
      <c r="J82" s="1225"/>
      <c r="K82" s="1225"/>
      <c r="L82" s="1226"/>
      <c r="M82" s="485"/>
      <c r="N82" s="485"/>
    </row>
    <row r="83" spans="1:14" ht="15.75" thickBot="1" x14ac:dyDescent="0.3">
      <c r="A83" s="669"/>
      <c r="B83" s="653"/>
      <c r="C83" s="392" t="str">
        <f>IF($I$77=$W$9,$W$7,IF($I$77=$W$8,"",))</f>
        <v>√3 *</v>
      </c>
      <c r="D83" s="1349">
        <f>K77</f>
        <v>400</v>
      </c>
      <c r="E83" s="1349"/>
      <c r="F83" s="1090">
        <v>1</v>
      </c>
      <c r="G83" s="1090"/>
      <c r="H83" s="653"/>
      <c r="I83" s="1227"/>
      <c r="J83" s="1227"/>
      <c r="K83" s="1227"/>
      <c r="L83" s="1228"/>
      <c r="M83" s="485"/>
      <c r="N83" s="485"/>
    </row>
    <row r="86" spans="1:14" ht="15.75" thickBot="1" x14ac:dyDescent="0.3"/>
    <row r="87" spans="1:14" x14ac:dyDescent="0.25">
      <c r="A87" s="1216" t="s">
        <v>253</v>
      </c>
      <c r="B87" s="1217"/>
      <c r="C87" s="577"/>
      <c r="D87" s="577"/>
      <c r="E87" s="577"/>
      <c r="F87" s="577"/>
      <c r="G87" s="577"/>
      <c r="H87" s="577" t="s">
        <v>320</v>
      </c>
      <c r="I87" s="1217" t="s">
        <v>257</v>
      </c>
      <c r="J87" s="1217"/>
      <c r="K87" s="1350">
        <v>400</v>
      </c>
      <c r="L87" s="1351"/>
      <c r="M87" s="485" t="s">
        <v>337</v>
      </c>
      <c r="N87" s="485"/>
    </row>
    <row r="88" spans="1:14" ht="12" customHeight="1" x14ac:dyDescent="0.25">
      <c r="A88" s="393"/>
      <c r="B88" s="581"/>
      <c r="C88" s="581"/>
      <c r="D88" s="581"/>
      <c r="E88" s="581"/>
      <c r="F88" s="581"/>
      <c r="G88" s="581"/>
      <c r="H88" s="581"/>
      <c r="I88" s="581"/>
      <c r="J88" s="581"/>
      <c r="K88" s="581"/>
      <c r="L88" s="394"/>
      <c r="M88" s="485"/>
      <c r="N88" s="485"/>
    </row>
    <row r="89" spans="1:14" ht="15.75" thickBot="1" x14ac:dyDescent="0.3">
      <c r="A89" s="1221" t="s">
        <v>254</v>
      </c>
      <c r="B89" s="652"/>
      <c r="C89" s="653" t="str">
        <f>A87</f>
        <v>P</v>
      </c>
      <c r="D89" s="653"/>
      <c r="E89" s="653"/>
      <c r="F89" s="653"/>
      <c r="G89" s="653"/>
      <c r="H89" s="581"/>
      <c r="I89" s="581"/>
      <c r="J89" s="581"/>
      <c r="K89" s="581"/>
      <c r="L89" s="394"/>
      <c r="M89" s="485"/>
      <c r="N89" s="485"/>
    </row>
    <row r="90" spans="1:14" x14ac:dyDescent="0.25">
      <c r="A90" s="1221"/>
      <c r="B90" s="652"/>
      <c r="C90" s="562" t="str">
        <f>IF(I87=$W$9,$W$7,IF(I87=$W$8,"",))</f>
        <v>√3 *</v>
      </c>
      <c r="D90" s="149" t="s">
        <v>258</v>
      </c>
      <c r="E90" s="224" t="str">
        <f>IF(A87="P","* cosϕ",IF(A87="S","",))</f>
        <v>* cosϕ</v>
      </c>
      <c r="F90" s="224"/>
      <c r="G90" s="581"/>
      <c r="H90" s="581"/>
      <c r="I90" s="581"/>
      <c r="J90" s="581"/>
      <c r="K90" s="581"/>
      <c r="L90" s="394"/>
      <c r="M90" s="485"/>
      <c r="N90" s="485"/>
    </row>
    <row r="91" spans="1:14" ht="12" customHeight="1" x14ac:dyDescent="0.25">
      <c r="A91" s="393"/>
      <c r="B91" s="581"/>
      <c r="C91" s="581"/>
      <c r="D91" s="581"/>
      <c r="E91" s="581"/>
      <c r="F91" s="581"/>
      <c r="G91" s="581"/>
      <c r="H91" s="581"/>
      <c r="I91" s="581"/>
      <c r="J91" s="581"/>
      <c r="K91" s="581"/>
      <c r="L91" s="394"/>
      <c r="M91" s="485"/>
      <c r="N91" s="485"/>
    </row>
    <row r="92" spans="1:14" ht="15.75" thickBot="1" x14ac:dyDescent="0.3">
      <c r="A92" s="1221" t="s">
        <v>254</v>
      </c>
      <c r="B92" s="652"/>
      <c r="C92" s="1091">
        <v>6200</v>
      </c>
      <c r="D92" s="1091"/>
      <c r="E92" s="1091"/>
      <c r="F92" s="1091"/>
      <c r="G92" s="1091"/>
      <c r="H92" s="652" t="s">
        <v>104</v>
      </c>
      <c r="I92" s="1225">
        <f>IF(AND(A87=$W$10,I87=$W$9),C92/(SQRT(3)*D93*F93))+IF(AND(A87=$W$11,I87=$W$9),C92/(SQRT(3)*D93))+IF(AND(A87=$W$10,I87=$W$8),C92/(D93*F93))+IF(AND(A87=$W$11,I87=$W$8),C92/D93)</f>
        <v>8.9489291724392004</v>
      </c>
      <c r="J92" s="1225"/>
      <c r="K92" s="1225"/>
      <c r="L92" s="1226"/>
      <c r="M92" s="485"/>
      <c r="N92" s="485"/>
    </row>
    <row r="93" spans="1:14" ht="15.75" thickBot="1" x14ac:dyDescent="0.3">
      <c r="A93" s="669"/>
      <c r="B93" s="653"/>
      <c r="C93" s="392" t="str">
        <f>IF($I$87=$W$9,$W$7,IF($I$87=$W$8,"",))</f>
        <v>√3 *</v>
      </c>
      <c r="D93" s="1349">
        <f>K87</f>
        <v>400</v>
      </c>
      <c r="E93" s="1349"/>
      <c r="F93" s="1090">
        <v>1</v>
      </c>
      <c r="G93" s="1090"/>
      <c r="H93" s="653"/>
      <c r="I93" s="1227"/>
      <c r="J93" s="1227"/>
      <c r="K93" s="1227"/>
      <c r="L93" s="1228"/>
      <c r="M93" s="485"/>
      <c r="N93" s="485"/>
    </row>
  </sheetData>
  <mergeCells count="201">
    <mergeCell ref="J1:L1"/>
    <mergeCell ref="G1:I1"/>
    <mergeCell ref="O4:S25"/>
    <mergeCell ref="G29:K29"/>
    <mergeCell ref="G30:K31"/>
    <mergeCell ref="G32:K32"/>
    <mergeCell ref="G33:K33"/>
    <mergeCell ref="F40:G40"/>
    <mergeCell ref="H41:I41"/>
    <mergeCell ref="H40:I40"/>
    <mergeCell ref="A32:F32"/>
    <mergeCell ref="L32:M32"/>
    <mergeCell ref="A33:F33"/>
    <mergeCell ref="L33:M33"/>
    <mergeCell ref="A29:B30"/>
    <mergeCell ref="L29:M29"/>
    <mergeCell ref="C30:C31"/>
    <mergeCell ref="L30:M31"/>
    <mergeCell ref="A26:F26"/>
    <mergeCell ref="G26:H26"/>
    <mergeCell ref="A40:D40"/>
    <mergeCell ref="E40:E41"/>
    <mergeCell ref="A41:D41"/>
    <mergeCell ref="L40:S42"/>
    <mergeCell ref="A92:B93"/>
    <mergeCell ref="C92:G92"/>
    <mergeCell ref="H92:H93"/>
    <mergeCell ref="I92:L93"/>
    <mergeCell ref="D93:E93"/>
    <mergeCell ref="F93:G93"/>
    <mergeCell ref="F83:G83"/>
    <mergeCell ref="A87:B87"/>
    <mergeCell ref="I87:J87"/>
    <mergeCell ref="K87:L87"/>
    <mergeCell ref="A89:B90"/>
    <mergeCell ref="C89:G89"/>
    <mergeCell ref="A77:B77"/>
    <mergeCell ref="I77:J77"/>
    <mergeCell ref="K77:L77"/>
    <mergeCell ref="A79:B80"/>
    <mergeCell ref="C79:G79"/>
    <mergeCell ref="A82:B83"/>
    <mergeCell ref="C82:G82"/>
    <mergeCell ref="H82:H83"/>
    <mergeCell ref="I82:L83"/>
    <mergeCell ref="D83:E83"/>
    <mergeCell ref="A72:B73"/>
    <mergeCell ref="C72:G72"/>
    <mergeCell ref="H72:H73"/>
    <mergeCell ref="I72:L73"/>
    <mergeCell ref="D73:E73"/>
    <mergeCell ref="F73:G73"/>
    <mergeCell ref="F63:G63"/>
    <mergeCell ref="A67:B67"/>
    <mergeCell ref="I67:J67"/>
    <mergeCell ref="K67:L67"/>
    <mergeCell ref="A69:B70"/>
    <mergeCell ref="C69:G69"/>
    <mergeCell ref="A57:B57"/>
    <mergeCell ref="I57:J57"/>
    <mergeCell ref="K57:L57"/>
    <mergeCell ref="A59:B60"/>
    <mergeCell ref="C59:G59"/>
    <mergeCell ref="A62:B63"/>
    <mergeCell ref="C62:G62"/>
    <mergeCell ref="H62:H63"/>
    <mergeCell ref="I62:L63"/>
    <mergeCell ref="D63:E63"/>
    <mergeCell ref="A52:B53"/>
    <mergeCell ref="C52:G52"/>
    <mergeCell ref="H52:H53"/>
    <mergeCell ref="I52:L53"/>
    <mergeCell ref="D53:E53"/>
    <mergeCell ref="F53:G53"/>
    <mergeCell ref="A47:B47"/>
    <mergeCell ref="I47:J47"/>
    <mergeCell ref="K47:L47"/>
    <mergeCell ref="A49:B50"/>
    <mergeCell ref="C49:G49"/>
    <mergeCell ref="J40:J41"/>
    <mergeCell ref="K40:K41"/>
    <mergeCell ref="M34:N36"/>
    <mergeCell ref="M37:N37"/>
    <mergeCell ref="A27:F27"/>
    <mergeCell ref="G27:H27"/>
    <mergeCell ref="A23:B24"/>
    <mergeCell ref="C23:F23"/>
    <mergeCell ref="G23:H25"/>
    <mergeCell ref="M23:N25"/>
    <mergeCell ref="C24:F25"/>
    <mergeCell ref="A25:B25"/>
    <mergeCell ref="A37:E37"/>
    <mergeCell ref="F37:G37"/>
    <mergeCell ref="I37:L37"/>
    <mergeCell ref="A34:B35"/>
    <mergeCell ref="D34:E36"/>
    <mergeCell ref="F34:G36"/>
    <mergeCell ref="H34:H36"/>
    <mergeCell ref="I34:L36"/>
    <mergeCell ref="C35:C36"/>
    <mergeCell ref="M21:N21"/>
    <mergeCell ref="A22:F22"/>
    <mergeCell ref="G22:H22"/>
    <mergeCell ref="I22:J22"/>
    <mergeCell ref="K22:L22"/>
    <mergeCell ref="M22:N22"/>
    <mergeCell ref="A21:F21"/>
    <mergeCell ref="G21:H21"/>
    <mergeCell ref="I21:J21"/>
    <mergeCell ref="K21:L21"/>
    <mergeCell ref="M19:N19"/>
    <mergeCell ref="A20:F20"/>
    <mergeCell ref="G20:H20"/>
    <mergeCell ref="I20:J20"/>
    <mergeCell ref="K20:L20"/>
    <mergeCell ref="M20:N20"/>
    <mergeCell ref="A19:F19"/>
    <mergeCell ref="G19:H19"/>
    <mergeCell ref="I19:J19"/>
    <mergeCell ref="K19:L19"/>
    <mergeCell ref="M17:N17"/>
    <mergeCell ref="A18:F18"/>
    <mergeCell ref="G18:H18"/>
    <mergeCell ref="I18:J18"/>
    <mergeCell ref="K18:L18"/>
    <mergeCell ref="M18:N18"/>
    <mergeCell ref="A17:F17"/>
    <mergeCell ref="G17:H17"/>
    <mergeCell ref="I17:J17"/>
    <mergeCell ref="K17:L17"/>
    <mergeCell ref="M15:N15"/>
    <mergeCell ref="A16:F16"/>
    <mergeCell ref="G16:H16"/>
    <mergeCell ref="I16:J16"/>
    <mergeCell ref="K16:L16"/>
    <mergeCell ref="M16:N16"/>
    <mergeCell ref="A15:F15"/>
    <mergeCell ref="G15:H15"/>
    <mergeCell ref="I15:J15"/>
    <mergeCell ref="K15:L15"/>
    <mergeCell ref="M13:N13"/>
    <mergeCell ref="A14:F14"/>
    <mergeCell ref="G14:H14"/>
    <mergeCell ref="I14:J14"/>
    <mergeCell ref="K14:L14"/>
    <mergeCell ref="M14:N14"/>
    <mergeCell ref="A13:F13"/>
    <mergeCell ref="G13:H13"/>
    <mergeCell ref="I13:J13"/>
    <mergeCell ref="K13:L13"/>
    <mergeCell ref="M11:N11"/>
    <mergeCell ref="A12:F12"/>
    <mergeCell ref="G12:H12"/>
    <mergeCell ref="I12:J12"/>
    <mergeCell ref="K12:L12"/>
    <mergeCell ref="M12:N12"/>
    <mergeCell ref="A11:F11"/>
    <mergeCell ref="G11:H11"/>
    <mergeCell ref="I11:J11"/>
    <mergeCell ref="K11:L11"/>
    <mergeCell ref="M9:N9"/>
    <mergeCell ref="A10:F10"/>
    <mergeCell ref="G10:H10"/>
    <mergeCell ref="I10:J10"/>
    <mergeCell ref="K10:L10"/>
    <mergeCell ref="M10:N10"/>
    <mergeCell ref="A9:F9"/>
    <mergeCell ref="G9:H9"/>
    <mergeCell ref="I9:J9"/>
    <mergeCell ref="K9:L9"/>
    <mergeCell ref="K7:L7"/>
    <mergeCell ref="M7:N7"/>
    <mergeCell ref="A8:F8"/>
    <mergeCell ref="G8:H8"/>
    <mergeCell ref="I8:J8"/>
    <mergeCell ref="K8:L8"/>
    <mergeCell ref="M8:N8"/>
    <mergeCell ref="I6:J6"/>
    <mergeCell ref="K6:L6"/>
    <mergeCell ref="M6:N6"/>
    <mergeCell ref="A7:F7"/>
    <mergeCell ref="G7:H7"/>
    <mergeCell ref="I7:J7"/>
    <mergeCell ref="A5:F5"/>
    <mergeCell ref="G5:H5"/>
    <mergeCell ref="I5:J5"/>
    <mergeCell ref="K5:L5"/>
    <mergeCell ref="M5:N5"/>
    <mergeCell ref="A6:F6"/>
    <mergeCell ref="G6:H6"/>
    <mergeCell ref="K3:L3"/>
    <mergeCell ref="M3:N3"/>
    <mergeCell ref="O3:S3"/>
    <mergeCell ref="A4:F4"/>
    <mergeCell ref="G4:H4"/>
    <mergeCell ref="I4:J4"/>
    <mergeCell ref="K4:L4"/>
    <mergeCell ref="M4:N4"/>
    <mergeCell ref="A3:F3"/>
    <mergeCell ref="G3:H3"/>
    <mergeCell ref="I3:J3"/>
  </mergeCells>
  <dataValidations count="5">
    <dataValidation type="list" allowBlank="1" showInputMessage="1" showErrorMessage="1" sqref="A47 A57 A67 A77 A87" xr:uid="{00000000-0002-0000-0E00-000000000000}">
      <formula1>$W$10:$W$11</formula1>
    </dataValidation>
    <dataValidation type="list" allowBlank="1" showInputMessage="1" showErrorMessage="1" sqref="K47 K57 K67 K77 K87" xr:uid="{00000000-0002-0000-0E00-000001000000}">
      <formula1>$W$4:$W$5</formula1>
    </dataValidation>
    <dataValidation type="list" allowBlank="1" showInputMessage="1" showErrorMessage="1" sqref="I47 I57 I67 I77 I87" xr:uid="{00000000-0002-0000-0E00-000002000000}">
      <formula1>$W$8:$W$9</formula1>
    </dataValidation>
    <dataValidation type="list" allowBlank="1" showInputMessage="1" showErrorMessage="1" sqref="O3:U3" xr:uid="{00000000-0002-0000-0E00-000003000000}">
      <formula1>$W$13</formula1>
    </dataValidation>
    <dataValidation type="list" allowBlank="1" showInputMessage="1" showErrorMessage="1" sqref="V26:Z37 T4:U25 O4" xr:uid="{00000000-0002-0000-0E00-000004000000}">
      <formula1>$AB$26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  <rowBreaks count="1" manualBreakCount="1">
    <brk id="44" max="16383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61"/>
  <sheetViews>
    <sheetView showGridLines="0" topLeftCell="A34" zoomScaleNormal="100" workbookViewId="0">
      <selection activeCell="P38" sqref="P38:Q38"/>
    </sheetView>
  </sheetViews>
  <sheetFormatPr defaultRowHeight="15" x14ac:dyDescent="0.25"/>
  <cols>
    <col min="1" max="34" width="2.5703125" style="45" customWidth="1"/>
    <col min="35" max="47" width="2.5703125" style="45" hidden="1" customWidth="1"/>
    <col min="48" max="48" width="9.140625" style="45" hidden="1" customWidth="1"/>
    <col min="49" max="49" width="17.28515625" style="45" hidden="1" customWidth="1"/>
    <col min="50" max="51" width="9.140625" style="45" hidden="1" customWidth="1"/>
    <col min="52" max="52" width="9.140625" style="45" customWidth="1"/>
    <col min="53" max="16384" width="9.140625" style="45"/>
  </cols>
  <sheetData>
    <row r="1" spans="1:50" ht="30.75" customHeight="1" x14ac:dyDescent="0.25">
      <c r="A1" s="1389" t="s">
        <v>270</v>
      </c>
      <c r="B1" s="1389"/>
      <c r="C1" s="1389"/>
      <c r="D1" s="1389"/>
      <c r="E1" s="1389"/>
      <c r="F1" s="1389"/>
      <c r="G1" s="1389"/>
      <c r="H1" s="1389"/>
      <c r="I1" s="1389"/>
      <c r="J1" s="1389"/>
      <c r="K1" s="1389"/>
      <c r="L1" s="1389"/>
      <c r="M1" s="1389"/>
      <c r="N1" s="1389"/>
      <c r="O1" s="1389"/>
      <c r="P1" s="1389"/>
      <c r="Q1" s="1389"/>
      <c r="R1" s="1389"/>
      <c r="S1" s="1389"/>
      <c r="T1" s="1389"/>
      <c r="U1" s="1389"/>
      <c r="V1" s="1389"/>
      <c r="W1" s="1389"/>
      <c r="X1" s="1389"/>
      <c r="Y1" s="1389"/>
      <c r="Z1" s="1389"/>
      <c r="AA1" s="1389"/>
      <c r="AB1" s="1389"/>
      <c r="AC1" s="1389"/>
      <c r="AD1" s="1389"/>
      <c r="AE1" s="1389"/>
      <c r="AF1" s="1389"/>
      <c r="AG1" s="1389"/>
      <c r="AV1" s="45">
        <f>P39</f>
        <v>0</v>
      </c>
    </row>
    <row r="2" spans="1:50" x14ac:dyDescent="0.25">
      <c r="A2" s="45" t="s">
        <v>311</v>
      </c>
      <c r="AV2" s="45">
        <v>2.5</v>
      </c>
      <c r="AW2" s="45" t="s">
        <v>281</v>
      </c>
      <c r="AX2" s="45">
        <v>1</v>
      </c>
    </row>
    <row r="3" spans="1:50" x14ac:dyDescent="0.25">
      <c r="A3" s="45" t="s">
        <v>313</v>
      </c>
      <c r="AV3" s="45">
        <v>5.5</v>
      </c>
      <c r="AW3" s="45" t="s">
        <v>282</v>
      </c>
      <c r="AX3" s="45">
        <v>1.5</v>
      </c>
    </row>
    <row r="4" spans="1:50" ht="19.5" x14ac:dyDescent="0.35">
      <c r="A4" s="11" t="s">
        <v>305</v>
      </c>
      <c r="B4" s="263" t="s">
        <v>104</v>
      </c>
      <c r="C4" s="1377">
        <v>50</v>
      </c>
      <c r="D4" s="1377"/>
      <c r="E4" s="1377"/>
      <c r="F4" s="279" t="s">
        <v>140</v>
      </c>
      <c r="G4" s="1399">
        <v>-45.573</v>
      </c>
      <c r="H4" s="1399"/>
      <c r="I4" s="1399"/>
      <c r="J4" s="1399"/>
      <c r="L4" s="1383" t="s">
        <v>271</v>
      </c>
      <c r="M4" s="1383"/>
      <c r="N4" s="763">
        <f>C4</f>
        <v>50</v>
      </c>
      <c r="O4" s="763"/>
      <c r="P4" s="763"/>
      <c r="Q4" s="271" t="s">
        <v>272</v>
      </c>
      <c r="S4" s="1388">
        <f>COS(G4*PI()/180)</f>
        <v>0.69999995013338001</v>
      </c>
      <c r="T4" s="1388"/>
      <c r="U4" s="1388"/>
      <c r="AA4" s="285"/>
      <c r="AB4" s="285"/>
      <c r="AE4" s="285"/>
      <c r="AF4" s="285"/>
      <c r="AV4" s="45">
        <v>6.7</v>
      </c>
      <c r="AW4" s="45" t="s">
        <v>283</v>
      </c>
      <c r="AX4" s="340">
        <v>2</v>
      </c>
    </row>
    <row r="5" spans="1:50" ht="9.9499999999999993" customHeight="1" x14ac:dyDescent="0.25">
      <c r="A5" s="11"/>
      <c r="B5" s="291"/>
      <c r="C5" s="68"/>
      <c r="D5" s="68"/>
      <c r="E5" s="68"/>
      <c r="F5" s="144"/>
      <c r="G5" s="308"/>
      <c r="H5" s="308"/>
      <c r="I5" s="308"/>
      <c r="J5" s="308"/>
      <c r="L5" s="296"/>
      <c r="M5" s="296"/>
      <c r="N5" s="294"/>
      <c r="O5" s="294"/>
      <c r="P5" s="294"/>
      <c r="Q5" s="271"/>
      <c r="S5" s="297"/>
      <c r="T5" s="297"/>
      <c r="U5" s="297"/>
      <c r="AA5" s="285"/>
      <c r="AB5" s="285"/>
      <c r="AE5" s="285"/>
      <c r="AF5" s="285"/>
      <c r="AV5" s="45">
        <v>10</v>
      </c>
      <c r="AW5" s="45" t="s">
        <v>284</v>
      </c>
      <c r="AX5" s="340">
        <v>2.5</v>
      </c>
    </row>
    <row r="6" spans="1:50" ht="19.5" x14ac:dyDescent="0.35">
      <c r="A6" s="356" t="s">
        <v>321</v>
      </c>
      <c r="B6" s="357"/>
      <c r="C6" s="358"/>
      <c r="D6" s="358"/>
      <c r="E6" s="358"/>
      <c r="F6" s="359"/>
      <c r="G6" s="360"/>
      <c r="H6" s="360"/>
      <c r="I6" s="360"/>
      <c r="J6" s="360"/>
      <c r="K6" s="361"/>
      <c r="L6" s="362"/>
      <c r="M6" s="362"/>
      <c r="N6" s="358"/>
      <c r="O6" s="358"/>
      <c r="P6" s="358"/>
      <c r="Q6" s="363"/>
      <c r="R6" s="361"/>
      <c r="S6" s="364"/>
      <c r="T6" s="364"/>
      <c r="U6" s="361"/>
      <c r="V6" s="1411" t="s">
        <v>326</v>
      </c>
      <c r="W6" s="1411"/>
      <c r="X6" s="357" t="s">
        <v>104</v>
      </c>
      <c r="Y6" s="1377">
        <v>210</v>
      </c>
      <c r="Z6" s="1377"/>
      <c r="AA6" s="1377"/>
      <c r="AB6" s="365" t="s">
        <v>192</v>
      </c>
      <c r="AC6" s="361"/>
      <c r="AE6" s="285"/>
      <c r="AF6" s="285"/>
      <c r="AV6" s="45">
        <v>12.5</v>
      </c>
      <c r="AW6" s="45" t="s">
        <v>285</v>
      </c>
      <c r="AX6" s="340">
        <v>3</v>
      </c>
    </row>
    <row r="7" spans="1:50" ht="9.9499999999999993" customHeight="1" x14ac:dyDescent="0.25">
      <c r="A7" s="356"/>
      <c r="B7" s="357"/>
      <c r="C7" s="358"/>
      <c r="D7" s="358"/>
      <c r="E7" s="358"/>
      <c r="F7" s="359"/>
      <c r="G7" s="360"/>
      <c r="H7" s="360"/>
      <c r="I7" s="360"/>
      <c r="J7" s="360"/>
      <c r="K7" s="361"/>
      <c r="L7" s="362"/>
      <c r="M7" s="362"/>
      <c r="N7" s="358"/>
      <c r="O7" s="358"/>
      <c r="P7" s="358"/>
      <c r="Q7" s="363"/>
      <c r="R7" s="361"/>
      <c r="S7" s="364"/>
      <c r="T7" s="364"/>
      <c r="U7" s="364"/>
      <c r="V7" s="361"/>
      <c r="W7" s="361"/>
      <c r="X7" s="361"/>
      <c r="Y7" s="361"/>
      <c r="Z7" s="361"/>
      <c r="AA7" s="366"/>
      <c r="AB7" s="366"/>
      <c r="AC7" s="361"/>
      <c r="AE7" s="285"/>
      <c r="AF7" s="285"/>
      <c r="AV7" s="45">
        <v>15</v>
      </c>
      <c r="AW7" s="45" t="s">
        <v>286</v>
      </c>
      <c r="AX7" s="340">
        <v>3.5</v>
      </c>
    </row>
    <row r="8" spans="1:50" ht="15" customHeight="1" x14ac:dyDescent="0.35">
      <c r="A8" s="1400" t="s">
        <v>322</v>
      </c>
      <c r="B8" s="1400"/>
      <c r="C8" s="1400"/>
      <c r="D8" s="1401" t="s">
        <v>104</v>
      </c>
      <c r="E8" s="1407" t="s">
        <v>324</v>
      </c>
      <c r="F8" s="1407"/>
      <c r="G8" s="367" t="s">
        <v>134</v>
      </c>
      <c r="H8" s="1402" t="s">
        <v>323</v>
      </c>
      <c r="I8" s="1402"/>
      <c r="J8" s="1402"/>
      <c r="K8" s="361"/>
      <c r="L8" s="1409" t="s">
        <v>104</v>
      </c>
      <c r="M8" s="362"/>
      <c r="N8" s="1403">
        <f>C4</f>
        <v>50</v>
      </c>
      <c r="O8" s="1403"/>
      <c r="P8" s="368" t="s">
        <v>134</v>
      </c>
      <c r="Q8" s="1404">
        <f>S4</f>
        <v>0.69999995013338001</v>
      </c>
      <c r="R8" s="1405"/>
      <c r="S8" s="364"/>
      <c r="T8" s="1410" t="s">
        <v>104</v>
      </c>
      <c r="U8" s="1410">
        <f>ROUNDUP(N8*Q8/N9,2)</f>
        <v>0.17</v>
      </c>
      <c r="V8" s="1410"/>
      <c r="W8" s="1410"/>
      <c r="X8" s="361"/>
      <c r="Y8" s="361"/>
      <c r="Z8" s="361"/>
      <c r="AA8" s="366"/>
      <c r="AB8" s="366"/>
      <c r="AC8" s="361"/>
      <c r="AE8" s="285"/>
      <c r="AF8" s="285"/>
      <c r="AV8" s="45">
        <v>16.600000000000001</v>
      </c>
      <c r="AW8" s="45" t="s">
        <v>287</v>
      </c>
      <c r="AX8" s="340">
        <v>4</v>
      </c>
    </row>
    <row r="9" spans="1:50" ht="16.5" customHeight="1" x14ac:dyDescent="0.35">
      <c r="A9" s="1400"/>
      <c r="B9" s="1400"/>
      <c r="C9" s="1400"/>
      <c r="D9" s="1401"/>
      <c r="E9" s="1408" t="s">
        <v>325</v>
      </c>
      <c r="F9" s="1408"/>
      <c r="G9" s="1408"/>
      <c r="H9" s="1408"/>
      <c r="I9" s="1408"/>
      <c r="J9" s="1408"/>
      <c r="K9" s="361"/>
      <c r="L9" s="1409"/>
      <c r="M9" s="362"/>
      <c r="N9" s="1406">
        <f>Y6</f>
        <v>210</v>
      </c>
      <c r="O9" s="1406"/>
      <c r="P9" s="1406"/>
      <c r="Q9" s="1406"/>
      <c r="R9" s="1406"/>
      <c r="S9" s="364"/>
      <c r="T9" s="1410"/>
      <c r="U9" s="1410"/>
      <c r="V9" s="1410"/>
      <c r="W9" s="1410"/>
      <c r="X9" s="361"/>
      <c r="Y9" s="361"/>
      <c r="Z9" s="361"/>
      <c r="AA9" s="366"/>
      <c r="AB9" s="366"/>
      <c r="AC9" s="361"/>
      <c r="AE9" s="285"/>
      <c r="AF9" s="285"/>
      <c r="AJ9" s="695" t="s">
        <v>274</v>
      </c>
      <c r="AK9" s="695"/>
      <c r="AL9" s="695"/>
      <c r="AM9" s="695"/>
      <c r="AN9" s="695" t="s">
        <v>154</v>
      </c>
      <c r="AO9" s="695"/>
      <c r="AP9" s="695"/>
      <c r="AQ9" s="695"/>
      <c r="AR9" s="695" t="s">
        <v>155</v>
      </c>
      <c r="AS9" s="695"/>
      <c r="AT9" s="695"/>
      <c r="AU9" s="695"/>
      <c r="AV9" s="45">
        <v>20</v>
      </c>
      <c r="AW9" s="45" t="s">
        <v>288</v>
      </c>
      <c r="AX9" s="340">
        <v>4.5</v>
      </c>
    </row>
    <row r="10" spans="1:50" ht="9.9499999999999993" customHeight="1" x14ac:dyDescent="0.25">
      <c r="AA10" s="285"/>
      <c r="AB10" s="285"/>
      <c r="AC10" s="273"/>
      <c r="AD10" s="273"/>
      <c r="AE10" s="285"/>
      <c r="AF10" s="285"/>
      <c r="AJ10" s="1374">
        <f>RADIANS(180+G23)</f>
        <v>2.6905995748744584</v>
      </c>
      <c r="AK10" s="1374"/>
      <c r="AL10" s="1374"/>
      <c r="AM10" s="1374"/>
      <c r="AN10" s="695">
        <f>L17*COS(AJ10)</f>
        <v>-35.100573432483571</v>
      </c>
      <c r="AO10" s="695"/>
      <c r="AP10" s="695"/>
      <c r="AQ10" s="695"/>
      <c r="AR10" s="695">
        <f>C23*SIN(AJ10)</f>
        <v>16.998521838996133</v>
      </c>
      <c r="AS10" s="695"/>
      <c r="AT10" s="695"/>
      <c r="AU10" s="695"/>
      <c r="AV10" s="45">
        <v>25</v>
      </c>
      <c r="AW10" s="45" t="s">
        <v>289</v>
      </c>
      <c r="AX10" s="340">
        <v>5</v>
      </c>
    </row>
    <row r="11" spans="1:50" ht="15.75" customHeight="1" x14ac:dyDescent="0.25">
      <c r="A11" s="271" t="s">
        <v>273</v>
      </c>
      <c r="B11" s="272"/>
      <c r="C11" s="272"/>
      <c r="E11" s="1396">
        <v>0.9</v>
      </c>
      <c r="F11" s="1396"/>
      <c r="G11" s="1396"/>
      <c r="H11" s="273" t="s">
        <v>271</v>
      </c>
      <c r="J11" s="279" t="s">
        <v>140</v>
      </c>
      <c r="K11" s="1397">
        <f>ROUND(-DEGREES(ACOS(E11)),2)</f>
        <v>-25.84</v>
      </c>
      <c r="L11" s="1397"/>
      <c r="M11" s="1397"/>
      <c r="AJ11" s="695">
        <f>RADIANS(180+O23)</f>
        <v>2.3461937535784174</v>
      </c>
      <c r="AK11" s="695"/>
      <c r="AL11" s="695"/>
      <c r="AM11" s="695"/>
      <c r="AN11" s="695">
        <f>K23*COS(AJ11)</f>
        <v>-34.999997506669004</v>
      </c>
      <c r="AO11" s="695"/>
      <c r="AP11" s="695"/>
      <c r="AQ11" s="695"/>
      <c r="AR11" s="695">
        <f>K23*SIN(AJ11)</f>
        <v>35.707144586667297</v>
      </c>
      <c r="AS11" s="695"/>
      <c r="AT11" s="695"/>
      <c r="AU11" s="695"/>
      <c r="AV11" s="45">
        <v>30</v>
      </c>
      <c r="AW11" s="45" t="s">
        <v>290</v>
      </c>
      <c r="AX11" s="340">
        <v>5.5</v>
      </c>
    </row>
    <row r="12" spans="1:50" ht="9.9499999999999993" customHeight="1" x14ac:dyDescent="0.25">
      <c r="A12" s="271"/>
      <c r="B12" s="272"/>
      <c r="C12" s="272"/>
      <c r="E12" s="266"/>
      <c r="F12" s="266"/>
      <c r="G12" s="266"/>
      <c r="H12" s="273"/>
      <c r="J12" s="279"/>
      <c r="K12" s="289"/>
      <c r="L12" s="289"/>
      <c r="M12" s="289"/>
      <c r="AV12" s="45">
        <v>35</v>
      </c>
      <c r="AW12" s="45" t="s">
        <v>291</v>
      </c>
      <c r="AX12" s="340">
        <v>6</v>
      </c>
    </row>
    <row r="13" spans="1:50" x14ac:dyDescent="0.25">
      <c r="A13" s="45" t="s">
        <v>314</v>
      </c>
      <c r="P13" s="532"/>
      <c r="AV13" s="45">
        <v>40</v>
      </c>
      <c r="AW13" s="45" t="s">
        <v>292</v>
      </c>
      <c r="AX13" s="340">
        <v>6.5</v>
      </c>
    </row>
    <row r="14" spans="1:50" ht="11.1" customHeight="1" x14ac:dyDescent="0.35">
      <c r="A14" s="1398" t="s">
        <v>309</v>
      </c>
      <c r="B14" s="1398"/>
      <c r="C14" s="681" t="s">
        <v>104</v>
      </c>
      <c r="D14" s="681" t="s">
        <v>137</v>
      </c>
      <c r="E14" s="681" t="s">
        <v>134</v>
      </c>
      <c r="F14" s="1375" t="s">
        <v>301</v>
      </c>
      <c r="G14" s="1375"/>
      <c r="H14" s="1375"/>
      <c r="AV14" s="45">
        <v>45</v>
      </c>
      <c r="AW14" s="45" t="s">
        <v>293</v>
      </c>
      <c r="AX14" s="340">
        <v>7</v>
      </c>
    </row>
    <row r="15" spans="1:50" ht="18" customHeight="1" x14ac:dyDescent="0.35">
      <c r="A15" s="1398"/>
      <c r="B15" s="1398"/>
      <c r="C15" s="681"/>
      <c r="D15" s="681"/>
      <c r="E15" s="681"/>
      <c r="F15" s="1390" t="s">
        <v>302</v>
      </c>
      <c r="G15" s="1390"/>
      <c r="H15" s="1390"/>
      <c r="AH15" s="277"/>
      <c r="AI15" s="277"/>
      <c r="AV15" s="45">
        <v>50</v>
      </c>
      <c r="AW15" s="45" t="s">
        <v>294</v>
      </c>
      <c r="AX15" s="340">
        <v>7.5</v>
      </c>
    </row>
    <row r="16" spans="1:50" ht="9.9499999999999993" customHeight="1" x14ac:dyDescent="0.25">
      <c r="A16" s="286"/>
      <c r="B16" s="286"/>
      <c r="C16" s="263"/>
      <c r="D16" s="263"/>
      <c r="E16" s="263"/>
      <c r="F16" s="280"/>
      <c r="G16" s="280"/>
      <c r="H16" s="280"/>
      <c r="AH16" s="277"/>
      <c r="AI16" s="277"/>
      <c r="AV16" s="340">
        <v>60</v>
      </c>
      <c r="AW16" s="340" t="s">
        <v>345</v>
      </c>
      <c r="AX16" s="340">
        <v>8</v>
      </c>
    </row>
    <row r="17" spans="1:50" ht="11.1" customHeight="1" x14ac:dyDescent="0.25">
      <c r="A17" s="286"/>
      <c r="B17" s="286"/>
      <c r="C17" s="623" t="s">
        <v>104</v>
      </c>
      <c r="D17" s="1373">
        <f>C4</f>
        <v>50</v>
      </c>
      <c r="E17" s="1373"/>
      <c r="F17" s="1373"/>
      <c r="G17" s="681" t="s">
        <v>134</v>
      </c>
      <c r="H17" s="1371">
        <f>S4</f>
        <v>0.69999995013338001</v>
      </c>
      <c r="I17" s="1371"/>
      <c r="J17" s="1371"/>
      <c r="K17" s="681" t="s">
        <v>104</v>
      </c>
      <c r="L17" s="1372">
        <f>ROUNDUP(C4*(S4/E11),0)</f>
        <v>39</v>
      </c>
      <c r="M17" s="1372"/>
      <c r="N17" s="1372"/>
      <c r="O17" s="1370" t="s">
        <v>140</v>
      </c>
      <c r="P17" s="1391">
        <f>K11</f>
        <v>-25.84</v>
      </c>
      <c r="Q17" s="1391"/>
      <c r="R17" s="1391"/>
      <c r="S17" s="1391"/>
      <c r="T17" s="287"/>
      <c r="U17" s="287"/>
      <c r="V17" s="263"/>
      <c r="W17" s="288"/>
      <c r="X17" s="288"/>
      <c r="Y17" s="288"/>
      <c r="Z17" s="288"/>
      <c r="AV17" s="340">
        <v>70</v>
      </c>
      <c r="AW17" s="340" t="s">
        <v>346</v>
      </c>
      <c r="AX17" s="340">
        <v>8.5</v>
      </c>
    </row>
    <row r="18" spans="1:50" ht="15.75" x14ac:dyDescent="0.25">
      <c r="A18" s="286"/>
      <c r="B18" s="286"/>
      <c r="C18" s="623"/>
      <c r="D18" s="1373"/>
      <c r="E18" s="1373"/>
      <c r="F18" s="1373"/>
      <c r="G18" s="681"/>
      <c r="H18" s="802">
        <f>E11</f>
        <v>0.9</v>
      </c>
      <c r="I18" s="802"/>
      <c r="J18" s="802"/>
      <c r="K18" s="681"/>
      <c r="L18" s="1372"/>
      <c r="M18" s="1372"/>
      <c r="N18" s="1372"/>
      <c r="O18" s="681"/>
      <c r="P18" s="1391"/>
      <c r="Q18" s="1391"/>
      <c r="R18" s="1391"/>
      <c r="S18" s="1391"/>
      <c r="T18" s="287"/>
      <c r="U18" s="287"/>
      <c r="V18" s="263"/>
      <c r="W18" s="288"/>
      <c r="X18" s="288"/>
      <c r="Y18" s="288"/>
      <c r="Z18" s="288"/>
      <c r="AH18" s="265"/>
      <c r="AI18" s="265"/>
      <c r="AV18" s="340">
        <v>80</v>
      </c>
      <c r="AW18" s="340" t="s">
        <v>347</v>
      </c>
      <c r="AX18" s="340">
        <v>9</v>
      </c>
    </row>
    <row r="19" spans="1:50" ht="9.9499999999999993" customHeight="1" x14ac:dyDescent="0.25">
      <c r="A19" s="286"/>
      <c r="B19" s="286"/>
      <c r="C19" s="263"/>
      <c r="D19" s="263"/>
      <c r="E19" s="263"/>
      <c r="F19" s="280"/>
      <c r="G19" s="280"/>
      <c r="H19" s="280"/>
      <c r="I19" s="267"/>
      <c r="J19" s="267"/>
      <c r="K19" s="276"/>
      <c r="L19" s="276"/>
      <c r="M19" s="276"/>
      <c r="N19" s="263"/>
      <c r="O19" s="265"/>
      <c r="P19" s="265"/>
      <c r="Q19" s="265"/>
      <c r="R19" s="263"/>
      <c r="S19" s="287"/>
      <c r="T19" s="287"/>
      <c r="U19" s="287"/>
      <c r="V19" s="263"/>
      <c r="W19" s="288"/>
      <c r="X19" s="288"/>
      <c r="Y19" s="288"/>
      <c r="Z19" s="288"/>
      <c r="AH19" s="265"/>
      <c r="AI19" s="265"/>
      <c r="AV19" s="340">
        <v>100</v>
      </c>
      <c r="AW19" s="340" t="s">
        <v>348</v>
      </c>
      <c r="AX19" s="340">
        <v>9.5</v>
      </c>
    </row>
    <row r="20" spans="1:50" ht="15" customHeight="1" x14ac:dyDescent="0.25">
      <c r="A20" s="45" t="s">
        <v>315</v>
      </c>
      <c r="AH20" s="265"/>
      <c r="AI20" s="265"/>
      <c r="AV20" s="45">
        <v>120</v>
      </c>
      <c r="AW20" s="340" t="s">
        <v>349</v>
      </c>
      <c r="AX20" s="340">
        <v>10</v>
      </c>
    </row>
    <row r="21" spans="1:50" ht="15" customHeight="1" x14ac:dyDescent="0.35">
      <c r="A21" s="271" t="s">
        <v>308</v>
      </c>
      <c r="B21" s="263" t="s">
        <v>104</v>
      </c>
      <c r="C21" s="791" t="s">
        <v>307</v>
      </c>
      <c r="D21" s="694"/>
      <c r="E21" s="267" t="s">
        <v>275</v>
      </c>
      <c r="F21" s="141" t="s">
        <v>305</v>
      </c>
      <c r="G21" s="1020"/>
      <c r="H21" s="623"/>
      <c r="I21" s="11"/>
      <c r="AV21" s="45" t="s">
        <v>328</v>
      </c>
      <c r="AX21" s="340">
        <v>10.5</v>
      </c>
    </row>
    <row r="22" spans="1:50" ht="9.9499999999999993" customHeight="1" x14ac:dyDescent="0.25">
      <c r="A22" s="271"/>
      <c r="B22" s="263"/>
      <c r="C22" s="265"/>
      <c r="D22" s="265"/>
      <c r="E22" s="267"/>
      <c r="F22" s="11"/>
      <c r="G22" s="267"/>
      <c r="H22" s="267"/>
      <c r="I22" s="270"/>
      <c r="J22" s="270"/>
      <c r="K22" s="270"/>
      <c r="L22" s="279"/>
      <c r="M22" s="282"/>
      <c r="N22" s="282"/>
      <c r="O22" s="282"/>
      <c r="P22" s="263"/>
      <c r="Q22" s="268"/>
      <c r="R22" s="268"/>
      <c r="S22" s="268"/>
      <c r="T22" s="279"/>
      <c r="U22" s="278"/>
      <c r="V22" s="278"/>
      <c r="W22" s="278"/>
      <c r="X22" s="263"/>
      <c r="Y22" s="283"/>
      <c r="Z22" s="283"/>
      <c r="AA22" s="283"/>
      <c r="AJ22" s="695" t="s">
        <v>274</v>
      </c>
      <c r="AK22" s="695"/>
      <c r="AL22" s="695"/>
      <c r="AM22" s="695"/>
      <c r="AN22" s="695" t="s">
        <v>154</v>
      </c>
      <c r="AO22" s="695"/>
      <c r="AP22" s="695"/>
      <c r="AQ22" s="695"/>
      <c r="AR22" s="695" t="s">
        <v>155</v>
      </c>
      <c r="AS22" s="695"/>
      <c r="AT22" s="695"/>
      <c r="AU22" s="695"/>
      <c r="AV22" s="45" t="s">
        <v>327</v>
      </c>
      <c r="AX22" s="340">
        <v>11</v>
      </c>
    </row>
    <row r="23" spans="1:50" ht="15" customHeight="1" x14ac:dyDescent="0.25">
      <c r="A23" s="271"/>
      <c r="B23" s="263" t="s">
        <v>104</v>
      </c>
      <c r="C23" s="1395">
        <f>L17</f>
        <v>39</v>
      </c>
      <c r="D23" s="1295"/>
      <c r="E23" s="1295"/>
      <c r="F23" s="279" t="s">
        <v>140</v>
      </c>
      <c r="G23" s="1376">
        <f>P17</f>
        <v>-25.84</v>
      </c>
      <c r="H23" s="1376"/>
      <c r="I23" s="1376"/>
      <c r="J23" s="263" t="s">
        <v>275</v>
      </c>
      <c r="K23" s="763">
        <f>C4</f>
        <v>50</v>
      </c>
      <c r="L23" s="763"/>
      <c r="M23" s="763"/>
      <c r="N23" s="279" t="s">
        <v>140</v>
      </c>
      <c r="O23" s="1290">
        <f>G4</f>
        <v>-45.573</v>
      </c>
      <c r="P23" s="1290"/>
      <c r="Q23" s="1393"/>
      <c r="R23" s="263" t="s">
        <v>104</v>
      </c>
      <c r="S23" s="1394">
        <f>ROUNDUP((SQRT((AN10-AN11)^2+(AR10-AR11)^2)),1)</f>
        <v>18.8</v>
      </c>
      <c r="T23" s="1394"/>
      <c r="U23" s="1394"/>
      <c r="V23" s="278"/>
      <c r="W23" s="278"/>
      <c r="X23" s="263"/>
      <c r="Y23" s="283"/>
      <c r="Z23" s="283"/>
      <c r="AA23" s="283"/>
      <c r="AJ23" s="695">
        <f>RADIANS(180+M50)</f>
        <v>2.3461937535784174</v>
      </c>
      <c r="AK23" s="695"/>
      <c r="AL23" s="695"/>
      <c r="AM23" s="695"/>
      <c r="AN23" s="695">
        <f>J50*COS(AJ23)</f>
        <v>-34.999997506669004</v>
      </c>
      <c r="AO23" s="695"/>
      <c r="AP23" s="695"/>
      <c r="AQ23" s="695"/>
      <c r="AR23" s="695">
        <f>J50*SIN(AJ23)</f>
        <v>35.707144586667297</v>
      </c>
      <c r="AS23" s="695"/>
      <c r="AT23" s="695"/>
      <c r="AU23" s="695"/>
      <c r="AV23" s="45" t="s">
        <v>295</v>
      </c>
      <c r="AX23" s="340">
        <v>11.5</v>
      </c>
    </row>
    <row r="24" spans="1:50" ht="9.9499999999999993" customHeight="1" x14ac:dyDescent="0.25">
      <c r="A24" s="271"/>
      <c r="B24" s="263"/>
      <c r="C24" s="265"/>
      <c r="D24" s="265"/>
      <c r="E24" s="267"/>
      <c r="F24" s="11"/>
      <c r="G24" s="267"/>
      <c r="H24" s="267"/>
      <c r="I24" s="270"/>
      <c r="J24" s="270"/>
      <c r="K24" s="270"/>
      <c r="L24" s="279"/>
      <c r="M24" s="282"/>
      <c r="N24" s="282"/>
      <c r="O24" s="282"/>
      <c r="P24" s="263"/>
      <c r="Q24" s="268"/>
      <c r="R24" s="268"/>
      <c r="S24" s="268"/>
      <c r="T24" s="279"/>
      <c r="U24" s="278"/>
      <c r="V24" s="278"/>
      <c r="W24" s="278"/>
      <c r="X24" s="263"/>
      <c r="Y24" s="283"/>
      <c r="Z24" s="283"/>
      <c r="AA24" s="283"/>
      <c r="AJ24" s="695">
        <f>RADIANS(180+U50)</f>
        <v>4.7123889803846897</v>
      </c>
      <c r="AK24" s="695"/>
      <c r="AL24" s="695"/>
      <c r="AM24" s="695"/>
      <c r="AN24" s="695">
        <f>Q50*COS(AJ24)</f>
        <v>-4.3737799840237734E-15</v>
      </c>
      <c r="AO24" s="695"/>
      <c r="AP24" s="695"/>
      <c r="AQ24" s="695"/>
      <c r="AR24" s="695">
        <f>Q50*SIN(AJ24)</f>
        <v>-23.8</v>
      </c>
      <c r="AS24" s="695"/>
      <c r="AT24" s="695"/>
      <c r="AU24" s="695"/>
      <c r="AX24" s="340">
        <v>12</v>
      </c>
    </row>
    <row r="25" spans="1:50" ht="15" customHeight="1" x14ac:dyDescent="0.25">
      <c r="A25" s="1376" t="s">
        <v>312</v>
      </c>
      <c r="B25" s="1376"/>
      <c r="C25" s="1376"/>
      <c r="D25" s="1376"/>
      <c r="E25" s="1376"/>
      <c r="F25" s="1376"/>
      <c r="G25" s="1376"/>
      <c r="H25" s="1376"/>
      <c r="I25" s="1376"/>
      <c r="J25" s="1376"/>
      <c r="K25" s="1376"/>
      <c r="L25" s="1376"/>
      <c r="M25" s="1376"/>
      <c r="N25" s="1376"/>
      <c r="O25" s="1376"/>
      <c r="P25" s="1376"/>
      <c r="Q25" s="1376"/>
      <c r="R25" s="1376"/>
      <c r="S25" s="1376"/>
      <c r="T25" s="1376"/>
      <c r="U25" s="1376"/>
      <c r="V25" s="1376"/>
      <c r="W25" s="1376"/>
      <c r="X25" s="1376"/>
      <c r="Y25" s="1376"/>
      <c r="Z25" s="1376"/>
      <c r="AA25" s="1376"/>
      <c r="AB25" s="1376"/>
      <c r="AC25" s="1376"/>
      <c r="AD25" s="1376"/>
      <c r="AE25" s="1376"/>
      <c r="AF25" s="1376"/>
      <c r="AG25" s="1376"/>
      <c r="AV25" s="156" t="s">
        <v>330</v>
      </c>
      <c r="AX25" s="340">
        <v>12.5</v>
      </c>
    </row>
    <row r="26" spans="1:50" ht="9.9499999999999993" customHeight="1" x14ac:dyDescent="0.25">
      <c r="A26" s="282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V26" s="156" t="s">
        <v>329</v>
      </c>
      <c r="AX26" s="340">
        <v>13</v>
      </c>
    </row>
    <row r="27" spans="1:50" ht="15" customHeight="1" x14ac:dyDescent="0.25">
      <c r="A27" s="45" t="s">
        <v>276</v>
      </c>
      <c r="AX27" s="340">
        <v>13.5</v>
      </c>
    </row>
    <row r="28" spans="1:50" ht="15" customHeight="1" x14ac:dyDescent="0.35">
      <c r="A28" s="681" t="s">
        <v>297</v>
      </c>
      <c r="B28" s="681" t="s">
        <v>104</v>
      </c>
      <c r="C28" s="1392" t="s">
        <v>303</v>
      </c>
      <c r="D28" s="1380"/>
      <c r="E28" s="1380"/>
      <c r="F28" s="1380"/>
      <c r="G28" s="1380"/>
      <c r="H28" s="623"/>
      <c r="I28" s="623"/>
      <c r="AX28" s="340">
        <v>14</v>
      </c>
    </row>
    <row r="29" spans="1:50" ht="15" customHeight="1" x14ac:dyDescent="0.25">
      <c r="A29" s="681"/>
      <c r="B29" s="681"/>
      <c r="C29" s="695">
        <v>1000</v>
      </c>
      <c r="D29" s="695"/>
      <c r="E29" s="695"/>
      <c r="F29" s="695"/>
      <c r="G29" s="695"/>
      <c r="H29" s="623"/>
      <c r="I29" s="623"/>
      <c r="AX29" s="340">
        <v>14.5</v>
      </c>
    </row>
    <row r="30" spans="1:50" ht="9.9499999999999993" customHeight="1" x14ac:dyDescent="0.25">
      <c r="A30" s="263"/>
      <c r="B30" s="263"/>
      <c r="C30" s="264"/>
      <c r="D30" s="264"/>
      <c r="E30" s="264"/>
      <c r="F30" s="264"/>
      <c r="G30" s="264"/>
      <c r="H30" s="267"/>
      <c r="I30" s="267"/>
      <c r="J30" s="265"/>
      <c r="K30" s="265"/>
      <c r="L30" s="265"/>
      <c r="M30" s="265"/>
      <c r="N30" s="265"/>
      <c r="O30" s="265"/>
      <c r="P30" s="265"/>
      <c r="Q30" s="265"/>
      <c r="R30" s="263"/>
      <c r="S30" s="276"/>
      <c r="T30" s="276"/>
      <c r="U30" s="276"/>
      <c r="V30" s="263"/>
      <c r="W30" s="263"/>
      <c r="AX30" s="340">
        <v>15</v>
      </c>
    </row>
    <row r="31" spans="1:50" ht="15" customHeight="1" x14ac:dyDescent="0.25">
      <c r="A31" s="263"/>
      <c r="B31" s="681" t="s">
        <v>104</v>
      </c>
      <c r="C31" s="162" t="s">
        <v>183</v>
      </c>
      <c r="D31" s="263" t="s">
        <v>134</v>
      </c>
      <c r="E31" s="695">
        <v>400</v>
      </c>
      <c r="F31" s="695"/>
      <c r="G31" s="263" t="s">
        <v>134</v>
      </c>
      <c r="H31" s="695">
        <f>S23</f>
        <v>18.8</v>
      </c>
      <c r="I31" s="695"/>
      <c r="J31" s="695"/>
      <c r="K31" s="681" t="s">
        <v>104</v>
      </c>
      <c r="L31" s="1373">
        <f>ROUNDUP((SQRT(3)*400*S23)/1000,1)</f>
        <v>13.1</v>
      </c>
      <c r="M31" s="1373"/>
      <c r="N31" s="1373"/>
      <c r="O31" s="681" t="s">
        <v>277</v>
      </c>
      <c r="P31" s="681"/>
      <c r="Q31" s="265"/>
      <c r="R31" s="263"/>
      <c r="S31" s="276"/>
      <c r="T31" s="276"/>
      <c r="U31" s="276"/>
      <c r="V31" s="263"/>
      <c r="W31" s="263"/>
      <c r="AX31" s="340">
        <v>15.5</v>
      </c>
    </row>
    <row r="32" spans="1:50" ht="15" customHeight="1" x14ac:dyDescent="0.25">
      <c r="A32" s="263"/>
      <c r="B32" s="681"/>
      <c r="C32" s="802">
        <v>1000</v>
      </c>
      <c r="D32" s="802"/>
      <c r="E32" s="802"/>
      <c r="F32" s="802"/>
      <c r="G32" s="802"/>
      <c r="H32" s="802"/>
      <c r="I32" s="802"/>
      <c r="J32" s="802"/>
      <c r="K32" s="681"/>
      <c r="L32" s="1373"/>
      <c r="M32" s="1373"/>
      <c r="N32" s="1373"/>
      <c r="O32" s="681"/>
      <c r="P32" s="681"/>
      <c r="Q32" s="265"/>
      <c r="R32" s="263"/>
      <c r="S32" s="276"/>
      <c r="T32" s="276"/>
      <c r="U32" s="276"/>
      <c r="V32" s="263"/>
      <c r="W32" s="263"/>
      <c r="AX32" s="340">
        <v>16</v>
      </c>
    </row>
    <row r="33" spans="1:50" ht="9.9499999999999993" customHeight="1" x14ac:dyDescent="0.25">
      <c r="A33" s="263"/>
      <c r="B33" s="263"/>
      <c r="C33" s="264"/>
      <c r="D33" s="264"/>
      <c r="E33" s="264"/>
      <c r="F33" s="264"/>
      <c r="G33" s="264"/>
      <c r="H33" s="275"/>
      <c r="I33" s="275"/>
      <c r="J33" s="265"/>
      <c r="K33" s="265"/>
      <c r="L33" s="265"/>
      <c r="M33" s="265"/>
      <c r="N33" s="265"/>
      <c r="O33" s="265"/>
      <c r="P33" s="265"/>
      <c r="Q33" s="265"/>
      <c r="R33" s="263"/>
      <c r="S33" s="276"/>
      <c r="T33" s="276"/>
      <c r="U33" s="276"/>
      <c r="V33" s="263"/>
      <c r="W33" s="263"/>
      <c r="AX33" s="340">
        <v>16.5</v>
      </c>
    </row>
    <row r="34" spans="1:50" ht="15" customHeight="1" x14ac:dyDescent="0.25">
      <c r="A34" s="1387" t="str">
        <f>IF(L31&lt;25,AV21,IF(L31&gt;25,AV22,))</f>
        <v>FR 09 §28 må kobles direkte op til 25kVAR</v>
      </c>
      <c r="B34" s="1387"/>
      <c r="C34" s="1387"/>
      <c r="D34" s="1387"/>
      <c r="E34" s="1387"/>
      <c r="F34" s="1387"/>
      <c r="G34" s="1387"/>
      <c r="H34" s="1387"/>
      <c r="I34" s="1387"/>
      <c r="J34" s="1387"/>
      <c r="K34" s="1387"/>
      <c r="L34" s="1387"/>
      <c r="M34" s="1387"/>
      <c r="N34" s="1387"/>
      <c r="O34" s="1387"/>
      <c r="P34" s="1387"/>
      <c r="Q34" s="1387"/>
      <c r="R34" s="1387"/>
      <c r="S34" s="1387"/>
      <c r="T34" s="1387"/>
      <c r="U34" s="1387"/>
      <c r="V34" s="1387"/>
      <c r="W34" s="1387"/>
      <c r="X34" s="1387"/>
      <c r="Y34" s="1387"/>
      <c r="Z34" s="1387"/>
      <c r="AA34" s="1387"/>
      <c r="AB34" s="1387"/>
      <c r="AC34" s="1387"/>
      <c r="AD34" s="1387"/>
      <c r="AE34" s="1387"/>
      <c r="AF34" s="1387"/>
      <c r="AG34" s="1387"/>
      <c r="AX34" s="340">
        <v>17</v>
      </c>
    </row>
    <row r="35" spans="1:50" ht="9.9499999999999993" customHeight="1" x14ac:dyDescent="0.25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X35" s="340">
        <v>17.5</v>
      </c>
    </row>
    <row r="36" spans="1:50" ht="15" customHeight="1" x14ac:dyDescent="0.25">
      <c r="A36" s="145" t="s">
        <v>296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265"/>
      <c r="Q36" s="265"/>
      <c r="R36" s="263"/>
      <c r="S36" s="276"/>
      <c r="T36" s="276"/>
      <c r="U36" s="276"/>
      <c r="V36" s="263"/>
      <c r="W36" s="263"/>
      <c r="AX36" s="340">
        <v>18</v>
      </c>
    </row>
    <row r="37" spans="1:50" x14ac:dyDescent="0.25">
      <c r="U37" s="855" t="s">
        <v>278</v>
      </c>
      <c r="V37" s="855"/>
      <c r="W37" s="855"/>
      <c r="X37" s="855"/>
      <c r="Y37" s="855"/>
      <c r="Z37" s="855" t="str">
        <f>IF(Z38="","",AV23)</f>
        <v>ABB`s type nr.</v>
      </c>
      <c r="AA37" s="855"/>
      <c r="AB37" s="855"/>
      <c r="AC37" s="855"/>
      <c r="AD37" s="855"/>
      <c r="AE37" s="855"/>
      <c r="AF37" s="855"/>
      <c r="AG37" s="855"/>
      <c r="AX37" s="340">
        <v>18.5</v>
      </c>
    </row>
    <row r="38" spans="1:50" ht="15" customHeight="1" x14ac:dyDescent="0.25">
      <c r="A38" s="1376" t="s">
        <v>330</v>
      </c>
      <c r="B38" s="1376"/>
      <c r="C38" s="1376"/>
      <c r="D38" s="1376"/>
      <c r="E38" s="1376"/>
      <c r="F38" s="1376"/>
      <c r="G38" s="1376"/>
      <c r="H38" s="1376"/>
      <c r="I38" s="1376"/>
      <c r="J38" s="1376"/>
      <c r="K38" s="1376"/>
      <c r="L38" s="1376"/>
      <c r="M38" s="1376"/>
      <c r="N38" s="1376"/>
      <c r="O38" s="1376"/>
      <c r="P38" s="1377">
        <v>5.5</v>
      </c>
      <c r="Q38" s="1377"/>
      <c r="R38" s="695" t="s">
        <v>277</v>
      </c>
      <c r="S38" s="695"/>
      <c r="T38" s="264"/>
      <c r="U38" s="1378">
        <f>ROUNDUP((L31/P38),0)</f>
        <v>3</v>
      </c>
      <c r="V38" s="1379"/>
      <c r="W38" s="1385" t="s">
        <v>279</v>
      </c>
      <c r="X38" s="1385"/>
      <c r="Y38" s="1386"/>
      <c r="Z38" s="855" t="str">
        <f>IF(A38=AV25,VLOOKUP(P38,AV2:AW20,2),IF(A38=AV26,"",))</f>
        <v>2GCA280555A0030</v>
      </c>
      <c r="AA38" s="855"/>
      <c r="AB38" s="855"/>
      <c r="AC38" s="855"/>
      <c r="AD38" s="855"/>
      <c r="AE38" s="855"/>
      <c r="AF38" s="855"/>
      <c r="AG38" s="855"/>
      <c r="AX38" s="340">
        <v>19</v>
      </c>
    </row>
    <row r="39" spans="1:50" ht="15" customHeight="1" x14ac:dyDescent="0.25"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264"/>
      <c r="P39" s="1381"/>
      <c r="Q39" s="1381"/>
      <c r="R39" s="295"/>
      <c r="S39" s="264"/>
      <c r="T39" s="264"/>
      <c r="U39" s="270"/>
      <c r="V39" s="270"/>
      <c r="W39" s="278"/>
      <c r="X39" s="278"/>
      <c r="Y39" s="278"/>
      <c r="Z39" s="265"/>
      <c r="AA39" s="265"/>
      <c r="AB39" s="265"/>
      <c r="AC39" s="265"/>
      <c r="AD39" s="265"/>
      <c r="AE39" s="265"/>
      <c r="AF39" s="265"/>
      <c r="AG39" s="265"/>
      <c r="AX39" s="340">
        <v>19.5</v>
      </c>
    </row>
    <row r="40" spans="1:50" x14ac:dyDescent="0.25">
      <c r="A40" s="45" t="s">
        <v>280</v>
      </c>
      <c r="Q40" s="763">
        <f>P38</f>
        <v>5.5</v>
      </c>
      <c r="R40" s="763"/>
      <c r="S40" s="263" t="s">
        <v>134</v>
      </c>
      <c r="T40" s="1376">
        <f>U38</f>
        <v>3</v>
      </c>
      <c r="U40" s="1376"/>
      <c r="V40" s="263" t="s">
        <v>104</v>
      </c>
      <c r="W40" s="695">
        <f>P38*U38</f>
        <v>16.5</v>
      </c>
      <c r="X40" s="695"/>
      <c r="Y40" s="695"/>
      <c r="Z40" s="45" t="s">
        <v>277</v>
      </c>
      <c r="AX40" s="340">
        <v>20</v>
      </c>
    </row>
    <row r="41" spans="1:50" ht="9.9499999999999993" customHeight="1" x14ac:dyDescent="0.25">
      <c r="Q41" s="264"/>
      <c r="R41" s="264"/>
      <c r="S41" s="263"/>
      <c r="T41" s="264"/>
      <c r="U41" s="264"/>
      <c r="V41" s="263"/>
      <c r="W41" s="264"/>
      <c r="X41" s="264"/>
      <c r="Y41" s="264"/>
      <c r="AX41" s="340">
        <v>20.5</v>
      </c>
    </row>
    <row r="42" spans="1:50" ht="18" x14ac:dyDescent="0.35">
      <c r="A42" s="45" t="s">
        <v>300</v>
      </c>
      <c r="AX42" s="340">
        <v>21</v>
      </c>
    </row>
    <row r="43" spans="1:50" ht="9.9499999999999993" customHeight="1" x14ac:dyDescent="0.25">
      <c r="AX43" s="340">
        <v>21.5</v>
      </c>
    </row>
    <row r="44" spans="1:50" x14ac:dyDescent="0.25">
      <c r="A44" s="45" t="s">
        <v>316</v>
      </c>
      <c r="AX44" s="340">
        <v>22</v>
      </c>
    </row>
    <row r="45" spans="1:50" ht="18" x14ac:dyDescent="0.35">
      <c r="A45" s="681" t="s">
        <v>304</v>
      </c>
      <c r="B45" s="681"/>
      <c r="C45" s="681" t="s">
        <v>104</v>
      </c>
      <c r="D45" s="1380" t="s">
        <v>298</v>
      </c>
      <c r="E45" s="1380"/>
      <c r="F45" s="1380"/>
      <c r="G45" s="1380"/>
      <c r="H45" s="623" t="s">
        <v>104</v>
      </c>
      <c r="I45" s="623"/>
      <c r="J45" s="1380">
        <v>1000</v>
      </c>
      <c r="K45" s="1380"/>
      <c r="L45" s="97" t="s">
        <v>134</v>
      </c>
      <c r="M45" s="1380">
        <f>W40</f>
        <v>16.5</v>
      </c>
      <c r="N45" s="1380"/>
      <c r="O45" s="681" t="s">
        <v>104</v>
      </c>
      <c r="P45" s="1382">
        <f>ROUND((1000*W40)/(SQRT(3)*400),1)</f>
        <v>23.8</v>
      </c>
      <c r="Q45" s="1382"/>
      <c r="R45" s="1382"/>
      <c r="S45" s="681" t="s">
        <v>192</v>
      </c>
      <c r="AX45" s="340">
        <v>22.5</v>
      </c>
    </row>
    <row r="46" spans="1:50" ht="15" customHeight="1" x14ac:dyDescent="0.35">
      <c r="A46" s="681"/>
      <c r="B46" s="681"/>
      <c r="C46" s="681"/>
      <c r="D46" s="802" t="s">
        <v>299</v>
      </c>
      <c r="E46" s="802"/>
      <c r="F46" s="802"/>
      <c r="G46" s="802"/>
      <c r="H46" s="623"/>
      <c r="I46" s="623"/>
      <c r="K46" s="162" t="s">
        <v>183</v>
      </c>
      <c r="L46" s="45" t="s">
        <v>134</v>
      </c>
      <c r="M46" s="802">
        <v>400</v>
      </c>
      <c r="N46" s="802"/>
      <c r="O46" s="681"/>
      <c r="P46" s="1382"/>
      <c r="Q46" s="1382"/>
      <c r="R46" s="1382"/>
      <c r="S46" s="681"/>
      <c r="AX46" s="340">
        <v>23</v>
      </c>
    </row>
    <row r="47" spans="1:50" ht="18" x14ac:dyDescent="0.25">
      <c r="A47" s="681" t="s">
        <v>304</v>
      </c>
      <c r="B47" s="681"/>
      <c r="C47" s="145" t="s">
        <v>310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284"/>
      <c r="Q47" s="284"/>
      <c r="R47" s="284"/>
      <c r="S47" s="263"/>
      <c r="AX47" s="340">
        <v>23.5</v>
      </c>
    </row>
    <row r="48" spans="1:50" ht="9.9499999999999993" customHeight="1" x14ac:dyDescent="0.25">
      <c r="A48" s="263"/>
      <c r="B48" s="263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AX48" s="340">
        <v>24</v>
      </c>
    </row>
    <row r="49" spans="1:50" x14ac:dyDescent="0.25">
      <c r="A49" s="45" t="s">
        <v>317</v>
      </c>
      <c r="AX49" s="340">
        <v>24.5</v>
      </c>
    </row>
    <row r="50" spans="1:50" ht="15" customHeight="1" x14ac:dyDescent="0.35">
      <c r="A50" s="695" t="s">
        <v>318</v>
      </c>
      <c r="B50" s="695"/>
      <c r="C50" s="695"/>
      <c r="D50" s="263" t="s">
        <v>104</v>
      </c>
      <c r="E50" s="45" t="s">
        <v>305</v>
      </c>
      <c r="F50" s="263" t="s">
        <v>185</v>
      </c>
      <c r="G50" s="695" t="s">
        <v>306</v>
      </c>
      <c r="H50" s="695"/>
      <c r="I50" s="263" t="s">
        <v>104</v>
      </c>
      <c r="J50" s="695">
        <f>C4</f>
        <v>50</v>
      </c>
      <c r="K50" s="695"/>
      <c r="L50" s="279" t="s">
        <v>140</v>
      </c>
      <c r="M50" s="695">
        <f>G4</f>
        <v>-45.573</v>
      </c>
      <c r="N50" s="695"/>
      <c r="O50" s="695"/>
      <c r="P50" s="264" t="s">
        <v>185</v>
      </c>
      <c r="Q50" s="695">
        <f>P45</f>
        <v>23.8</v>
      </c>
      <c r="R50" s="695"/>
      <c r="S50" s="695"/>
      <c r="T50" s="279" t="s">
        <v>140</v>
      </c>
      <c r="U50" s="1376">
        <v>90</v>
      </c>
      <c r="V50" s="1376"/>
      <c r="W50" s="45" t="s">
        <v>104</v>
      </c>
      <c r="X50" s="763">
        <f>ROUNDUP(SQRT(SUM(AN23+AN24)^2+SUM(AR23+AR24)^2),1)</f>
        <v>37</v>
      </c>
      <c r="Y50" s="763"/>
      <c r="Z50" s="763"/>
      <c r="AA50" s="279" t="s">
        <v>140</v>
      </c>
      <c r="AB50" s="1388">
        <f>DEGREES(ATAN(SUM(AR23+AR24)/SUM(AN23+AN24)))</f>
        <v>-18.78851772244419</v>
      </c>
      <c r="AC50" s="1388"/>
      <c r="AD50" s="1388"/>
      <c r="AX50" s="340">
        <v>25</v>
      </c>
    </row>
    <row r="51" spans="1:50" ht="9.9499999999999993" customHeight="1" x14ac:dyDescent="0.25">
      <c r="A51" s="264"/>
      <c r="B51" s="264"/>
      <c r="C51" s="264"/>
      <c r="D51" s="263"/>
      <c r="F51" s="263"/>
      <c r="G51" s="264"/>
      <c r="H51" s="264"/>
      <c r="I51" s="281"/>
      <c r="J51" s="281"/>
      <c r="AX51" s="340">
        <v>25.5</v>
      </c>
    </row>
    <row r="52" spans="1:50" ht="15" customHeight="1" x14ac:dyDescent="0.25">
      <c r="A52" s="1383" t="s">
        <v>271</v>
      </c>
      <c r="B52" s="1383"/>
      <c r="C52" s="763">
        <f>ROUNDUP(X50,0)</f>
        <v>37</v>
      </c>
      <c r="D52" s="763"/>
      <c r="E52" s="45" t="s">
        <v>192</v>
      </c>
      <c r="F52" s="271" t="s">
        <v>272</v>
      </c>
      <c r="H52" s="1384">
        <f>COS(AB50*PI()/180)</f>
        <v>0.94671382429483564</v>
      </c>
      <c r="I52" s="1384"/>
      <c r="AF52" s="269"/>
      <c r="AX52" s="340">
        <v>26</v>
      </c>
    </row>
    <row r="53" spans="1:50" ht="15" customHeight="1" x14ac:dyDescent="0.25">
      <c r="AX53" s="340">
        <v>26.5</v>
      </c>
    </row>
    <row r="54" spans="1:50" ht="15" customHeight="1" x14ac:dyDescent="0.25">
      <c r="D54" s="263"/>
      <c r="AE54" s="274"/>
      <c r="AX54" s="340">
        <v>27</v>
      </c>
    </row>
    <row r="55" spans="1:50" x14ac:dyDescent="0.25">
      <c r="AX55" s="340">
        <v>27.5</v>
      </c>
    </row>
    <row r="56" spans="1:50" x14ac:dyDescent="0.25">
      <c r="AX56" s="340">
        <v>28</v>
      </c>
    </row>
    <row r="57" spans="1:50" x14ac:dyDescent="0.25">
      <c r="AX57" s="340">
        <v>28.5</v>
      </c>
    </row>
    <row r="58" spans="1:50" x14ac:dyDescent="0.25">
      <c r="AX58" s="340">
        <v>29</v>
      </c>
    </row>
    <row r="59" spans="1:50" x14ac:dyDescent="0.25">
      <c r="AX59" s="340">
        <v>29.5</v>
      </c>
    </row>
    <row r="60" spans="1:50" x14ac:dyDescent="0.25">
      <c r="AX60" s="340">
        <v>30</v>
      </c>
    </row>
    <row r="61" spans="1:50" x14ac:dyDescent="0.25">
      <c r="AX61" s="340">
        <v>30.5</v>
      </c>
    </row>
  </sheetData>
  <mergeCells count="110">
    <mergeCell ref="H8:J8"/>
    <mergeCell ref="N8:O8"/>
    <mergeCell ref="Q8:R8"/>
    <mergeCell ref="N9:R9"/>
    <mergeCell ref="Y6:AA6"/>
    <mergeCell ref="E8:F8"/>
    <mergeCell ref="E9:J9"/>
    <mergeCell ref="L8:L9"/>
    <mergeCell ref="T8:T9"/>
    <mergeCell ref="U8:W9"/>
    <mergeCell ref="V6:W6"/>
    <mergeCell ref="A1:AG1"/>
    <mergeCell ref="A25:AG25"/>
    <mergeCell ref="C17:C18"/>
    <mergeCell ref="B31:B32"/>
    <mergeCell ref="F15:H15"/>
    <mergeCell ref="P17:S18"/>
    <mergeCell ref="C28:G28"/>
    <mergeCell ref="C29:G29"/>
    <mergeCell ref="G21:H21"/>
    <mergeCell ref="O23:Q23"/>
    <mergeCell ref="S23:U23"/>
    <mergeCell ref="C23:E23"/>
    <mergeCell ref="G23:I23"/>
    <mergeCell ref="K23:M23"/>
    <mergeCell ref="E11:G11"/>
    <mergeCell ref="K11:M11"/>
    <mergeCell ref="A14:B15"/>
    <mergeCell ref="C4:E4"/>
    <mergeCell ref="L4:M4"/>
    <mergeCell ref="N4:P4"/>
    <mergeCell ref="S4:U4"/>
    <mergeCell ref="G4:J4"/>
    <mergeCell ref="A8:C9"/>
    <mergeCell ref="D8:D9"/>
    <mergeCell ref="A52:B52"/>
    <mergeCell ref="C52:D52"/>
    <mergeCell ref="H52:I52"/>
    <mergeCell ref="AJ24:AM24"/>
    <mergeCell ref="R38:S38"/>
    <mergeCell ref="Z38:AG38"/>
    <mergeCell ref="Z37:AG37"/>
    <mergeCell ref="W38:Y38"/>
    <mergeCell ref="A34:AG34"/>
    <mergeCell ref="A28:A29"/>
    <mergeCell ref="B28:B29"/>
    <mergeCell ref="E31:F31"/>
    <mergeCell ref="H31:J31"/>
    <mergeCell ref="X50:Z50"/>
    <mergeCell ref="AB50:AD50"/>
    <mergeCell ref="C32:J32"/>
    <mergeCell ref="A47:B47"/>
    <mergeCell ref="A50:C50"/>
    <mergeCell ref="A45:B46"/>
    <mergeCell ref="C45:C46"/>
    <mergeCell ref="A38:O38"/>
    <mergeCell ref="H28:I29"/>
    <mergeCell ref="K31:K32"/>
    <mergeCell ref="L31:N32"/>
    <mergeCell ref="U50:V50"/>
    <mergeCell ref="Q50:S50"/>
    <mergeCell ref="D45:G45"/>
    <mergeCell ref="D46:G46"/>
    <mergeCell ref="P39:Q39"/>
    <mergeCell ref="J50:K50"/>
    <mergeCell ref="M50:O50"/>
    <mergeCell ref="P45:R46"/>
    <mergeCell ref="G50:H50"/>
    <mergeCell ref="S45:S46"/>
    <mergeCell ref="M46:N46"/>
    <mergeCell ref="H45:I46"/>
    <mergeCell ref="J45:K45"/>
    <mergeCell ref="M45:N45"/>
    <mergeCell ref="O45:O46"/>
    <mergeCell ref="AJ22:AM22"/>
    <mergeCell ref="AN22:AQ22"/>
    <mergeCell ref="AR22:AU22"/>
    <mergeCell ref="Q40:R40"/>
    <mergeCell ref="T40:U40"/>
    <mergeCell ref="W40:Y40"/>
    <mergeCell ref="P38:Q38"/>
    <mergeCell ref="U38:V38"/>
    <mergeCell ref="U37:Y37"/>
    <mergeCell ref="AN23:AQ23"/>
    <mergeCell ref="AR23:AU23"/>
    <mergeCell ref="AJ23:AM23"/>
    <mergeCell ref="O31:P32"/>
    <mergeCell ref="AR24:AU24"/>
    <mergeCell ref="AN24:AQ24"/>
    <mergeCell ref="AJ9:AM9"/>
    <mergeCell ref="AN9:AQ9"/>
    <mergeCell ref="AR9:AU9"/>
    <mergeCell ref="C21:D21"/>
    <mergeCell ref="O17:O18"/>
    <mergeCell ref="G17:G18"/>
    <mergeCell ref="H17:J17"/>
    <mergeCell ref="K17:K18"/>
    <mergeCell ref="L17:N18"/>
    <mergeCell ref="D17:F18"/>
    <mergeCell ref="H18:J18"/>
    <mergeCell ref="AJ10:AM10"/>
    <mergeCell ref="AN10:AQ10"/>
    <mergeCell ref="AR10:AU10"/>
    <mergeCell ref="AJ11:AM11"/>
    <mergeCell ref="AN11:AQ11"/>
    <mergeCell ref="C14:C15"/>
    <mergeCell ref="D14:D15"/>
    <mergeCell ref="E14:E15"/>
    <mergeCell ref="F14:H14"/>
    <mergeCell ref="AR11:AU11"/>
  </mergeCells>
  <dataValidations count="2">
    <dataValidation type="list" allowBlank="1" showInputMessage="1" showErrorMessage="1" sqref="A38:O38" xr:uid="{00000000-0002-0000-0F00-000000000000}">
      <formula1>$AV$25:$AV$26</formula1>
    </dataValidation>
    <dataValidation type="list" allowBlank="1" showInputMessage="1" showErrorMessage="1" sqref="P38:Q38" xr:uid="{00000000-0002-0000-0F00-000001000000}">
      <formula1>IF(A38=AV25,$AV$2:$AV$20,IF(A38=AV26,$AX$2:$AX$61))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16</vt:i4>
      </vt:variant>
      <vt:variant>
        <vt:lpstr>Navngivne områder</vt:lpstr>
      </vt:variant>
      <vt:variant>
        <vt:i4>4</vt:i4>
      </vt:variant>
    </vt:vector>
  </HeadingPairs>
  <TitlesOfParts>
    <vt:vector size="20" baseType="lpstr">
      <vt:lpstr>LX</vt:lpstr>
      <vt:lpstr>Transformer</vt:lpstr>
      <vt:lpstr>KabelData</vt:lpstr>
      <vt:lpstr>IKmax IKmin</vt:lpstr>
      <vt:lpstr>Udregning</vt:lpstr>
      <vt:lpstr>Kabel</vt:lpstr>
      <vt:lpstr>IKmax_min</vt:lpstr>
      <vt:lpstr>Kabeludskrif</vt:lpstr>
      <vt:lpstr>udregning 2</vt:lpstr>
      <vt:lpstr>Kabel gummi</vt:lpstr>
      <vt:lpstr>Spændingsfald</vt:lpstr>
      <vt:lpstr>Belast</vt:lpstr>
      <vt:lpstr>Belast Symmetrisk</vt:lpstr>
      <vt:lpstr>Belast 3strøm </vt:lpstr>
      <vt:lpstr>Belast 3strøm  Symmetrisk</vt:lpstr>
      <vt:lpstr>Fasekomp.</vt:lpstr>
      <vt:lpstr>kabel</vt:lpstr>
      <vt:lpstr>kabeltilledning</vt:lpstr>
      <vt:lpstr>kabelvalg2</vt:lpstr>
      <vt:lpstr>kabelvalg3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2022-08-29T21:19:29Z</dcterms:modified>
</cp:coreProperties>
</file>