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med al jabri\Desktop\exel til autoision\"/>
    </mc:Choice>
  </mc:AlternateContent>
  <xr:revisionPtr revIDLastSave="0" documentId="13_ncr:1_{31DF5C02-F477-4892-B628-70F4A5AA6359}" xr6:coauthVersionLast="45" xr6:coauthVersionMax="45" xr10:uidLastSave="{00000000-0000-0000-0000-000000000000}"/>
  <bookViews>
    <workbookView xWindow="-108" yWindow="-108" windowWidth="23256" windowHeight="12576" xr2:uid="{D58E7501-ED74-4F12-9860-4B9FA24A3B6B}"/>
  </bookViews>
  <sheets>
    <sheet name="Ark1" sheetId="1" r:id="rId1"/>
    <sheet name="kt,ks,kj" sheetId="2" r:id="rId2"/>
    <sheet name="Ark3" sheetId="3" r:id="rId3"/>
    <sheet name="Ark4" sheetId="4" r:id="rId4"/>
  </sheets>
  <externalReferences>
    <externalReference r:id="rId5"/>
  </externalReferences>
  <definedNames>
    <definedName name="antal.kabler">[1]Ark2!$M$40:$M$60</definedName>
    <definedName name="antalkabelbakke">[1]Ark2!$M$71:$M$76</definedName>
    <definedName name="Drifttemperatur">[1]Ark2!$A$98:$A$101</definedName>
    <definedName name="Installationsmetode">[1]Ark2!$A$2:$A$91</definedName>
    <definedName name="Kabel.ledning">[1]Ark2!$C$41:$C$43</definedName>
    <definedName name="kabelafstandjord">[1]Ark2!$U$29:$U$35</definedName>
    <definedName name="Omgivelsestemperatur">[1]Ark2!$E$38:$E$55</definedName>
    <definedName name="Termiskmodstand">[1]Ark2!$E$76:$E$82</definedName>
  </definedNames>
  <calcPr calcId="191029" concurrentCalc="0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N13" i="1" l="1"/>
  <c r="AN17" i="1"/>
  <c r="AN23" i="1"/>
  <c r="AN27" i="1"/>
  <c r="E7" i="1"/>
  <c r="AN29" i="1"/>
  <c r="AN39" i="1"/>
  <c r="AP39" i="1"/>
  <c r="AP40" i="1"/>
  <c r="AP33" i="1"/>
  <c r="AN35" i="1"/>
  <c r="AF13" i="1"/>
  <c r="AF17" i="1"/>
  <c r="AF23" i="1"/>
  <c r="AF27" i="1"/>
  <c r="AF29" i="1"/>
  <c r="AF39" i="1"/>
  <c r="AH39" i="1"/>
  <c r="AH40" i="1"/>
  <c r="AH33" i="1"/>
  <c r="AF35" i="1"/>
  <c r="X13" i="1"/>
  <c r="X17" i="1"/>
  <c r="X23" i="1"/>
  <c r="X27" i="1"/>
  <c r="X29" i="1"/>
  <c r="X39" i="1"/>
  <c r="Z39" i="1"/>
  <c r="Z40" i="1"/>
  <c r="Z33" i="1"/>
  <c r="X35" i="1"/>
  <c r="P13" i="1"/>
  <c r="P17" i="1"/>
  <c r="P23" i="1"/>
  <c r="P27" i="1"/>
  <c r="P29" i="1"/>
  <c r="P39" i="1"/>
  <c r="R39" i="1"/>
  <c r="P40" i="1"/>
  <c r="R40" i="1"/>
  <c r="R33" i="1"/>
  <c r="P35" i="1"/>
  <c r="H13" i="1"/>
  <c r="H17" i="1"/>
  <c r="H23" i="1"/>
  <c r="H27" i="1"/>
  <c r="H29" i="1"/>
  <c r="H39" i="1"/>
  <c r="J39" i="1"/>
  <c r="H40" i="1"/>
  <c r="J40" i="1"/>
  <c r="J33" i="1"/>
  <c r="H35" i="1"/>
  <c r="AN26" i="1"/>
  <c r="AF26" i="1"/>
  <c r="X26" i="1"/>
  <c r="P26" i="1"/>
  <c r="H26" i="1"/>
  <c r="AB92" i="4"/>
  <c r="AB91" i="4"/>
  <c r="AA92" i="4"/>
  <c r="S92" i="4"/>
  <c r="S91" i="4"/>
  <c r="T91" i="4"/>
  <c r="AA91" i="4"/>
  <c r="T92" i="4"/>
  <c r="L92" i="4"/>
  <c r="L91" i="4"/>
  <c r="K92" i="4"/>
  <c r="K91" i="4"/>
  <c r="C92" i="4"/>
  <c r="C91" i="4"/>
  <c r="B92" i="4"/>
  <c r="B91" i="4"/>
  <c r="AF22" i="1"/>
  <c r="AN32" i="1"/>
  <c r="P32" i="1"/>
  <c r="X32" i="1"/>
  <c r="AF32" i="1"/>
  <c r="X22" i="1"/>
  <c r="AN22" i="1"/>
  <c r="AN16" i="1"/>
  <c r="AF16" i="1"/>
  <c r="X16" i="1"/>
  <c r="P16" i="1"/>
  <c r="P22" i="1"/>
  <c r="H32" i="1"/>
  <c r="V30" i="1"/>
  <c r="N30" i="1"/>
  <c r="AL30" i="1"/>
  <c r="AD30" i="1"/>
  <c r="B41" i="4"/>
  <c r="B89" i="4"/>
  <c r="C89" i="4"/>
  <c r="K89" i="4"/>
  <c r="L89" i="4"/>
  <c r="S89" i="4"/>
  <c r="T89" i="4"/>
  <c r="AA89" i="4"/>
  <c r="B88" i="4"/>
  <c r="C88" i="4"/>
  <c r="K88" i="4"/>
  <c r="L88" i="4"/>
  <c r="S88" i="4"/>
  <c r="T88" i="4"/>
  <c r="AA88" i="4"/>
  <c r="AB89" i="4"/>
  <c r="AB88" i="4"/>
  <c r="Z39" i="4"/>
  <c r="Z38" i="4"/>
  <c r="R39" i="4"/>
  <c r="R38" i="4"/>
  <c r="J39" i="4"/>
  <c r="J38" i="4"/>
  <c r="B38" i="4"/>
  <c r="B39" i="4"/>
  <c r="C38" i="4"/>
  <c r="D38" i="4"/>
  <c r="E38" i="4"/>
  <c r="F38" i="4"/>
  <c r="G38" i="4"/>
  <c r="AF38" i="4"/>
  <c r="AE38" i="4"/>
  <c r="AD38" i="4"/>
  <c r="AC38" i="4"/>
  <c r="AB38" i="4"/>
  <c r="AA38" i="4"/>
  <c r="X38" i="4"/>
  <c r="W38" i="4"/>
  <c r="V38" i="4"/>
  <c r="U38" i="4"/>
  <c r="T38" i="4"/>
  <c r="S38" i="4"/>
  <c r="P38" i="4"/>
  <c r="O38" i="4"/>
  <c r="N38" i="4"/>
  <c r="M38" i="4"/>
  <c r="L38" i="4"/>
  <c r="K38" i="4"/>
  <c r="H38" i="4"/>
  <c r="AF39" i="4"/>
  <c r="AE39" i="4"/>
  <c r="AD39" i="4"/>
  <c r="AC39" i="4"/>
  <c r="AB39" i="4"/>
  <c r="AA39" i="4"/>
  <c r="X39" i="4"/>
  <c r="W39" i="4"/>
  <c r="V39" i="4"/>
  <c r="U39" i="4"/>
  <c r="T39" i="4"/>
  <c r="S39" i="4"/>
  <c r="P39" i="4"/>
  <c r="O39" i="4"/>
  <c r="N39" i="4"/>
  <c r="M39" i="4"/>
  <c r="L39" i="4"/>
  <c r="K39" i="4"/>
  <c r="H39" i="4"/>
  <c r="G39" i="4"/>
  <c r="F39" i="4"/>
  <c r="E39" i="4"/>
  <c r="D39" i="4"/>
  <c r="C39" i="4"/>
  <c r="E39" i="3"/>
  <c r="B39" i="3"/>
  <c r="H22" i="1"/>
  <c r="F30" i="1"/>
  <c r="H16" i="1"/>
  <c r="V29" i="1"/>
  <c r="AD29" i="1"/>
  <c r="AN40" i="1"/>
  <c r="N29" i="1"/>
  <c r="AF40" i="1"/>
  <c r="AL29" i="1"/>
  <c r="F29" i="1"/>
  <c r="X40" i="1"/>
  <c r="P33" i="1"/>
  <c r="M35" i="1"/>
  <c r="AF33" i="1"/>
  <c r="AC35" i="1"/>
  <c r="AK35" i="1"/>
  <c r="AN33" i="1"/>
  <c r="U35" i="1"/>
  <c r="X33" i="1"/>
  <c r="H33" i="1"/>
  <c r="E35" i="1"/>
</calcChain>
</file>

<file path=xl/sharedStrings.xml><?xml version="1.0" encoding="utf-8"?>
<sst xmlns="http://schemas.openxmlformats.org/spreadsheetml/2006/main" count="789" uniqueCount="170">
  <si>
    <t>Installationsmetode</t>
  </si>
  <si>
    <t>Reference</t>
  </si>
  <si>
    <t>A1</t>
  </si>
  <si>
    <t>A2</t>
  </si>
  <si>
    <t>B1</t>
  </si>
  <si>
    <t>B2</t>
  </si>
  <si>
    <t>C</t>
  </si>
  <si>
    <t>E</t>
  </si>
  <si>
    <t>F</t>
  </si>
  <si>
    <t>G</t>
  </si>
  <si>
    <t>40 1,5 De ≤ V &lt; 5 De</t>
  </si>
  <si>
    <t>40 5 De ≤ V &lt; 20 De</t>
  </si>
  <si>
    <t>41 1,5 De ≤ V &lt; 20 De</t>
  </si>
  <si>
    <t>41 V ≥ 20 De</t>
  </si>
  <si>
    <t>42 1,5 De ≤ V &lt; 20 De</t>
  </si>
  <si>
    <t xml:space="preserve">42V ≥ 20 De </t>
  </si>
  <si>
    <t>43 1,5 De ≤ V &lt; 20 De</t>
  </si>
  <si>
    <t>43 V ≥ 20 De</t>
  </si>
  <si>
    <t>44 1,5 De ≤ V &lt; 20 De</t>
  </si>
  <si>
    <t>44 V ≥ 20 De</t>
  </si>
  <si>
    <t>45 1,5 De ≤ V &lt; 5 De</t>
  </si>
  <si>
    <t>45 5 De ≤ V &lt; 50 De</t>
  </si>
  <si>
    <t>46 1,5 De ≤ V &lt; 20 De</t>
  </si>
  <si>
    <t>46 V ≥ 20 De</t>
  </si>
  <si>
    <t>47 1,5 De ≤ V &lt; 5 De</t>
  </si>
  <si>
    <t>47 5 De ≤ V &lt; 50 De</t>
  </si>
  <si>
    <t>54 1,5 De ≤ V &lt; 20 De</t>
  </si>
  <si>
    <t>54 V ≥ 20 De</t>
  </si>
  <si>
    <t>D1</t>
  </si>
  <si>
    <t>D2</t>
  </si>
  <si>
    <t>Installationmetode</t>
  </si>
  <si>
    <t>Billede nr.:</t>
  </si>
  <si>
    <t>Reference:</t>
  </si>
  <si>
    <t>30°C</t>
  </si>
  <si>
    <t>Antal kabler</t>
  </si>
  <si>
    <t>Ingen</t>
  </si>
  <si>
    <t>&gt;1,0m</t>
  </si>
  <si>
    <t>Kabeltype</t>
  </si>
  <si>
    <t xml:space="preserve">70 °C PVC-overtræk eller blottet og berøringstilgængelig </t>
  </si>
  <si>
    <t xml:space="preserve">105 °C Blottet og ikke berøringstilgængelig </t>
  </si>
  <si>
    <r>
      <t>70</t>
    </r>
    <r>
      <rPr>
        <sz val="11"/>
        <color theme="1"/>
        <rFont val="Calibri"/>
        <family val="2"/>
        <scheme val="minor"/>
      </rPr>
      <t>°C PVC</t>
    </r>
  </si>
  <si>
    <r>
      <t>90</t>
    </r>
    <r>
      <rPr>
        <sz val="11"/>
        <color theme="1"/>
        <rFont val="Calibri"/>
        <family val="2"/>
        <scheme val="minor"/>
      </rPr>
      <t>°C XPLE &amp; EPR</t>
    </r>
  </si>
  <si>
    <t>25°C</t>
  </si>
  <si>
    <t>Korritionfaktor for temperatur (kt)</t>
  </si>
  <si>
    <t>Korritionsfaktor for sideløb (ks)</t>
  </si>
  <si>
    <t>Termisk modstand i jord (kj)</t>
  </si>
  <si>
    <t>Tabel for strømværdi</t>
  </si>
  <si>
    <t>Strømværdi nødvendig (Iz)</t>
  </si>
  <si>
    <t>Temperatur:</t>
  </si>
  <si>
    <t>Antal kabler:</t>
  </si>
  <si>
    <t>Afstand:</t>
  </si>
  <si>
    <t>Bakker/Stiger:</t>
  </si>
  <si>
    <t>Faktor:</t>
  </si>
  <si>
    <t>Tabel:</t>
  </si>
  <si>
    <r>
      <t xml:space="preserve"> (mm</t>
    </r>
    <r>
      <rPr>
        <sz val="11"/>
        <color theme="1"/>
        <rFont val="Calibri"/>
        <family val="2"/>
      </rPr>
      <t>²</t>
    </r>
    <r>
      <rPr>
        <sz val="11"/>
        <color theme="1"/>
        <rFont val="Calibri"/>
        <family val="2"/>
        <scheme val="minor"/>
      </rPr>
      <t>):(A)</t>
    </r>
  </si>
  <si>
    <t>Oplægning 1</t>
  </si>
  <si>
    <r>
      <t>10</t>
    </r>
    <r>
      <rPr>
        <sz val="9"/>
        <color rgb="FF231F20"/>
        <rFont val="Calibri"/>
        <family val="2"/>
      </rPr>
      <t>°</t>
    </r>
    <r>
      <rPr>
        <sz val="9"/>
        <color rgb="FF231F20"/>
        <rFont val="Univers"/>
        <family val="2"/>
      </rPr>
      <t>C</t>
    </r>
  </si>
  <si>
    <r>
      <t>15</t>
    </r>
    <r>
      <rPr>
        <sz val="9"/>
        <color rgb="FF231F20"/>
        <rFont val="Calibri"/>
        <family val="2"/>
      </rPr>
      <t>°</t>
    </r>
    <r>
      <rPr>
        <sz val="9"/>
        <color rgb="FF231F20"/>
        <rFont val="Univers"/>
        <family val="2"/>
      </rPr>
      <t>C</t>
    </r>
  </si>
  <si>
    <r>
      <t>20</t>
    </r>
    <r>
      <rPr>
        <sz val="9"/>
        <color rgb="FF231F20"/>
        <rFont val="Calibri"/>
        <family val="2"/>
      </rPr>
      <t>°</t>
    </r>
    <r>
      <rPr>
        <sz val="9"/>
        <color rgb="FF231F20"/>
        <rFont val="Univers"/>
        <family val="2"/>
      </rPr>
      <t>C</t>
    </r>
  </si>
  <si>
    <t>35°C</t>
  </si>
  <si>
    <t>40°C</t>
  </si>
  <si>
    <t>45°C</t>
  </si>
  <si>
    <t>50°C</t>
  </si>
  <si>
    <t>55°C</t>
  </si>
  <si>
    <t>60°C</t>
  </si>
  <si>
    <t>65°C</t>
  </si>
  <si>
    <t>70°C</t>
  </si>
  <si>
    <t>75°C</t>
  </si>
  <si>
    <t>80°C</t>
  </si>
  <si>
    <t>85°C</t>
  </si>
  <si>
    <t>90°C</t>
  </si>
  <si>
    <t>95°C</t>
  </si>
  <si>
    <t>10°C</t>
  </si>
  <si>
    <t>15°C</t>
  </si>
  <si>
    <t>20°C</t>
  </si>
  <si>
    <t>I JORD</t>
  </si>
  <si>
    <t>I LUFT</t>
  </si>
  <si>
    <t>N/A</t>
  </si>
  <si>
    <t>B.52.14</t>
  </si>
  <si>
    <t>B.52.15</t>
  </si>
  <si>
    <t>Bundtet i luft, på en
overflade, indfældet
eller indkapslet</t>
  </si>
  <si>
    <t>Enkelt lag på væg, gulv
eller uperforeret
kabelbakke</t>
  </si>
  <si>
    <t xml:space="preserve">Enkelt lag fastgjort
direkte under et træloft </t>
  </si>
  <si>
    <t>Enkelt lag på perforeret
vandret eller lodret
kabelbakke</t>
  </si>
  <si>
    <t xml:space="preserve">Enkelt lag på kabelstige
eller på holdere osv. </t>
  </si>
  <si>
    <t>&gt;20</t>
  </si>
  <si>
    <t>B.52.17</t>
  </si>
  <si>
    <t>Kabler i direkte i jord D2</t>
  </si>
  <si>
    <t>B.52.18</t>
  </si>
  <si>
    <t>Kabler i lukket kanal D1</t>
  </si>
  <si>
    <t>B.52.19</t>
  </si>
  <si>
    <t>&gt;0,5m</t>
  </si>
  <si>
    <t>En kabeldiameter</t>
  </si>
  <si>
    <t>0,125m</t>
  </si>
  <si>
    <t>0,25m</t>
  </si>
  <si>
    <t>0,5m</t>
  </si>
  <si>
    <t>1,0m</t>
  </si>
  <si>
    <t>Oplægning 2</t>
  </si>
  <si>
    <t>Oplægning 3</t>
  </si>
  <si>
    <t>Oplægning 4</t>
  </si>
  <si>
    <t>Perforeret kabelbakke berørende</t>
  </si>
  <si>
    <t>Med afstand</t>
  </si>
  <si>
    <t>Lodrette</t>
  </si>
  <si>
    <t>med afstand</t>
  </si>
  <si>
    <t>Uperforert kabelbakke</t>
  </si>
  <si>
    <t>kabelstiger</t>
  </si>
  <si>
    <t>kabelstiger med afstand</t>
  </si>
  <si>
    <t>antal bakker/stiger</t>
  </si>
  <si>
    <t>1 vandret</t>
  </si>
  <si>
    <t>2 vandret</t>
  </si>
  <si>
    <t>3 vandret</t>
  </si>
  <si>
    <t>6 vandret</t>
  </si>
  <si>
    <t>1 lodret</t>
  </si>
  <si>
    <t>2 lodret</t>
  </si>
  <si>
    <t>Enleder/flerleder</t>
  </si>
  <si>
    <t>Enleder</t>
  </si>
  <si>
    <t>Flerleder</t>
  </si>
  <si>
    <t>32,33,34</t>
  </si>
  <si>
    <t>Kabler oplagt vandret</t>
  </si>
  <si>
    <t>Kabler oplagt i trekant</t>
  </si>
  <si>
    <t>To kabeldiameter</t>
  </si>
  <si>
    <t>B.52.21</t>
  </si>
  <si>
    <t>B.52.20</t>
  </si>
  <si>
    <t xml:space="preserve">Termisk modstand, K · m/W </t>
  </si>
  <si>
    <t xml:space="preserve">Korrektionsfaktor for kabler i nedgravede lukkede kanaler </t>
  </si>
  <si>
    <t>Korrektionsfaktor for direkte nedgravede kabler</t>
  </si>
  <si>
    <t>B.52.16</t>
  </si>
  <si>
    <t>Modstand</t>
  </si>
  <si>
    <t>B.52.2</t>
  </si>
  <si>
    <t>70 grader 2 belastede leder</t>
  </si>
  <si>
    <t>AL mm2</t>
  </si>
  <si>
    <t>CU mm2</t>
  </si>
  <si>
    <t>90 grader 2 belastede leder</t>
  </si>
  <si>
    <t>B.52.3</t>
  </si>
  <si>
    <t>B.52.4</t>
  </si>
  <si>
    <t>B.52.5</t>
  </si>
  <si>
    <t>70 grader 3 belastede leder</t>
  </si>
  <si>
    <t>90 grader 3 belastede leder</t>
  </si>
  <si>
    <t>CU 2 belastede leder</t>
  </si>
  <si>
    <t>CU 3 belastede leder</t>
  </si>
  <si>
    <t>AL 2 belastede leder</t>
  </si>
  <si>
    <t>AL 3 belastede leder</t>
  </si>
  <si>
    <t>A</t>
  </si>
  <si>
    <t>mm²</t>
  </si>
  <si>
    <t>B.52.10</t>
  </si>
  <si>
    <t>B.52.11</t>
  </si>
  <si>
    <t>B.52.12</t>
  </si>
  <si>
    <t>B.52.13</t>
  </si>
  <si>
    <t>Oplægning 5</t>
  </si>
  <si>
    <t>Antal Ledere</t>
  </si>
  <si>
    <t>Kablets Drifttemp.</t>
  </si>
  <si>
    <t>Kabelvalg:</t>
  </si>
  <si>
    <t>Kabel valg</t>
  </si>
  <si>
    <r>
      <t>I</t>
    </r>
    <r>
      <rPr>
        <vertAlign val="subscript"/>
        <sz val="11"/>
        <color theme="1"/>
        <rFont val="Calibri"/>
        <family val="2"/>
        <scheme val="minor"/>
      </rPr>
      <t>N</t>
    </r>
  </si>
  <si>
    <t>kt · ks · kj</t>
  </si>
  <si>
    <t>=</t>
  </si>
  <si>
    <t>Antal kabler parallel</t>
  </si>
  <si>
    <t>Sikring/IB</t>
  </si>
  <si>
    <t>90°C XLPE &amp; EPR</t>
  </si>
  <si>
    <r>
      <t xml:space="preserve">Lavet af: </t>
    </r>
    <r>
      <rPr>
        <i/>
        <sz val="14"/>
        <color theme="1"/>
        <rFont val="Brush Script MT"/>
        <family val="4"/>
      </rPr>
      <t>Mikkel Vive</t>
    </r>
    <r>
      <rPr>
        <i/>
        <sz val="11"/>
        <color theme="1"/>
        <rFont val="Calibri"/>
        <family val="2"/>
        <scheme val="minor"/>
      </rPr>
      <t>, 2018</t>
    </r>
  </si>
  <si>
    <t>Strømværdi (Izkorr)</t>
  </si>
  <si>
    <t>Iz · kt · ks · kj</t>
  </si>
  <si>
    <t>0,5K · m/W</t>
  </si>
  <si>
    <t>0,7K · m/W</t>
  </si>
  <si>
    <t>1,5K · m/W</t>
  </si>
  <si>
    <t>2K · m/W</t>
  </si>
  <si>
    <t>2,5K · m/W</t>
  </si>
  <si>
    <t>3K · m/W</t>
  </si>
  <si>
    <t>1K · m/W</t>
  </si>
  <si>
    <t>Maks strøm i kabel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</si>
</sst>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 \A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9"/>
      <color rgb="FF231F20"/>
      <name val="Univers-Bold"/>
    </font>
    <font>
      <sz val="9"/>
      <color rgb="FF231F20"/>
      <name val="Calibri"/>
      <family val="2"/>
    </font>
    <font>
      <sz val="11"/>
      <color rgb="FF231F2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rgb="FF231F20"/>
      <name val="Univers"/>
      <family val="2"/>
    </font>
    <font>
      <sz val="8"/>
      <color rgb="FF231F20"/>
      <name val="Univers"/>
      <family val="2"/>
    </font>
    <font>
      <i/>
      <sz val="11"/>
      <color theme="1"/>
      <name val="Calibri"/>
      <family val="2"/>
      <scheme val="minor"/>
    </font>
    <font>
      <i/>
      <sz val="14"/>
      <color theme="1"/>
      <name val="Brush Script MT"/>
      <family val="4"/>
    </font>
    <font>
      <vertAlign val="sub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2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vertical="top" wrapText="1"/>
    </xf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0" xfId="0" applyBorder="1"/>
    <xf numFmtId="0" fontId="0" fillId="0" borderId="0" xfId="0" applyAlignment="1"/>
    <xf numFmtId="0" fontId="0" fillId="0" borderId="0" xfId="0" applyFont="1" applyBorder="1"/>
    <xf numFmtId="0" fontId="4" fillId="0" borderId="0" xfId="0" applyFont="1" applyBorder="1" applyAlignment="1">
      <alignment vertical="center"/>
    </xf>
    <xf numFmtId="0" fontId="0" fillId="0" borderId="1" xfId="0" applyBorder="1"/>
    <xf numFmtId="0" fontId="0" fillId="0" borderId="14" xfId="0" applyBorder="1"/>
    <xf numFmtId="0" fontId="0" fillId="0" borderId="15" xfId="0" applyBorder="1"/>
    <xf numFmtId="0" fontId="6" fillId="0" borderId="13" xfId="0" applyFont="1" applyBorder="1" applyAlignment="1">
      <alignment vertical="center" wrapText="1"/>
    </xf>
    <xf numFmtId="0" fontId="6" fillId="0" borderId="13" xfId="0" applyNumberFormat="1" applyFont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0" fillId="0" borderId="0" xfId="0" applyFont="1"/>
    <xf numFmtId="0" fontId="2" fillId="0" borderId="16" xfId="0" applyFont="1" applyBorder="1" applyAlignment="1">
      <alignment vertical="center"/>
    </xf>
    <xf numFmtId="0" fontId="7" fillId="0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vertical="center" wrapText="1"/>
    </xf>
    <xf numFmtId="0" fontId="4" fillId="0" borderId="0" xfId="0" applyFont="1" applyBorder="1" applyAlignment="1">
      <alignment horizontal="left" vertical="top"/>
    </xf>
    <xf numFmtId="0" fontId="0" fillId="0" borderId="0" xfId="0" applyBorder="1"/>
    <xf numFmtId="0" fontId="6" fillId="0" borderId="0" xfId="0" applyNumberFormat="1" applyFont="1" applyBorder="1" applyAlignment="1">
      <alignment vertical="center" wrapText="1"/>
    </xf>
    <xf numFmtId="0" fontId="0" fillId="0" borderId="18" xfId="0" applyBorder="1"/>
    <xf numFmtId="0" fontId="7" fillId="0" borderId="4" xfId="0" applyNumberFormat="1" applyFont="1" applyFill="1" applyBorder="1" applyAlignment="1">
      <alignment vertical="center"/>
    </xf>
    <xf numFmtId="0" fontId="6" fillId="0" borderId="4" xfId="0" applyNumberFormat="1" applyFont="1" applyFill="1" applyBorder="1" applyAlignment="1">
      <alignment vertical="center" wrapText="1"/>
    </xf>
    <xf numFmtId="0" fontId="6" fillId="0" borderId="21" xfId="0" applyNumberFormat="1" applyFont="1" applyBorder="1" applyAlignment="1">
      <alignment vertical="center" wrapText="1"/>
    </xf>
    <xf numFmtId="0" fontId="7" fillId="0" borderId="6" xfId="0" applyNumberFormat="1" applyFont="1" applyFill="1" applyBorder="1" applyAlignment="1">
      <alignment vertical="center"/>
    </xf>
    <xf numFmtId="0" fontId="0" fillId="0" borderId="21" xfId="0" applyBorder="1"/>
    <xf numFmtId="0" fontId="7" fillId="0" borderId="0" xfId="0" applyNumberFormat="1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4" xfId="0" applyNumberFormat="1" applyFont="1" applyBorder="1" applyAlignment="1">
      <alignment vertical="center"/>
    </xf>
    <xf numFmtId="0" fontId="7" fillId="0" borderId="21" xfId="0" applyNumberFormat="1" applyFont="1" applyBorder="1" applyAlignment="1">
      <alignment vertical="center"/>
    </xf>
    <xf numFmtId="0" fontId="7" fillId="0" borderId="6" xfId="0" applyNumberFormat="1" applyFont="1" applyBorder="1" applyAlignment="1">
      <alignment vertical="center"/>
    </xf>
    <xf numFmtId="0" fontId="7" fillId="0" borderId="21" xfId="0" applyNumberFormat="1" applyFont="1" applyFill="1" applyBorder="1" applyAlignment="1">
      <alignment vertical="center"/>
    </xf>
    <xf numFmtId="49" fontId="0" fillId="0" borderId="0" xfId="0" applyNumberFormat="1"/>
    <xf numFmtId="49" fontId="0" fillId="0" borderId="18" xfId="0" applyNumberFormat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17" xfId="0" applyBorder="1"/>
    <xf numFmtId="0" fontId="0" fillId="0" borderId="9" xfId="0" applyFill="1" applyBorder="1"/>
    <xf numFmtId="0" fontId="0" fillId="0" borderId="17" xfId="0" applyFill="1" applyBorder="1"/>
    <xf numFmtId="0" fontId="0" fillId="0" borderId="10" xfId="0" applyFill="1" applyBorder="1"/>
    <xf numFmtId="0" fontId="0" fillId="0" borderId="26" xfId="0" applyFill="1" applyBorder="1"/>
    <xf numFmtId="0" fontId="0" fillId="0" borderId="13" xfId="0" applyBorder="1"/>
    <xf numFmtId="0" fontId="0" fillId="0" borderId="14" xfId="0" applyFill="1" applyBorder="1"/>
    <xf numFmtId="0" fontId="0" fillId="0" borderId="13" xfId="0" applyFill="1" applyBorder="1"/>
    <xf numFmtId="0" fontId="0" fillId="0" borderId="15" xfId="0" applyFill="1" applyBorder="1"/>
    <xf numFmtId="0" fontId="0" fillId="0" borderId="27" xfId="0" applyFill="1" applyBorder="1"/>
    <xf numFmtId="2" fontId="0" fillId="0" borderId="13" xfId="0" applyNumberFormat="1" applyFill="1" applyBorder="1"/>
    <xf numFmtId="2" fontId="0" fillId="0" borderId="15" xfId="0" applyNumberFormat="1" applyFill="1" applyBorder="1"/>
    <xf numFmtId="1" fontId="0" fillId="0" borderId="14" xfId="0" applyNumberFormat="1" applyFill="1" applyBorder="1"/>
    <xf numFmtId="0" fontId="0" fillId="0" borderId="1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5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2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1" xfId="0" applyFill="1" applyBorder="1" applyAlignment="1">
      <alignment horizontal="right"/>
    </xf>
    <xf numFmtId="0" fontId="0" fillId="0" borderId="20" xfId="0" applyFill="1" applyBorder="1" applyAlignment="1">
      <alignment horizontal="right"/>
    </xf>
    <xf numFmtId="0" fontId="0" fillId="0" borderId="12" xfId="0" applyFill="1" applyBorder="1" applyAlignment="1">
      <alignment horizontal="right"/>
    </xf>
    <xf numFmtId="0" fontId="0" fillId="0" borderId="29" xfId="0" applyFill="1" applyBorder="1" applyAlignment="1">
      <alignment horizontal="right"/>
    </xf>
    <xf numFmtId="2" fontId="0" fillId="0" borderId="20" xfId="0" applyNumberFormat="1" applyFill="1" applyBorder="1" applyAlignment="1">
      <alignment horizontal="right"/>
    </xf>
    <xf numFmtId="2" fontId="0" fillId="0" borderId="12" xfId="0" applyNumberFormat="1" applyFill="1" applyBorder="1" applyAlignment="1">
      <alignment horizontal="right"/>
    </xf>
    <xf numFmtId="1" fontId="0" fillId="0" borderId="11" xfId="0" applyNumberFormat="1" applyFill="1" applyBorder="1" applyAlignment="1">
      <alignment horizontal="right"/>
    </xf>
    <xf numFmtId="0" fontId="6" fillId="0" borderId="13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6" fillId="0" borderId="13" xfId="0" applyNumberFormat="1" applyFont="1" applyBorder="1" applyAlignment="1">
      <alignment vertical="center"/>
    </xf>
    <xf numFmtId="0" fontId="0" fillId="0" borderId="2" xfId="0" applyBorder="1"/>
    <xf numFmtId="0" fontId="6" fillId="0" borderId="15" xfId="0" applyFont="1" applyBorder="1" applyAlignment="1">
      <alignment vertical="center" wrapText="1"/>
    </xf>
    <xf numFmtId="0" fontId="6" fillId="0" borderId="20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17" xfId="0" applyNumberFormat="1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1" xfId="0" applyNumberFormat="1" applyFont="1" applyBorder="1" applyAlignment="1">
      <alignment vertical="center" wrapText="1"/>
    </xf>
    <xf numFmtId="0" fontId="6" fillId="0" borderId="32" xfId="0" applyFont="1" applyFill="1" applyBorder="1" applyAlignment="1">
      <alignment vertical="center" wrapText="1"/>
    </xf>
    <xf numFmtId="0" fontId="0" fillId="0" borderId="33" xfId="0" applyBorder="1"/>
    <xf numFmtId="0" fontId="0" fillId="0" borderId="34" xfId="0" applyBorder="1"/>
    <xf numFmtId="0" fontId="6" fillId="0" borderId="35" xfId="0" applyNumberFormat="1" applyFont="1" applyBorder="1" applyAlignment="1">
      <alignment vertical="center" wrapText="1"/>
    </xf>
    <xf numFmtId="0" fontId="6" fillId="0" borderId="19" xfId="0" applyNumberFormat="1" applyFont="1" applyBorder="1" applyAlignment="1">
      <alignment vertical="center" wrapText="1"/>
    </xf>
    <xf numFmtId="0" fontId="6" fillId="0" borderId="19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0" fillId="0" borderId="30" xfId="0" applyBorder="1"/>
    <xf numFmtId="0" fontId="6" fillId="0" borderId="36" xfId="0" applyNumberFormat="1" applyFont="1" applyBorder="1" applyAlignment="1">
      <alignment vertical="center" wrapText="1"/>
    </xf>
    <xf numFmtId="0" fontId="6" fillId="0" borderId="26" xfId="0" applyNumberFormat="1" applyFont="1" applyBorder="1" applyAlignment="1">
      <alignment vertical="center" wrapText="1"/>
    </xf>
    <xf numFmtId="0" fontId="6" fillId="0" borderId="27" xfId="0" applyNumberFormat="1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29" xfId="0" applyFont="1" applyBorder="1" applyAlignment="1">
      <alignment vertical="center" wrapText="1"/>
    </xf>
    <xf numFmtId="0" fontId="6" fillId="0" borderId="37" xfId="0" applyFont="1" applyBorder="1" applyAlignment="1">
      <alignment vertical="center" wrapText="1"/>
    </xf>
    <xf numFmtId="0" fontId="0" fillId="0" borderId="38" xfId="0" applyBorder="1"/>
    <xf numFmtId="0" fontId="6" fillId="0" borderId="36" xfId="0" applyFont="1" applyBorder="1" applyAlignment="1">
      <alignment vertical="center" wrapText="1"/>
    </xf>
    <xf numFmtId="0" fontId="6" fillId="0" borderId="28" xfId="0" applyNumberFormat="1" applyFont="1" applyBorder="1" applyAlignment="1">
      <alignment vertical="center" wrapText="1"/>
    </xf>
    <xf numFmtId="0" fontId="6" fillId="0" borderId="20" xfId="0" applyNumberFormat="1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12" xfId="0" applyFont="1" applyFill="1" applyBorder="1" applyAlignment="1">
      <alignment vertical="center" wrapText="1"/>
    </xf>
    <xf numFmtId="0" fontId="6" fillId="0" borderId="29" xfId="0" applyNumberFormat="1" applyFont="1" applyBorder="1" applyAlignment="1">
      <alignment vertical="center" wrapText="1"/>
    </xf>
    <xf numFmtId="0" fontId="6" fillId="0" borderId="35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0" fontId="6" fillId="0" borderId="20" xfId="0" applyFont="1" applyFill="1" applyBorder="1" applyAlignment="1">
      <alignment vertical="center" wrapText="1"/>
    </xf>
    <xf numFmtId="0" fontId="6" fillId="0" borderId="13" xfId="0" applyFont="1" applyFill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6" fillId="0" borderId="14" xfId="0" applyNumberFormat="1" applyFont="1" applyBorder="1" applyAlignment="1">
      <alignment vertical="center" wrapText="1"/>
    </xf>
    <xf numFmtId="0" fontId="6" fillId="0" borderId="11" xfId="0" applyNumberFormat="1" applyFont="1" applyBorder="1" applyAlignment="1">
      <alignment vertical="center" wrapText="1"/>
    </xf>
    <xf numFmtId="0" fontId="0" fillId="0" borderId="20" xfId="0" applyBorder="1"/>
    <xf numFmtId="0" fontId="0" fillId="2" borderId="0" xfId="0" applyFill="1"/>
    <xf numFmtId="0" fontId="0" fillId="2" borderId="14" xfId="0" applyFill="1" applyBorder="1"/>
    <xf numFmtId="0" fontId="0" fillId="2" borderId="11" xfId="0" applyFill="1" applyBorder="1"/>
    <xf numFmtId="0" fontId="0" fillId="2" borderId="0" xfId="0" applyFill="1" applyBorder="1"/>
    <xf numFmtId="0" fontId="0" fillId="2" borderId="39" xfId="0" applyFill="1" applyBorder="1"/>
    <xf numFmtId="0" fontId="0" fillId="2" borderId="27" xfId="0" applyFill="1" applyBorder="1"/>
    <xf numFmtId="0" fontId="0" fillId="2" borderId="42" xfId="0" applyFill="1" applyBorder="1"/>
    <xf numFmtId="0" fontId="0" fillId="2" borderId="29" xfId="0" applyFill="1" applyBorder="1"/>
    <xf numFmtId="0" fontId="0" fillId="2" borderId="43" xfId="0" applyFill="1" applyBorder="1"/>
    <xf numFmtId="0" fontId="8" fillId="2" borderId="0" xfId="0" applyFont="1" applyFill="1"/>
    <xf numFmtId="0" fontId="0" fillId="2" borderId="21" xfId="0" applyFill="1" applyBorder="1" applyAlignment="1">
      <alignment horizontal="center" wrapText="1"/>
    </xf>
    <xf numFmtId="0" fontId="0" fillId="2" borderId="44" xfId="0" applyFill="1" applyBorder="1"/>
    <xf numFmtId="0" fontId="0" fillId="2" borderId="40" xfId="0" applyFill="1" applyBorder="1"/>
    <xf numFmtId="0" fontId="0" fillId="2" borderId="33" xfId="0" applyFill="1" applyBorder="1" applyAlignment="1">
      <alignment horizontal="center" wrapText="1"/>
    </xf>
    <xf numFmtId="0" fontId="0" fillId="2" borderId="2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5" fillId="2" borderId="1" xfId="0" applyFont="1" applyFill="1" applyBorder="1" applyAlignment="1"/>
    <xf numFmtId="0" fontId="0" fillId="2" borderId="33" xfId="0" applyFont="1" applyFill="1" applyBorder="1" applyAlignment="1">
      <alignment horizontal="center"/>
    </xf>
    <xf numFmtId="0" fontId="0" fillId="2" borderId="5" xfId="0" applyFill="1" applyBorder="1" applyAlignment="1"/>
    <xf numFmtId="0" fontId="0" fillId="2" borderId="0" xfId="0" applyFill="1" applyBorder="1" applyAlignment="1" applyProtection="1">
      <alignment horizontal="center"/>
      <protection locked="0"/>
    </xf>
    <xf numFmtId="0" fontId="0" fillId="2" borderId="0" xfId="0" applyFill="1" applyBorder="1" applyProtection="1">
      <protection locked="0"/>
    </xf>
    <xf numFmtId="2" fontId="0" fillId="2" borderId="0" xfId="0" applyNumberFormat="1" applyFont="1" applyFill="1" applyBorder="1" applyAlignment="1" applyProtection="1">
      <alignment horizontal="center" vertical="center"/>
      <protection locked="0"/>
    </xf>
    <xf numFmtId="0" fontId="0" fillId="2" borderId="21" xfId="0" applyFill="1" applyBorder="1" applyAlignment="1">
      <alignment horizontal="center"/>
    </xf>
    <xf numFmtId="0" fontId="0" fillId="2" borderId="18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164" fontId="0" fillId="2" borderId="46" xfId="0" applyNumberFormat="1" applyFont="1" applyFill="1" applyBorder="1" applyAlignment="1">
      <alignment horizontal="center" vertical="center"/>
    </xf>
    <xf numFmtId="164" fontId="0" fillId="2" borderId="47" xfId="0" applyNumberFormat="1" applyFont="1" applyFill="1" applyBorder="1" applyAlignment="1">
      <alignment horizontal="center" vertical="center"/>
    </xf>
    <xf numFmtId="164" fontId="0" fillId="2" borderId="44" xfId="0" applyNumberFormat="1" applyFont="1" applyFill="1" applyBorder="1" applyAlignment="1">
      <alignment horizontal="center" vertical="center"/>
    </xf>
    <xf numFmtId="164" fontId="0" fillId="2" borderId="43" xfId="0" applyNumberFormat="1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9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4" borderId="17" xfId="0" applyFill="1" applyBorder="1" applyAlignment="1" applyProtection="1">
      <alignment horizontal="center"/>
      <protection locked="0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4" borderId="15" xfId="0" applyFill="1" applyBorder="1" applyAlignment="1" applyProtection="1">
      <alignment horizontal="center"/>
      <protection locked="0"/>
    </xf>
    <xf numFmtId="0" fontId="0" fillId="2" borderId="18" xfId="0" applyFont="1" applyFill="1" applyBorder="1" applyAlignment="1">
      <alignment horizontal="center" vertical="center"/>
    </xf>
    <xf numFmtId="0" fontId="0" fillId="2" borderId="21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0" fillId="2" borderId="1" xfId="0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top" wrapText="1"/>
    </xf>
    <xf numFmtId="49" fontId="0" fillId="2" borderId="18" xfId="0" applyNumberForma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49" fontId="0" fillId="2" borderId="21" xfId="0" applyNumberFormat="1" applyFill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2" borderId="45" xfId="0" applyFill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164" fontId="0" fillId="4" borderId="13" xfId="0" applyNumberFormat="1" applyFill="1" applyBorder="1" applyAlignment="1" applyProtection="1">
      <alignment horizontal="center"/>
      <protection locked="0"/>
    </xf>
    <xf numFmtId="164" fontId="0" fillId="4" borderId="15" xfId="0" applyNumberFormat="1" applyFill="1" applyBorder="1" applyAlignment="1" applyProtection="1">
      <alignment horizontal="center"/>
      <protection locked="0"/>
    </xf>
    <xf numFmtId="0" fontId="0" fillId="2" borderId="1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64" fontId="0" fillId="2" borderId="20" xfId="0" applyNumberFormat="1" applyFill="1" applyBorder="1" applyAlignment="1" applyProtection="1">
      <alignment horizontal="center"/>
    </xf>
    <xf numFmtId="164" fontId="0" fillId="2" borderId="12" xfId="0" applyNumberFormat="1" applyFill="1" applyBorder="1" applyAlignment="1" applyProtection="1">
      <alignment horizontal="center"/>
    </xf>
    <xf numFmtId="0" fontId="0" fillId="2" borderId="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2" borderId="41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85510d3cb9ba4273/Dokumenter/Mikkel%20skole/Teknisk%20beregning/Kabelopl&#230;gning%20model%20ny%20udgav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k1"/>
      <sheetName val="Ark2"/>
    </sheetNames>
    <sheetDataSet>
      <sheetData sheetId="0"/>
      <sheetData sheetId="1">
        <row r="2">
          <cell r="A2">
            <v>1</v>
          </cell>
        </row>
        <row r="3">
          <cell r="A3">
            <v>2</v>
          </cell>
        </row>
        <row r="4">
          <cell r="A4">
            <v>3</v>
          </cell>
        </row>
        <row r="5">
          <cell r="A5">
            <v>4</v>
          </cell>
        </row>
        <row r="6">
          <cell r="A6">
            <v>5</v>
          </cell>
        </row>
        <row r="7">
          <cell r="A7">
            <v>6</v>
          </cell>
        </row>
        <row r="8">
          <cell r="A8">
            <v>7</v>
          </cell>
        </row>
        <row r="9">
          <cell r="A9">
            <v>8</v>
          </cell>
        </row>
        <row r="10">
          <cell r="A10">
            <v>9</v>
          </cell>
        </row>
        <row r="11">
          <cell r="A11">
            <v>10</v>
          </cell>
        </row>
        <row r="12">
          <cell r="A12">
            <v>11</v>
          </cell>
        </row>
        <row r="13">
          <cell r="A13">
            <v>12</v>
          </cell>
        </row>
        <row r="14">
          <cell r="A14">
            <v>13</v>
          </cell>
        </row>
        <row r="15">
          <cell r="A15">
            <v>14</v>
          </cell>
        </row>
        <row r="16">
          <cell r="A16">
            <v>15</v>
          </cell>
        </row>
        <row r="17">
          <cell r="A17">
            <v>16</v>
          </cell>
        </row>
        <row r="18">
          <cell r="A18">
            <v>17</v>
          </cell>
        </row>
        <row r="19">
          <cell r="A19">
            <v>18</v>
          </cell>
        </row>
        <row r="20">
          <cell r="A20">
            <v>19</v>
          </cell>
        </row>
        <row r="21">
          <cell r="A21">
            <v>20</v>
          </cell>
        </row>
        <row r="22">
          <cell r="A22">
            <v>21</v>
          </cell>
        </row>
        <row r="23">
          <cell r="A23">
            <v>22</v>
          </cell>
        </row>
        <row r="24">
          <cell r="A24">
            <v>23</v>
          </cell>
        </row>
        <row r="25">
          <cell r="A25">
            <v>24</v>
          </cell>
        </row>
        <row r="26">
          <cell r="A26">
            <v>25</v>
          </cell>
        </row>
        <row r="27">
          <cell r="A27">
            <v>26</v>
          </cell>
        </row>
        <row r="28">
          <cell r="A28">
            <v>27</v>
          </cell>
        </row>
        <row r="29">
          <cell r="A29">
            <v>28</v>
          </cell>
          <cell r="U29" t="str">
            <v>Ingen</v>
          </cell>
        </row>
        <row r="30">
          <cell r="A30">
            <v>29</v>
          </cell>
          <cell r="U30" t="str">
            <v>En kabeldiameter</v>
          </cell>
        </row>
        <row r="31">
          <cell r="A31">
            <v>30</v>
          </cell>
          <cell r="U31" t="str">
            <v>0,125m</v>
          </cell>
        </row>
        <row r="32">
          <cell r="A32">
            <v>31</v>
          </cell>
          <cell r="U32" t="str">
            <v>0,25m</v>
          </cell>
        </row>
        <row r="33">
          <cell r="A33">
            <v>31</v>
          </cell>
          <cell r="U33" t="str">
            <v>0,5m</v>
          </cell>
        </row>
        <row r="34">
          <cell r="A34">
            <v>32</v>
          </cell>
          <cell r="U34" t="str">
            <v>1,0m</v>
          </cell>
        </row>
        <row r="35">
          <cell r="A35">
            <v>32</v>
          </cell>
          <cell r="U35" t="str">
            <v>&gt;1,0m</v>
          </cell>
        </row>
        <row r="36">
          <cell r="A36">
            <v>33</v>
          </cell>
        </row>
        <row r="37">
          <cell r="A37">
            <v>33</v>
          </cell>
        </row>
        <row r="38">
          <cell r="A38">
            <v>33</v>
          </cell>
          <cell r="E38" t="str">
            <v>10°C</v>
          </cell>
        </row>
        <row r="39">
          <cell r="A39">
            <v>34</v>
          </cell>
          <cell r="E39" t="str">
            <v>15°C</v>
          </cell>
        </row>
        <row r="40">
          <cell r="A40">
            <v>34</v>
          </cell>
          <cell r="E40" t="str">
            <v>20°C</v>
          </cell>
          <cell r="M40">
            <v>1</v>
          </cell>
        </row>
        <row r="41">
          <cell r="A41">
            <v>35</v>
          </cell>
          <cell r="C41" t="str">
            <v>Flerleder kabel</v>
          </cell>
          <cell r="E41" t="str">
            <v>25°C</v>
          </cell>
          <cell r="M41">
            <v>2</v>
          </cell>
        </row>
        <row r="42">
          <cell r="A42">
            <v>35</v>
          </cell>
          <cell r="C42" t="str">
            <v>Enleder</v>
          </cell>
          <cell r="E42" t="str">
            <v>30°C</v>
          </cell>
          <cell r="M42">
            <v>3</v>
          </cell>
        </row>
        <row r="43">
          <cell r="A43">
            <v>36</v>
          </cell>
          <cell r="C43" t="str">
            <v>Enleder med luft</v>
          </cell>
          <cell r="E43" t="str">
            <v>35°C</v>
          </cell>
          <cell r="M43">
            <v>4</v>
          </cell>
        </row>
        <row r="44">
          <cell r="A44">
            <v>37</v>
          </cell>
          <cell r="E44" t="str">
            <v>40°C</v>
          </cell>
          <cell r="M44">
            <v>5</v>
          </cell>
        </row>
        <row r="45">
          <cell r="A45">
            <v>38</v>
          </cell>
          <cell r="E45" t="str">
            <v>45°C</v>
          </cell>
          <cell r="M45">
            <v>6</v>
          </cell>
        </row>
        <row r="46">
          <cell r="A46">
            <v>39</v>
          </cell>
          <cell r="E46" t="str">
            <v>50°C</v>
          </cell>
          <cell r="M46">
            <v>7</v>
          </cell>
        </row>
        <row r="47">
          <cell r="A47" t="str">
            <v>40 1,5 De ≤ V &lt; 5 De</v>
          </cell>
          <cell r="E47" t="str">
            <v>55°C</v>
          </cell>
          <cell r="M47">
            <v>8</v>
          </cell>
        </row>
        <row r="48">
          <cell r="A48" t="str">
            <v>40 5 De ≤ V &lt; 20 De</v>
          </cell>
          <cell r="E48" t="str">
            <v>60°C</v>
          </cell>
          <cell r="M48">
            <v>9</v>
          </cell>
        </row>
        <row r="49">
          <cell r="A49" t="str">
            <v>41 1,5 De ≤ V &lt; 20 De</v>
          </cell>
          <cell r="E49" t="str">
            <v>65°C</v>
          </cell>
          <cell r="M49">
            <v>10</v>
          </cell>
        </row>
        <row r="50">
          <cell r="A50" t="str">
            <v>41 V ≥ 20 De</v>
          </cell>
          <cell r="E50" t="str">
            <v>70°C</v>
          </cell>
          <cell r="M50">
            <v>11</v>
          </cell>
        </row>
        <row r="51">
          <cell r="A51" t="str">
            <v>42 1,5 De ≤ V &lt; 20 De</v>
          </cell>
          <cell r="E51" t="str">
            <v>75°C</v>
          </cell>
          <cell r="M51">
            <v>12</v>
          </cell>
        </row>
        <row r="52">
          <cell r="A52" t="str">
            <v xml:space="preserve">42V ≥ 20 De </v>
          </cell>
          <cell r="E52" t="str">
            <v>80°C</v>
          </cell>
          <cell r="M52">
            <v>13</v>
          </cell>
        </row>
        <row r="53">
          <cell r="A53" t="str">
            <v>43 1,5 De ≤ V &lt; 20 De</v>
          </cell>
          <cell r="E53" t="str">
            <v>85°C</v>
          </cell>
          <cell r="M53">
            <v>14</v>
          </cell>
        </row>
        <row r="54">
          <cell r="A54" t="str">
            <v>43 V ≥ 20 De</v>
          </cell>
          <cell r="E54" t="str">
            <v>90°C</v>
          </cell>
          <cell r="M54">
            <v>15</v>
          </cell>
        </row>
        <row r="55">
          <cell r="A55" t="str">
            <v>44 1,5 De ≤ V &lt; 20 De</v>
          </cell>
          <cell r="E55" t="str">
            <v>95°C</v>
          </cell>
          <cell r="M55">
            <v>16</v>
          </cell>
        </row>
        <row r="56">
          <cell r="A56" t="str">
            <v>44 V ≥ 20 De</v>
          </cell>
          <cell r="M56">
            <v>17</v>
          </cell>
        </row>
        <row r="57">
          <cell r="A57" t="str">
            <v>45 1,5 De ≤ V &lt; 5 De</v>
          </cell>
          <cell r="M57">
            <v>18</v>
          </cell>
        </row>
        <row r="58">
          <cell r="A58" t="str">
            <v>45 5 De ≤ V &lt; 50 De</v>
          </cell>
          <cell r="M58">
            <v>19</v>
          </cell>
        </row>
        <row r="59">
          <cell r="A59" t="str">
            <v>46 1,5 De ≤ V &lt; 20 De</v>
          </cell>
          <cell r="M59">
            <v>20</v>
          </cell>
        </row>
        <row r="60">
          <cell r="A60" t="str">
            <v>46 V ≥ 20 De</v>
          </cell>
          <cell r="M60" t="str">
            <v>&gt;20</v>
          </cell>
        </row>
        <row r="61">
          <cell r="A61" t="str">
            <v>47 1,5 De ≤ V &lt; 5 De</v>
          </cell>
        </row>
        <row r="62">
          <cell r="A62" t="str">
            <v>47 5 De ≤ V &lt; 50 De</v>
          </cell>
        </row>
        <row r="63">
          <cell r="A63">
            <v>48</v>
          </cell>
        </row>
        <row r="64">
          <cell r="A64">
            <v>49</v>
          </cell>
        </row>
        <row r="65">
          <cell r="A65">
            <v>50</v>
          </cell>
        </row>
        <row r="66">
          <cell r="A66">
            <v>51</v>
          </cell>
        </row>
        <row r="67">
          <cell r="A67" t="str">
            <v>52 Enleder</v>
          </cell>
        </row>
        <row r="68">
          <cell r="A68" t="str">
            <v>52 Flerleder kabel</v>
          </cell>
        </row>
        <row r="69">
          <cell r="A69" t="str">
            <v>53 Enleder</v>
          </cell>
        </row>
        <row r="70">
          <cell r="A70" t="str">
            <v>53 Flerleder kabel</v>
          </cell>
        </row>
        <row r="71">
          <cell r="A71" t="str">
            <v>54 1,5 De ≤ V &lt; 20 De</v>
          </cell>
          <cell r="M71" t="str">
            <v>1 vandret</v>
          </cell>
        </row>
        <row r="72">
          <cell r="A72" t="str">
            <v>54 V ≥ 20 De</v>
          </cell>
          <cell r="M72" t="str">
            <v>2 vandret</v>
          </cell>
        </row>
        <row r="73">
          <cell r="A73">
            <v>55</v>
          </cell>
          <cell r="M73" t="str">
            <v>3 vandret</v>
          </cell>
        </row>
        <row r="74">
          <cell r="A74">
            <v>56</v>
          </cell>
          <cell r="M74" t="str">
            <v>6 vandret</v>
          </cell>
        </row>
        <row r="75">
          <cell r="A75">
            <v>57</v>
          </cell>
          <cell r="M75" t="str">
            <v>1 lodret</v>
          </cell>
        </row>
        <row r="76">
          <cell r="A76">
            <v>58</v>
          </cell>
          <cell r="E76" t="str">
            <v>0,5*m/W=1</v>
          </cell>
          <cell r="M76" t="str">
            <v>2 lodret</v>
          </cell>
        </row>
        <row r="77">
          <cell r="A77">
            <v>59</v>
          </cell>
          <cell r="E77" t="str">
            <v>0,7*m/W=1</v>
          </cell>
        </row>
        <row r="78">
          <cell r="A78">
            <v>60</v>
          </cell>
          <cell r="E78" t="str">
            <v>1*m/W=1</v>
          </cell>
        </row>
        <row r="79">
          <cell r="A79">
            <v>61</v>
          </cell>
          <cell r="E79" t="str">
            <v>1,5*m/W=1</v>
          </cell>
        </row>
        <row r="80">
          <cell r="A80">
            <v>62</v>
          </cell>
          <cell r="E80" t="str">
            <v>2*m/W=1</v>
          </cell>
        </row>
        <row r="81">
          <cell r="A81">
            <v>63</v>
          </cell>
          <cell r="E81" t="str">
            <v>2,5*m/W=1</v>
          </cell>
        </row>
        <row r="82">
          <cell r="A82">
            <v>64</v>
          </cell>
          <cell r="E82" t="str">
            <v>3*m/W=1</v>
          </cell>
        </row>
        <row r="83">
          <cell r="A83">
            <v>65</v>
          </cell>
        </row>
        <row r="84">
          <cell r="A84">
            <v>66</v>
          </cell>
        </row>
        <row r="85">
          <cell r="A85">
            <v>67</v>
          </cell>
        </row>
        <row r="86">
          <cell r="A86">
            <v>68</v>
          </cell>
        </row>
        <row r="87">
          <cell r="A87">
            <v>69</v>
          </cell>
        </row>
        <row r="88">
          <cell r="A88">
            <v>70</v>
          </cell>
        </row>
        <row r="89">
          <cell r="A89">
            <v>71</v>
          </cell>
        </row>
        <row r="90">
          <cell r="A90">
            <v>72</v>
          </cell>
        </row>
        <row r="91">
          <cell r="A91">
            <v>73</v>
          </cell>
        </row>
        <row r="98">
          <cell r="A98" t="str">
            <v>70°C PVC</v>
          </cell>
        </row>
        <row r="99">
          <cell r="A99" t="str">
            <v>90°C XPLE &amp; EPR</v>
          </cell>
        </row>
        <row r="100">
          <cell r="A100" t="str">
            <v xml:space="preserve">70 °C PVC-overtræk eller blottet og berøringstilgængelig </v>
          </cell>
        </row>
        <row r="101">
          <cell r="A101" t="str">
            <v xml:space="preserve">105 °C Blottet og ikke berøringstilgængelig </v>
          </cell>
        </row>
      </sheetData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9CF9C-AAC3-4B0C-9646-D87F40FF6201}">
  <dimension ref="B1:AQ40"/>
  <sheetViews>
    <sheetView tabSelected="1" zoomScale="70" zoomScaleNormal="70" workbookViewId="0">
      <selection activeCell="H15" sqref="H15:K15"/>
    </sheetView>
  </sheetViews>
  <sheetFormatPr defaultColWidth="8.88671875" defaultRowHeight="14.4"/>
  <cols>
    <col min="1" max="1" width="8.88671875" style="117"/>
    <col min="2" max="2" width="13.6640625" style="117" customWidth="1"/>
    <col min="3" max="3" width="11.44140625" style="117" customWidth="1"/>
    <col min="4" max="5" width="2.21875" style="117" customWidth="1"/>
    <col min="6" max="6" width="14.77734375" style="117" customWidth="1"/>
    <col min="7" max="7" width="2.109375" style="117" customWidth="1"/>
    <col min="8" max="8" width="4.77734375" style="117" customWidth="1"/>
    <col min="9" max="9" width="5" style="117" customWidth="1"/>
    <col min="10" max="10" width="5.33203125" style="117" customWidth="1"/>
    <col min="11" max="11" width="2.5546875" style="117" customWidth="1"/>
    <col min="12" max="12" width="2.5546875" style="137" customWidth="1"/>
    <col min="13" max="13" width="2.21875" style="117" customWidth="1"/>
    <col min="14" max="14" width="14.77734375" style="117" customWidth="1"/>
    <col min="15" max="15" width="2.109375" style="117" customWidth="1"/>
    <col min="16" max="16" width="4.77734375" style="117" customWidth="1"/>
    <col min="17" max="17" width="5" style="117" customWidth="1"/>
    <col min="18" max="18" width="5.33203125" style="117" customWidth="1"/>
    <col min="19" max="19" width="2.5546875" style="117" customWidth="1"/>
    <col min="20" max="20" width="2.5546875" style="137" customWidth="1"/>
    <col min="21" max="21" width="2.21875" style="117" customWidth="1"/>
    <col min="22" max="22" width="14.77734375" style="117" customWidth="1"/>
    <col min="23" max="23" width="2.109375" style="117" customWidth="1"/>
    <col min="24" max="24" width="4.77734375" style="117" customWidth="1"/>
    <col min="25" max="25" width="5" style="117" customWidth="1"/>
    <col min="26" max="26" width="5.33203125" style="117" customWidth="1"/>
    <col min="27" max="27" width="2.5546875" style="117" customWidth="1"/>
    <col min="28" max="28" width="2.5546875" style="137" customWidth="1"/>
    <col min="29" max="29" width="2.21875" style="117" customWidth="1"/>
    <col min="30" max="30" width="14.77734375" style="117" customWidth="1"/>
    <col min="31" max="31" width="2.109375" style="117" customWidth="1"/>
    <col min="32" max="32" width="4.77734375" style="117" customWidth="1"/>
    <col min="33" max="33" width="5" style="117" customWidth="1"/>
    <col min="34" max="34" width="5.33203125" style="117" customWidth="1"/>
    <col min="35" max="35" width="2.5546875" style="117" customWidth="1"/>
    <col min="36" max="36" width="2.5546875" style="137" customWidth="1"/>
    <col min="37" max="37" width="2.21875" style="117" customWidth="1"/>
    <col min="38" max="38" width="14.77734375" style="117" customWidth="1"/>
    <col min="39" max="39" width="2.109375" style="117" customWidth="1"/>
    <col min="40" max="40" width="4.77734375" style="117" customWidth="1"/>
    <col min="41" max="41" width="5" style="117" customWidth="1"/>
    <col min="42" max="42" width="5.33203125" style="117" customWidth="1"/>
    <col min="43" max="43" width="2.5546875" style="117" customWidth="1"/>
    <col min="44" max="16384" width="8.88671875" style="117"/>
  </cols>
  <sheetData>
    <row r="1" spans="2:43" ht="15" thickBot="1"/>
    <row r="2" spans="2:43">
      <c r="B2" s="152" t="s">
        <v>114</v>
      </c>
      <c r="C2" s="153"/>
      <c r="D2" s="153"/>
      <c r="E2" s="159" t="s">
        <v>116</v>
      </c>
      <c r="F2" s="159"/>
      <c r="G2" s="159"/>
      <c r="H2" s="160"/>
    </row>
    <row r="3" spans="2:43">
      <c r="B3" s="148" t="s">
        <v>149</v>
      </c>
      <c r="C3" s="149"/>
      <c r="D3" s="149"/>
      <c r="E3" s="161" t="s">
        <v>141</v>
      </c>
      <c r="F3" s="161"/>
      <c r="G3" s="161"/>
      <c r="H3" s="162"/>
    </row>
    <row r="4" spans="2:43">
      <c r="B4" s="148" t="s">
        <v>150</v>
      </c>
      <c r="C4" s="149"/>
      <c r="D4" s="149"/>
      <c r="E4" s="161" t="s">
        <v>158</v>
      </c>
      <c r="F4" s="161"/>
      <c r="G4" s="161"/>
      <c r="H4" s="162"/>
    </row>
    <row r="5" spans="2:43">
      <c r="B5" s="175" t="s">
        <v>157</v>
      </c>
      <c r="C5" s="176"/>
      <c r="D5" s="177"/>
      <c r="E5" s="178">
        <v>80</v>
      </c>
      <c r="F5" s="178"/>
      <c r="G5" s="178"/>
      <c r="H5" s="179"/>
    </row>
    <row r="6" spans="2:43">
      <c r="B6" s="148" t="s">
        <v>156</v>
      </c>
      <c r="C6" s="149"/>
      <c r="D6" s="149"/>
      <c r="E6" s="161">
        <v>1</v>
      </c>
      <c r="F6" s="161"/>
      <c r="G6" s="161"/>
      <c r="H6" s="162"/>
    </row>
    <row r="7" spans="2:43" ht="15" thickBot="1">
      <c r="B7" s="146" t="s">
        <v>169</v>
      </c>
      <c r="C7" s="147"/>
      <c r="D7" s="147"/>
      <c r="E7" s="195">
        <f>E5/IF(E6="",1,E6)</f>
        <v>80</v>
      </c>
      <c r="F7" s="195"/>
      <c r="G7" s="195"/>
      <c r="H7" s="196"/>
    </row>
    <row r="10" spans="2:43" ht="15" thickBot="1">
      <c r="P10" s="120"/>
      <c r="Q10" s="120"/>
      <c r="R10" s="120"/>
      <c r="S10" s="120"/>
      <c r="U10" s="120"/>
      <c r="V10" s="120"/>
      <c r="W10" s="120"/>
      <c r="X10" s="120"/>
      <c r="Y10" s="120"/>
      <c r="Z10" s="120"/>
      <c r="AA10" s="120"/>
      <c r="AC10" s="120"/>
      <c r="AD10" s="120"/>
      <c r="AE10" s="120"/>
      <c r="AF10" s="120"/>
    </row>
    <row r="11" spans="2:43" ht="15" thickBot="1">
      <c r="B11" s="189"/>
      <c r="C11" s="190"/>
      <c r="D11" s="191"/>
      <c r="E11" s="154" t="s">
        <v>55</v>
      </c>
      <c r="F11" s="155"/>
      <c r="G11" s="155"/>
      <c r="H11" s="155"/>
      <c r="I11" s="155"/>
      <c r="J11" s="155"/>
      <c r="K11" s="156"/>
      <c r="L11" s="136"/>
      <c r="M11" s="154" t="s">
        <v>97</v>
      </c>
      <c r="N11" s="155"/>
      <c r="O11" s="155"/>
      <c r="P11" s="155"/>
      <c r="Q11" s="155"/>
      <c r="R11" s="155"/>
      <c r="S11" s="156"/>
      <c r="T11" s="136"/>
      <c r="U11" s="154" t="s">
        <v>98</v>
      </c>
      <c r="V11" s="155"/>
      <c r="W11" s="155"/>
      <c r="X11" s="155"/>
      <c r="Y11" s="155"/>
      <c r="Z11" s="155"/>
      <c r="AA11" s="156"/>
      <c r="AB11" s="136"/>
      <c r="AC11" s="154" t="s">
        <v>99</v>
      </c>
      <c r="AD11" s="155"/>
      <c r="AE11" s="155"/>
      <c r="AF11" s="155"/>
      <c r="AG11" s="155"/>
      <c r="AH11" s="155"/>
      <c r="AI11" s="156"/>
      <c r="AJ11" s="136"/>
      <c r="AK11" s="154" t="s">
        <v>148</v>
      </c>
      <c r="AL11" s="155"/>
      <c r="AM11" s="155"/>
      <c r="AN11" s="155"/>
      <c r="AO11" s="155"/>
      <c r="AP11" s="155"/>
      <c r="AQ11" s="156"/>
    </row>
    <row r="12" spans="2:43">
      <c r="B12" s="152" t="s">
        <v>30</v>
      </c>
      <c r="C12" s="153"/>
      <c r="D12" s="165"/>
      <c r="E12" s="152" t="s">
        <v>31</v>
      </c>
      <c r="F12" s="153"/>
      <c r="G12" s="153"/>
      <c r="H12" s="159">
        <v>73</v>
      </c>
      <c r="I12" s="159"/>
      <c r="J12" s="159"/>
      <c r="K12" s="160"/>
      <c r="L12" s="136"/>
      <c r="M12" s="152" t="s">
        <v>31</v>
      </c>
      <c r="N12" s="153"/>
      <c r="O12" s="153"/>
      <c r="P12" s="159">
        <v>5</v>
      </c>
      <c r="Q12" s="159"/>
      <c r="R12" s="159"/>
      <c r="S12" s="160"/>
      <c r="T12" s="136"/>
      <c r="U12" s="152" t="s">
        <v>31</v>
      </c>
      <c r="V12" s="153"/>
      <c r="W12" s="153"/>
      <c r="X12" s="159">
        <v>3</v>
      </c>
      <c r="Y12" s="159"/>
      <c r="Z12" s="159"/>
      <c r="AA12" s="160"/>
      <c r="AB12" s="136"/>
      <c r="AC12" s="152" t="s">
        <v>31</v>
      </c>
      <c r="AD12" s="153"/>
      <c r="AE12" s="153"/>
      <c r="AF12" s="159"/>
      <c r="AG12" s="159"/>
      <c r="AH12" s="159"/>
      <c r="AI12" s="160"/>
      <c r="AJ12" s="136"/>
      <c r="AK12" s="152" t="s">
        <v>31</v>
      </c>
      <c r="AL12" s="153"/>
      <c r="AM12" s="153"/>
      <c r="AN12" s="159"/>
      <c r="AO12" s="159"/>
      <c r="AP12" s="159"/>
      <c r="AQ12" s="160"/>
    </row>
    <row r="13" spans="2:43" ht="15" thickBot="1">
      <c r="B13" s="146" t="s">
        <v>1</v>
      </c>
      <c r="C13" s="147"/>
      <c r="D13" s="157"/>
      <c r="E13" s="146" t="s">
        <v>32</v>
      </c>
      <c r="F13" s="147"/>
      <c r="G13" s="147"/>
      <c r="H13" s="147" t="str">
        <f>IF($E$2="Flerleder",VLOOKUP(H12,'kt,ks,kj'!$A$3:$B$84,2,FALSE),IF($E$2="Enleder",VLOOKUP(H12,'kt,ks,kj'!$A$96:$B$177,2,FALSE),))</f>
        <v>D2</v>
      </c>
      <c r="I13" s="147"/>
      <c r="J13" s="147"/>
      <c r="K13" s="157"/>
      <c r="L13" s="136"/>
      <c r="M13" s="146" t="s">
        <v>32</v>
      </c>
      <c r="N13" s="147"/>
      <c r="O13" s="147"/>
      <c r="P13" s="147" t="str">
        <f>IF($E$2="Flerleder",VLOOKUP(P12,'kt,ks,kj'!$A$3:$B$84,2,FALSE),IF($E$2="Enleder",VLOOKUP(P12,'kt,ks,kj'!$A$96:$B$177,2,FALSE),))</f>
        <v>B2</v>
      </c>
      <c r="Q13" s="147"/>
      <c r="R13" s="147"/>
      <c r="S13" s="157"/>
      <c r="T13" s="136"/>
      <c r="U13" s="146" t="s">
        <v>32</v>
      </c>
      <c r="V13" s="147"/>
      <c r="W13" s="147"/>
      <c r="X13" s="147" t="str">
        <f>IF($E$2="Flerleder",VLOOKUP(X12,'kt,ks,kj'!$A$3:$B$84,2,FALSE),IF($E$2="Enleder",VLOOKUP(X12,'kt,ks,kj'!$A$96:$B$177,2,FALSE),))</f>
        <v>A1</v>
      </c>
      <c r="Y13" s="147"/>
      <c r="Z13" s="147"/>
      <c r="AA13" s="157"/>
      <c r="AB13" s="136"/>
      <c r="AC13" s="146" t="s">
        <v>32</v>
      </c>
      <c r="AD13" s="147"/>
      <c r="AE13" s="147"/>
      <c r="AF13" s="147" t="e">
        <f>IF($E$2="Flerleder",VLOOKUP(AF12,'kt,ks,kj'!$A$3:$B$84,2,FALSE),IF($E$2="Enleder",VLOOKUP(AF12,'kt,ks,kj'!$A$96:$B$177,2,FALSE),))</f>
        <v>#N/A</v>
      </c>
      <c r="AG13" s="147"/>
      <c r="AH13" s="147"/>
      <c r="AI13" s="157"/>
      <c r="AJ13" s="136"/>
      <c r="AK13" s="146" t="s">
        <v>32</v>
      </c>
      <c r="AL13" s="147"/>
      <c r="AM13" s="147"/>
      <c r="AN13" s="147" t="e">
        <f>IF($E$2="Flerleder",VLOOKUP(AN12,'kt,ks,kj'!$A$3:$B$84,2,FALSE),IF($E$2="Enleder",VLOOKUP(AN12,'kt,ks,kj'!$A$96:$B$177,2,FALSE),))</f>
        <v>#N/A</v>
      </c>
      <c r="AO13" s="147"/>
      <c r="AP13" s="147"/>
      <c r="AQ13" s="157"/>
    </row>
    <row r="14" spans="2:43" ht="15" thickBot="1">
      <c r="B14" s="192"/>
      <c r="C14" s="193"/>
      <c r="D14" s="194"/>
      <c r="E14" s="154" t="s">
        <v>43</v>
      </c>
      <c r="F14" s="155"/>
      <c r="G14" s="155"/>
      <c r="H14" s="155"/>
      <c r="I14" s="155"/>
      <c r="J14" s="155"/>
      <c r="K14" s="156"/>
      <c r="L14" s="136"/>
      <c r="M14" s="154" t="s">
        <v>43</v>
      </c>
      <c r="N14" s="155"/>
      <c r="O14" s="155"/>
      <c r="P14" s="155"/>
      <c r="Q14" s="155"/>
      <c r="R14" s="155"/>
      <c r="S14" s="156"/>
      <c r="T14" s="136"/>
      <c r="U14" s="154" t="s">
        <v>43</v>
      </c>
      <c r="V14" s="155"/>
      <c r="W14" s="155"/>
      <c r="X14" s="155"/>
      <c r="Y14" s="155"/>
      <c r="Z14" s="155"/>
      <c r="AA14" s="156"/>
      <c r="AB14" s="136"/>
      <c r="AC14" s="154" t="s">
        <v>43</v>
      </c>
      <c r="AD14" s="155"/>
      <c r="AE14" s="155"/>
      <c r="AF14" s="155"/>
      <c r="AG14" s="155"/>
      <c r="AH14" s="155"/>
      <c r="AI14" s="156"/>
      <c r="AJ14" s="136"/>
      <c r="AK14" s="154" t="s">
        <v>43</v>
      </c>
      <c r="AL14" s="155"/>
      <c r="AM14" s="155"/>
      <c r="AN14" s="155"/>
      <c r="AO14" s="155"/>
      <c r="AP14" s="155"/>
      <c r="AQ14" s="156"/>
    </row>
    <row r="15" spans="2:43">
      <c r="B15" s="180" t="s">
        <v>43</v>
      </c>
      <c r="C15" s="181"/>
      <c r="D15" s="182"/>
      <c r="E15" s="152" t="s">
        <v>48</v>
      </c>
      <c r="F15" s="153"/>
      <c r="G15" s="153"/>
      <c r="H15" s="159" t="s">
        <v>59</v>
      </c>
      <c r="I15" s="159"/>
      <c r="J15" s="159"/>
      <c r="K15" s="160"/>
      <c r="L15" s="136"/>
      <c r="M15" s="152" t="s">
        <v>48</v>
      </c>
      <c r="N15" s="153"/>
      <c r="O15" s="153"/>
      <c r="P15" s="159" t="s">
        <v>59</v>
      </c>
      <c r="Q15" s="159"/>
      <c r="R15" s="159"/>
      <c r="S15" s="160"/>
      <c r="T15" s="136"/>
      <c r="U15" s="152" t="s">
        <v>48</v>
      </c>
      <c r="V15" s="153"/>
      <c r="W15" s="153"/>
      <c r="X15" s="159" t="s">
        <v>74</v>
      </c>
      <c r="Y15" s="159"/>
      <c r="Z15" s="159"/>
      <c r="AA15" s="160"/>
      <c r="AB15" s="136"/>
      <c r="AC15" s="152" t="s">
        <v>48</v>
      </c>
      <c r="AD15" s="153"/>
      <c r="AE15" s="153"/>
      <c r="AF15" s="159"/>
      <c r="AG15" s="159"/>
      <c r="AH15" s="159"/>
      <c r="AI15" s="160"/>
      <c r="AJ15" s="136"/>
      <c r="AK15" s="152" t="s">
        <v>48</v>
      </c>
      <c r="AL15" s="153"/>
      <c r="AM15" s="153"/>
      <c r="AN15" s="159"/>
      <c r="AO15" s="159"/>
      <c r="AP15" s="159"/>
      <c r="AQ15" s="160"/>
    </row>
    <row r="16" spans="2:43">
      <c r="B16" s="183"/>
      <c r="C16" s="184"/>
      <c r="D16" s="185"/>
      <c r="E16" s="148" t="s">
        <v>53</v>
      </c>
      <c r="F16" s="149"/>
      <c r="G16" s="149"/>
      <c r="H16" s="149" t="str">
        <f>IF(OR(H13="D1",H13="D2"),'kt,ks,kj'!$D$34,'kt,ks,kj'!$D$13)</f>
        <v>B.52.15</v>
      </c>
      <c r="I16" s="149"/>
      <c r="J16" s="149"/>
      <c r="K16" s="158"/>
      <c r="L16" s="136"/>
      <c r="M16" s="148" t="s">
        <v>53</v>
      </c>
      <c r="N16" s="149"/>
      <c r="O16" s="149"/>
      <c r="P16" s="149" t="str">
        <f>IF(OR(P13="D1",P13="D2"),'kt,ks,kj'!$D$34,'kt,ks,kj'!$D$13)</f>
        <v>B.52.14</v>
      </c>
      <c r="Q16" s="149"/>
      <c r="R16" s="149"/>
      <c r="S16" s="158"/>
      <c r="T16" s="136"/>
      <c r="U16" s="148" t="s">
        <v>53</v>
      </c>
      <c r="V16" s="149"/>
      <c r="W16" s="149"/>
      <c r="X16" s="149" t="str">
        <f>IF(OR(X13="D1",X13="D2"),'kt,ks,kj'!$D$34,'kt,ks,kj'!$D$13)</f>
        <v>B.52.14</v>
      </c>
      <c r="Y16" s="149"/>
      <c r="Z16" s="149"/>
      <c r="AA16" s="158"/>
      <c r="AB16" s="136"/>
      <c r="AC16" s="148" t="s">
        <v>53</v>
      </c>
      <c r="AD16" s="149"/>
      <c r="AE16" s="149"/>
      <c r="AF16" s="149" t="e">
        <f>IF(OR(AF13="D1",AF13="D2"),'kt,ks,kj'!$D$34,'kt,ks,kj'!$D$13)</f>
        <v>#N/A</v>
      </c>
      <c r="AG16" s="149"/>
      <c r="AH16" s="149"/>
      <c r="AI16" s="158"/>
      <c r="AJ16" s="136"/>
      <c r="AK16" s="148" t="s">
        <v>53</v>
      </c>
      <c r="AL16" s="149"/>
      <c r="AM16" s="149"/>
      <c r="AN16" s="149" t="e">
        <f>IF(OR(AN13="D1",AN13="D2"),'kt,ks,kj'!$D$34,'kt,ks,kj'!$D$13)</f>
        <v>#N/A</v>
      </c>
      <c r="AO16" s="149"/>
      <c r="AP16" s="149"/>
      <c r="AQ16" s="158"/>
    </row>
    <row r="17" spans="2:43" ht="15" thickBot="1">
      <c r="B17" s="186"/>
      <c r="C17" s="187"/>
      <c r="D17" s="188"/>
      <c r="E17" s="146" t="s">
        <v>52</v>
      </c>
      <c r="F17" s="147"/>
      <c r="G17" s="147"/>
      <c r="H17" s="147">
        <f>IF(OR(H13="D1",H13="D2"),INDEX('kt,ks,kj'!$E$35:$F$49,MATCH('Ark1'!H15,'kt,ks,kj'!$D$35:$D$49,0),MATCH('Ark1'!$E$4,'kt,ks,kj'!$E$34:$F$34,0)),IF(OR(H13="A1",H13="A2",H13="B1",H13="B2",H13="C",H13="E",H13="F",H13="G"),INDEX('kt,ks,kj'!$E$14:$H$31,MATCH('Ark1'!H15,'kt,ks,kj'!$D$14:$D$31,0),MATCH('Ark1'!$E$4,'kt,ks,kj'!$E$13:$H$13,0))))</f>
        <v>0.89</v>
      </c>
      <c r="I17" s="147"/>
      <c r="J17" s="147"/>
      <c r="K17" s="157"/>
      <c r="L17" s="136"/>
      <c r="M17" s="146" t="s">
        <v>52</v>
      </c>
      <c r="N17" s="147"/>
      <c r="O17" s="147"/>
      <c r="P17" s="147">
        <f>IF(OR(P13="D1",P13="D2"),INDEX('kt,ks,kj'!$E$35:$F$49,MATCH('Ark1'!P15,'kt,ks,kj'!$D$35:$D$49,0),MATCH('Ark1'!$E$4,'kt,ks,kj'!$E$34:$F$34,0)),IF(OR(P13="A1",P13="A2",P13="B1",P13="B2",P13="C",P13="E",P13="F",P13="G"),INDEX('kt,ks,kj'!$E$14:$H$31,MATCH('Ark1'!P15,'kt,ks,kj'!$D$14:$D$31,0),MATCH('Ark1'!$E$4,'kt,ks,kj'!$E$13:$H$13,0))))</f>
        <v>0.96</v>
      </c>
      <c r="Q17" s="147"/>
      <c r="R17" s="147"/>
      <c r="S17" s="157"/>
      <c r="T17" s="136"/>
      <c r="U17" s="146" t="s">
        <v>52</v>
      </c>
      <c r="V17" s="147"/>
      <c r="W17" s="147"/>
      <c r="X17" s="147">
        <f>IF(OR(X13="D1",X13="D2"),INDEX('kt,ks,kj'!$E$35:$F$49,MATCH('Ark1'!X15,'kt,ks,kj'!$D$35:$D$49,0),MATCH('Ark1'!$E$4,'kt,ks,kj'!$E$34:$F$34,0)),IF(OR(X13="A1",X13="A2",X13="B1",X13="B2",X13="C",X13="E",X13="F",X13="G"),INDEX('kt,ks,kj'!$E$14:$H$31,MATCH('Ark1'!X15,'kt,ks,kj'!$D$14:$D$31,0),MATCH('Ark1'!$E$4,'kt,ks,kj'!$E$13:$H$13,0))))</f>
        <v>1.08</v>
      </c>
      <c r="Y17" s="147"/>
      <c r="Z17" s="147"/>
      <c r="AA17" s="157"/>
      <c r="AB17" s="136"/>
      <c r="AC17" s="146" t="s">
        <v>52</v>
      </c>
      <c r="AD17" s="147"/>
      <c r="AE17" s="147"/>
      <c r="AF17" s="147" t="e">
        <f>IF(OR(AF13="D1",AF13="D2"),INDEX('kt,ks,kj'!$E$35:$F$49,MATCH('Ark1'!AF15,'kt,ks,kj'!$D$35:$D$49,0),MATCH('Ark1'!$E$4,'kt,ks,kj'!$E$34:$F$34,0)),IF(OR(AF13="A1",AF13="A2",AF13="B1",AF13="B2",AF13="C",AF13="E",AF13="F",AF13="G"),INDEX('kt,ks,kj'!$E$14:$H$31,MATCH('Ark1'!AF15,'kt,ks,kj'!$D$14:$D$31,0),MATCH('Ark1'!$E$4,'kt,ks,kj'!$E$13:$H$13,0))))</f>
        <v>#N/A</v>
      </c>
      <c r="AG17" s="147"/>
      <c r="AH17" s="147"/>
      <c r="AI17" s="157"/>
      <c r="AJ17" s="136"/>
      <c r="AK17" s="146" t="s">
        <v>52</v>
      </c>
      <c r="AL17" s="147"/>
      <c r="AM17" s="147"/>
      <c r="AN17" s="147" t="e">
        <f>IF(OR(AN13="D1",AN13="D2"),INDEX('kt,ks,kj'!$E$35:$F$49,MATCH('Ark1'!AN15,'kt,ks,kj'!$D$35:$D$49,0),MATCH('Ark1'!$E$4,'kt,ks,kj'!$E$34:$F$34,0)),IF(OR(AN13="A1",AN13="A2",AN13="B1",AN13="B2",AN13="C",AN13="E",AN13="F",AN13="G"),INDEX('kt,ks,kj'!$E$14:$H$31,MATCH('Ark1'!AN15,'kt,ks,kj'!$D$14:$D$31,0),MATCH('Ark1'!$E$4,'kt,ks,kj'!$E$13:$H$13,0))))</f>
        <v>#N/A</v>
      </c>
      <c r="AO17" s="147"/>
      <c r="AP17" s="147"/>
      <c r="AQ17" s="157"/>
    </row>
    <row r="18" spans="2:43" ht="14.4" customHeight="1" thickBot="1">
      <c r="B18" s="172"/>
      <c r="C18" s="173"/>
      <c r="D18" s="174"/>
      <c r="E18" s="154" t="s">
        <v>44</v>
      </c>
      <c r="F18" s="155"/>
      <c r="G18" s="155"/>
      <c r="H18" s="155"/>
      <c r="I18" s="155"/>
      <c r="J18" s="155"/>
      <c r="K18" s="156"/>
      <c r="L18" s="136"/>
      <c r="M18" s="154" t="s">
        <v>44</v>
      </c>
      <c r="N18" s="155"/>
      <c r="O18" s="155"/>
      <c r="P18" s="155"/>
      <c r="Q18" s="155"/>
      <c r="R18" s="155"/>
      <c r="S18" s="156"/>
      <c r="T18" s="136"/>
      <c r="U18" s="154" t="s">
        <v>44</v>
      </c>
      <c r="V18" s="155"/>
      <c r="W18" s="155"/>
      <c r="X18" s="155"/>
      <c r="Y18" s="155"/>
      <c r="Z18" s="155"/>
      <c r="AA18" s="156"/>
      <c r="AB18" s="136"/>
      <c r="AC18" s="154" t="s">
        <v>44</v>
      </c>
      <c r="AD18" s="155"/>
      <c r="AE18" s="155"/>
      <c r="AF18" s="155"/>
      <c r="AG18" s="155"/>
      <c r="AH18" s="155"/>
      <c r="AI18" s="156"/>
      <c r="AJ18" s="136"/>
      <c r="AK18" s="154" t="s">
        <v>44</v>
      </c>
      <c r="AL18" s="155"/>
      <c r="AM18" s="155"/>
      <c r="AN18" s="155"/>
      <c r="AO18" s="155"/>
      <c r="AP18" s="155"/>
      <c r="AQ18" s="156"/>
    </row>
    <row r="19" spans="2:43">
      <c r="B19" s="180" t="s">
        <v>44</v>
      </c>
      <c r="C19" s="181"/>
      <c r="D19" s="182"/>
      <c r="E19" s="152" t="s">
        <v>49</v>
      </c>
      <c r="F19" s="153"/>
      <c r="G19" s="153"/>
      <c r="H19" s="159">
        <v>1</v>
      </c>
      <c r="I19" s="159"/>
      <c r="J19" s="159"/>
      <c r="K19" s="160"/>
      <c r="L19" s="136"/>
      <c r="M19" s="152" t="s">
        <v>49</v>
      </c>
      <c r="N19" s="153"/>
      <c r="O19" s="153"/>
      <c r="P19" s="159">
        <v>1</v>
      </c>
      <c r="Q19" s="159"/>
      <c r="R19" s="159"/>
      <c r="S19" s="160"/>
      <c r="T19" s="136"/>
      <c r="U19" s="152" t="s">
        <v>49</v>
      </c>
      <c r="V19" s="153"/>
      <c r="W19" s="153"/>
      <c r="X19" s="159">
        <v>1</v>
      </c>
      <c r="Y19" s="159"/>
      <c r="Z19" s="159"/>
      <c r="AA19" s="160"/>
      <c r="AB19" s="136"/>
      <c r="AC19" s="152" t="s">
        <v>49</v>
      </c>
      <c r="AD19" s="153"/>
      <c r="AE19" s="153"/>
      <c r="AF19" s="159">
        <v>9</v>
      </c>
      <c r="AG19" s="159"/>
      <c r="AH19" s="159"/>
      <c r="AI19" s="160"/>
      <c r="AJ19" s="136"/>
      <c r="AK19" s="152" t="s">
        <v>49</v>
      </c>
      <c r="AL19" s="153"/>
      <c r="AM19" s="153"/>
      <c r="AN19" s="159">
        <v>9</v>
      </c>
      <c r="AO19" s="159"/>
      <c r="AP19" s="159"/>
      <c r="AQ19" s="160"/>
    </row>
    <row r="20" spans="2:43">
      <c r="B20" s="183"/>
      <c r="C20" s="184"/>
      <c r="D20" s="185"/>
      <c r="E20" s="148" t="s">
        <v>50</v>
      </c>
      <c r="F20" s="149"/>
      <c r="G20" s="149"/>
      <c r="H20" s="161" t="s">
        <v>35</v>
      </c>
      <c r="I20" s="161"/>
      <c r="J20" s="161"/>
      <c r="K20" s="162"/>
      <c r="L20" s="136"/>
      <c r="M20" s="148" t="s">
        <v>50</v>
      </c>
      <c r="N20" s="149"/>
      <c r="O20" s="149"/>
      <c r="P20" s="161" t="s">
        <v>35</v>
      </c>
      <c r="Q20" s="161"/>
      <c r="R20" s="161"/>
      <c r="S20" s="162"/>
      <c r="T20" s="136"/>
      <c r="U20" s="148" t="s">
        <v>50</v>
      </c>
      <c r="V20" s="149"/>
      <c r="W20" s="149"/>
      <c r="X20" s="161" t="s">
        <v>35</v>
      </c>
      <c r="Y20" s="161"/>
      <c r="Z20" s="161"/>
      <c r="AA20" s="162"/>
      <c r="AB20" s="136"/>
      <c r="AC20" s="148" t="s">
        <v>50</v>
      </c>
      <c r="AD20" s="149"/>
      <c r="AE20" s="149"/>
      <c r="AF20" s="161" t="s">
        <v>35</v>
      </c>
      <c r="AG20" s="161"/>
      <c r="AH20" s="161"/>
      <c r="AI20" s="162"/>
      <c r="AJ20" s="136"/>
      <c r="AK20" s="148" t="s">
        <v>50</v>
      </c>
      <c r="AL20" s="149"/>
      <c r="AM20" s="149"/>
      <c r="AN20" s="161" t="s">
        <v>35</v>
      </c>
      <c r="AO20" s="161"/>
      <c r="AP20" s="161"/>
      <c r="AQ20" s="162"/>
    </row>
    <row r="21" spans="2:43">
      <c r="B21" s="183"/>
      <c r="C21" s="184"/>
      <c r="D21" s="185"/>
      <c r="E21" s="148" t="s">
        <v>51</v>
      </c>
      <c r="F21" s="149"/>
      <c r="G21" s="149"/>
      <c r="H21" s="161" t="s">
        <v>108</v>
      </c>
      <c r="I21" s="161"/>
      <c r="J21" s="161"/>
      <c r="K21" s="162"/>
      <c r="L21" s="136"/>
      <c r="M21" s="148" t="s">
        <v>51</v>
      </c>
      <c r="N21" s="149"/>
      <c r="O21" s="149"/>
      <c r="P21" s="161" t="s">
        <v>108</v>
      </c>
      <c r="Q21" s="161"/>
      <c r="R21" s="161"/>
      <c r="S21" s="162"/>
      <c r="T21" s="136"/>
      <c r="U21" s="148" t="s">
        <v>51</v>
      </c>
      <c r="V21" s="149"/>
      <c r="W21" s="149"/>
      <c r="X21" s="161" t="s">
        <v>108</v>
      </c>
      <c r="Y21" s="161"/>
      <c r="Z21" s="161"/>
      <c r="AA21" s="162"/>
      <c r="AB21" s="136"/>
      <c r="AC21" s="148" t="s">
        <v>51</v>
      </c>
      <c r="AD21" s="149"/>
      <c r="AE21" s="149"/>
      <c r="AF21" s="161"/>
      <c r="AG21" s="161"/>
      <c r="AH21" s="161"/>
      <c r="AI21" s="162"/>
      <c r="AJ21" s="136"/>
      <c r="AK21" s="148" t="s">
        <v>51</v>
      </c>
      <c r="AL21" s="149"/>
      <c r="AM21" s="149"/>
      <c r="AN21" s="161"/>
      <c r="AO21" s="161"/>
      <c r="AP21" s="161"/>
      <c r="AQ21" s="162"/>
    </row>
    <row r="22" spans="2:43">
      <c r="B22" s="183"/>
      <c r="C22" s="184"/>
      <c r="D22" s="185"/>
      <c r="E22" s="148" t="s">
        <v>53</v>
      </c>
      <c r="F22" s="149"/>
      <c r="G22" s="149"/>
      <c r="H22" s="149" t="str">
        <f>IF(OR(H13="A1",H13="A2",H13="B1",H13="B2",H13="C"),'kt,ks,kj'!$K$13,IF(H13="D1",'kt,ks,kj'!$Y$12,IF(H13="D2",'kt,ks,kj'!$R$12,IF(H13="E",'kt,ks,kj'!$K$39,IF(H13="F",'kt,ks,kj'!$K$67)))))</f>
        <v>B.52.18</v>
      </c>
      <c r="I22" s="149"/>
      <c r="J22" s="149"/>
      <c r="K22" s="158"/>
      <c r="L22" s="136"/>
      <c r="M22" s="148" t="s">
        <v>53</v>
      </c>
      <c r="N22" s="149"/>
      <c r="O22" s="149"/>
      <c r="P22" s="149" t="str">
        <f>IF(OR(P13="A1",P13="A2",P13="B1",P13="B2",P13="C"),'kt,ks,kj'!$K$13,IF(P13="D1",'kt,ks,kj'!$Y$12,IF(P13="D2",'kt,ks,kj'!$R$12,IF(P13="E",'kt,ks,kj'!$K$39,IF(P13="F",'kt,ks,kj'!$K$67)))))</f>
        <v>B.52.17</v>
      </c>
      <c r="Q22" s="149"/>
      <c r="R22" s="149"/>
      <c r="S22" s="158"/>
      <c r="T22" s="136"/>
      <c r="U22" s="148" t="s">
        <v>53</v>
      </c>
      <c r="V22" s="149"/>
      <c r="W22" s="149"/>
      <c r="X22" s="149" t="str">
        <f>IF(OR(X13="A1",X13="A2",X13="B1",X13="B2",X13="C"),'kt,ks,kj'!$K$13,IF(X13="D1",'kt,ks,kj'!$Y$12,IF(X13="D2",'kt,ks,kj'!$R$12,IF(X13="E",'kt,ks,kj'!$K$39,IF(X13="F",'kt,ks,kj'!$K$67)))))</f>
        <v>B.52.17</v>
      </c>
      <c r="Y22" s="149"/>
      <c r="Z22" s="149"/>
      <c r="AA22" s="158"/>
      <c r="AB22" s="136"/>
      <c r="AC22" s="148" t="s">
        <v>53</v>
      </c>
      <c r="AD22" s="149"/>
      <c r="AE22" s="149"/>
      <c r="AF22" s="149" t="e">
        <f>IF(OR(AF13="A1",AF13="A2",AF13="B1",AF13="B2",AF13="C"),'kt,ks,kj'!$K$13,IF(AF13="D1",'kt,ks,kj'!$Y$12,IF(AF13="D2",'kt,ks,kj'!$R$12,IF(AF13="E",'kt,ks,kj'!$K$39,IF(AF13="F",'kt,ks,kj'!$K$67)))))</f>
        <v>#N/A</v>
      </c>
      <c r="AG22" s="149"/>
      <c r="AH22" s="149"/>
      <c r="AI22" s="158"/>
      <c r="AJ22" s="136"/>
      <c r="AK22" s="148" t="s">
        <v>53</v>
      </c>
      <c r="AL22" s="149"/>
      <c r="AM22" s="149"/>
      <c r="AN22" s="149" t="e">
        <f>IF(OR(AN13="A1",AN13="A2",AN13="B1",AN13="B2",AN13="C"),'kt,ks,kj'!$K$13,IF(AN13="D1",'kt,ks,kj'!$Y$12,IF(AN13="D2",'kt,ks,kj'!$R$12,IF(AN13="E",'kt,ks,kj'!$K$39,IF(AN13="F",'kt,ks,kj'!$K$67)))))</f>
        <v>#N/A</v>
      </c>
      <c r="AO22" s="149"/>
      <c r="AP22" s="149"/>
      <c r="AQ22" s="158"/>
    </row>
    <row r="23" spans="2:43" ht="15" thickBot="1">
      <c r="B23" s="186"/>
      <c r="C23" s="187"/>
      <c r="D23" s="188"/>
      <c r="E23" s="146" t="s">
        <v>52</v>
      </c>
      <c r="F23" s="147"/>
      <c r="G23" s="147"/>
      <c r="H23" s="147">
        <f>IF(AND(OR(H12=21,H12=23),H13="C"),VLOOKUP(H19,'kt,ks,kj'!$K$15:$N$35,4,FALSE),IF(H13="C",VLOOKUP(H19,'kt,ks,kj'!$K$15:$N$35,3,FALSE),IF(OR(H13="A1",H13="A2",H13="B1",H13="B2"),VLOOKUP(H19,'kt,ks,kj'!$K$15:$L$35,2,FALSE),IF(H13="D1",INDEX('kt,ks,kj'!$Y$15:$AC$35,MATCH('Ark1'!H19,'kt,ks,kj'!$X$15:$X$35,0),MATCH('Ark1'!H20,'kt,ks,kj'!$Y$14:$AC$14,0)),IF('Ark1'!H13="D2",INDEX('kt,ks,kj'!$R$15:$W$35,MATCH('Ark1'!H19,'kt,ks,kj'!$Q$15:$Q$35,0),MATCH('Ark1'!H20,'kt,ks,kj'!$R$14:$W$14,0)),IF(AND(H13="E",H12=31,H20="Ingen"),INDEX('kt,ks,kj'!$L$43:$Q$63,MATCH('Ark1'!H19,'kt,ks,kj'!$K$43:$K$63,0),MATCH('Ark1'!H21,'kt,ks,kj'!$L$42:$Q$42,0)),IF(AND(H13="E",H12=31,H20="En kabeldiameter"),INDEX('kt,ks,kj'!$R$43:$W$63,MATCH('Ark1'!H19,'kt,ks,kj'!$K$43:$K$63,0),MATCH('Ark1'!H21,'kt,ks,kj'!$R$42:$W$42,0)),IF(AND(H13="E",H12=30,H20="Ingen"),INDEX('kt,ks,kj'!$X$43:$AC$63,MATCH('Ark1'!H19,'kt,ks,kj'!$K$43:$K$63,0),MATCH('Ark1'!H21,'kt,ks,kj'!$X$42:$AC$42,0)),IF(AND(H13="E",OR(H12=32,H12=33,H12=34),H20="Ingen"),INDEX('kt,ks,kj'!$AD$43:$AI$63,MATCH('Ark1'!H19,'kt,ks,kj'!$K$43:$K$63,0),MATCH('Ark1'!H21,'kt,ks,kj'!$AD$42:$AI$42,0)),IF(AND(H13="E",OR(H12=32,H12=33,H12=34),H20="En kabeldiameter"),INDEX('kt,ks,kj'!$AJ$43:$AO$63,MATCH('Ark1'!H19,'kt,ks,kj'!$K$43:$K$63,0),MATCH('Ark1'!H21,'kt,ks,kj'!$AJ$42:$AO$42,0)),IF(AND(H13="F",H12=31,H20="Ingen"),INDEX('kt,ks,kj'!$L$71:$Q$91,MATCH('Ark1'!H19,'kt,ks,kj'!$K$71:$K$91,0),MATCH('Ark1'!H21,'kt,ks,kj'!$L$70:$Q$70,0)),IF(AND(H13="F",H12=31,H20="En kabeldiameter"),INDEX('kt,ks,kj'!$R$71:$W$91,MATCH('Ark1'!H19,'kt,ks,kj'!$K$71:$K$91,0),MATCH('Ark1'!H21,'kt,ks,kj'!$R$70:$W$70,0)),IF(AND(H13="F",OR(H12=32,H12=33,H12=34),H20="Ingen"),INDEX('kt,ks,kj'!$X$71:$AA$91,MATCH('Ark1'!H19,'kt,ks,kj'!$K$71:$K$91,0),MATCH('Ark1'!H21,'kt,ks,kj'!$X$70:$AC$70,0)),IF(AND(H13="F",H12=31,H20="To kabeldiameter"),INDEX('kt,ks,kj'!$AL$71:$AQ$91,MATCH('Ark1'!H19,'kt,ks,kj'!$K$71:$K$91,0),MATCH('Ark1'!H21,'kt,ks,kj'!$AL$70:$AQ$70,0)),IF(AND(H13="F",OR(H12=32,H12=33,H12=34),H20="To kabeldiameter"),INDEX('kt,ks,kj'!$AR$71:$AU$91,MATCH('Ark1'!H19,'kt,ks,kj'!$K$71:$K$91,0),MATCH('Ark1'!H21,'kt,ks,kj'!$AR$70:$AW$70,0)),"FALSK")))))))))))))))</f>
        <v>1</v>
      </c>
      <c r="I23" s="147"/>
      <c r="J23" s="147"/>
      <c r="K23" s="157"/>
      <c r="L23" s="136"/>
      <c r="M23" s="146" t="s">
        <v>52</v>
      </c>
      <c r="N23" s="147"/>
      <c r="O23" s="147"/>
      <c r="P23" s="147">
        <f>IF(AND(OR(P12=21,P12=23),P13="C"),VLOOKUP(P19,'kt,ks,kj'!$K$15:$N$35,4,FALSE),IF(P13="C",VLOOKUP(P19,'kt,ks,kj'!$K$15:$N$35,3,FALSE),IF(OR(P13="A1",P13="A2",P13="B1",P13="B2"),VLOOKUP(P19,'kt,ks,kj'!$K$15:$L$35,2,FALSE),IF(P13="D1",INDEX('kt,ks,kj'!$Y$15:$AC$35,MATCH('Ark1'!P19,'kt,ks,kj'!$X$15:$X$35,0),MATCH('Ark1'!P20,'kt,ks,kj'!$Y$14:$AC$14,0)),IF('Ark1'!P13="D2",INDEX('kt,ks,kj'!$R$15:$W$35,MATCH('Ark1'!P19,'kt,ks,kj'!$Q$15:$Q$35,0),MATCH('Ark1'!P20,'kt,ks,kj'!$R$14:$W$14,0)),IF(AND(P13="E",P12=31,P20="Ingen"),INDEX('kt,ks,kj'!$L$43:$Q$63,MATCH('Ark1'!P19,'kt,ks,kj'!$K$43:$K$63,0),MATCH('Ark1'!P21,'kt,ks,kj'!$L$42:$Q$42,0)),IF(AND(P13="E",P12=31,P20="En kabeldiameter"),INDEX('kt,ks,kj'!$R$43:$W$63,MATCH('Ark1'!P19,'kt,ks,kj'!$K$43:$K$63,0),MATCH('Ark1'!P21,'kt,ks,kj'!$R$42:$W$42,0)),IF(AND(P13="E",P12=30,P20="Ingen"),INDEX('kt,ks,kj'!$X$43:$AC$63,MATCH('Ark1'!P19,'kt,ks,kj'!$K$43:$K$63,0),MATCH('Ark1'!P21,'kt,ks,kj'!$X$42:$AC$42,0)),IF(AND(P13="E",OR(P12=32,P12=33,P12=34),P20="Ingen"),INDEX('kt,ks,kj'!$AD$43:$AI$63,MATCH('Ark1'!P19,'kt,ks,kj'!$K$43:$K$63,0),MATCH('Ark1'!P21,'kt,ks,kj'!$AD$42:$AI$42,0)),IF(AND(P13="E",OR(P12=32,P12=33,P12=34),P20="En kabeldiameter"),INDEX('kt,ks,kj'!$AJ$43:$AO$63,MATCH('Ark1'!P19,'kt,ks,kj'!$K$43:$K$63,0),MATCH('Ark1'!P21,'kt,ks,kj'!$AJ$42:$AO$42,0)),IF(AND(P13="F",P12=31,P20="Ingen"),INDEX('kt,ks,kj'!$L$71:$Q$91,MATCH('Ark1'!P19,'kt,ks,kj'!$K$71:$K$91,0),MATCH('Ark1'!P21,'kt,ks,kj'!$L$70:$Q$70,0)),IF(AND(P13="F",P12=31,P20="En kabeldiameter"),INDEX('kt,ks,kj'!$R$71:$W$91,MATCH('Ark1'!P19,'kt,ks,kj'!$K$71:$K$91,0),MATCH('Ark1'!P21,'kt,ks,kj'!$R$70:$W$70,0)),IF(AND(P13="F",OR(P12=32,P12=33,P12=34),P20="Ingen"),INDEX('kt,ks,kj'!$X$71:$AA$91,MATCH('Ark1'!P19,'kt,ks,kj'!$K$71:$K$91,0),MATCH('Ark1'!P21,'kt,ks,kj'!$X$70:$AC$70,0)),IF(AND(P13="F",P12=31,P20="To kabeldiameter"),INDEX('kt,ks,kj'!$AL$71:$AQ$91,MATCH('Ark1'!P19,'kt,ks,kj'!$K$71:$K$91,0),MATCH('Ark1'!P21,'kt,ks,kj'!$AL$70:$AQ$70,0)),IF(AND(P13="F",OR(P12=32,P12=33,P12=34),P20="To kabeldiameter"),INDEX('kt,ks,kj'!$AR$71:$AU$91,MATCH('Ark1'!P19,'kt,ks,kj'!$K$71:$K$91,0),MATCH('Ark1'!P21,'kt,ks,kj'!$AR$70:$AW$70,0)),"FALSK")))))))))))))))</f>
        <v>1</v>
      </c>
      <c r="Q23" s="147"/>
      <c r="R23" s="147"/>
      <c r="S23" s="157"/>
      <c r="T23" s="136"/>
      <c r="U23" s="146" t="s">
        <v>52</v>
      </c>
      <c r="V23" s="147"/>
      <c r="W23" s="147"/>
      <c r="X23" s="147">
        <f>IF(AND(OR(X12=21,X12=23),X13="C"),VLOOKUP(X19,'kt,ks,kj'!$K$15:$N$35,4,FALSE),IF(X13="C",VLOOKUP(X19,'kt,ks,kj'!$K$15:$N$35,3,FALSE),IF(OR(X13="A1",X13="A2",X13="B1",X13="B2"),VLOOKUP(X19,'kt,ks,kj'!$K$15:$L$35,2,FALSE),IF(X13="D1",INDEX('kt,ks,kj'!$Y$15:$AC$35,MATCH('Ark1'!X19,'kt,ks,kj'!$X$15:$X$35,0),MATCH('Ark1'!X20,'kt,ks,kj'!$Y$14:$AC$14,0)),IF('Ark1'!X13="D2",INDEX('kt,ks,kj'!$R$15:$W$35,MATCH('Ark1'!X19,'kt,ks,kj'!$Q$15:$Q$35,0),MATCH('Ark1'!X20,'kt,ks,kj'!$R$14:$W$14,0)),IF(AND(X13="E",X12=31,X20="Ingen"),INDEX('kt,ks,kj'!$L$43:$Q$63,MATCH('Ark1'!X19,'kt,ks,kj'!$K$43:$K$63,0),MATCH('Ark1'!X21,'kt,ks,kj'!$L$42:$Q$42,0)),IF(AND(X13="E",X12=31,X20="En kabeldiameter"),INDEX('kt,ks,kj'!$R$43:$W$63,MATCH('Ark1'!X19,'kt,ks,kj'!$K$43:$K$63,0),MATCH('Ark1'!X21,'kt,ks,kj'!$R$42:$W$42,0)),IF(AND(X13="E",X12=30,X20="Ingen"),INDEX('kt,ks,kj'!$X$43:$AC$63,MATCH('Ark1'!X19,'kt,ks,kj'!$K$43:$K$63,0),MATCH('Ark1'!X21,'kt,ks,kj'!$X$42:$AC$42,0)),IF(AND(X13="E",OR(X12=32,X12=33,X12=34),X20="Ingen"),INDEX('kt,ks,kj'!$AD$43:$AI$63,MATCH('Ark1'!X19,'kt,ks,kj'!$K$43:$K$63,0),MATCH('Ark1'!X21,'kt,ks,kj'!$AD$42:$AI$42,0)),IF(AND(X13="E",OR(X12=32,X12=33,X12=34),X20="En kabeldiameter"),INDEX('kt,ks,kj'!$AJ$43:$AO$63,MATCH('Ark1'!X19,'kt,ks,kj'!$K$43:$K$63,0),MATCH('Ark1'!X21,'kt,ks,kj'!$AJ$42:$AO$42,0)),IF(AND(X13="F",X12=31,X20="Ingen"),INDEX('kt,ks,kj'!$L$71:$Q$91,MATCH('Ark1'!X19,'kt,ks,kj'!$K$71:$K$91,0),MATCH('Ark1'!X21,'kt,ks,kj'!$L$70:$Q$70,0)),IF(AND(X13="F",X12=31,X20="En kabeldiameter"),INDEX('kt,ks,kj'!$R$71:$W$91,MATCH('Ark1'!X19,'kt,ks,kj'!$K$71:$K$91,0),MATCH('Ark1'!X21,'kt,ks,kj'!$R$70:$W$70,0)),IF(AND(X13="F",OR(X12=32,X12=33,X12=34),X20="Ingen"),INDEX('kt,ks,kj'!$X$71:$AA$91,MATCH('Ark1'!X19,'kt,ks,kj'!$K$71:$K$91,0),MATCH('Ark1'!X21,'kt,ks,kj'!$X$70:$AC$70,0)),IF(AND(X13="F",X12=31,X20="To kabeldiameter"),INDEX('kt,ks,kj'!$AL$71:$AQ$91,MATCH('Ark1'!X19,'kt,ks,kj'!$K$71:$K$91,0),MATCH('Ark1'!X21,'kt,ks,kj'!$AL$70:$AQ$70,0)),IF(AND(X13="F",OR(X12=32,X12=33,X12=34),X20="To kabeldiameter"),INDEX('kt,ks,kj'!$AR$71:$AU$91,MATCH('Ark1'!X19,'kt,ks,kj'!$K$71:$K$91,0),MATCH('Ark1'!X21,'kt,ks,kj'!$AR$70:$AW$70,0)),"FALSK")))))))))))))))</f>
        <v>1</v>
      </c>
      <c r="Y23" s="147"/>
      <c r="Z23" s="147"/>
      <c r="AA23" s="157"/>
      <c r="AB23" s="136"/>
      <c r="AC23" s="146" t="s">
        <v>52</v>
      </c>
      <c r="AD23" s="147"/>
      <c r="AE23" s="147"/>
      <c r="AF23" s="147" t="e">
        <f>IF(AND(OR(AF12=21,AF12=23),AF13="C"),VLOOKUP(AF19,'kt,ks,kj'!$K$15:$N$35,4,FALSE),IF(AF13="C",VLOOKUP(AF19,'kt,ks,kj'!$K$15:$N$35,3,FALSE),IF(OR(AF13="A1",AF13="A2",AF13="B1",AF13="B2"),VLOOKUP(AF19,'kt,ks,kj'!$K$15:$L$35,2,FALSE),IF(AF13="D1",INDEX('kt,ks,kj'!$Y$15:$AC$35,MATCH('Ark1'!AF19,'kt,ks,kj'!$X$15:$X$35,0),MATCH('Ark1'!AF20,'kt,ks,kj'!$Y$14:$AC$14,0)),IF('Ark1'!AF13="D2",INDEX('kt,ks,kj'!$R$15:$W$35,MATCH('Ark1'!AF19,'kt,ks,kj'!$Q$15:$Q$35,0),MATCH('Ark1'!AF20,'kt,ks,kj'!$R$14:$W$14,0)),IF(AND(AF13="E",AF12=31,AF20="Ingen"),INDEX('kt,ks,kj'!$L$43:$Q$63,MATCH('Ark1'!AF19,'kt,ks,kj'!$K$43:$K$63,0),MATCH('Ark1'!AF21,'kt,ks,kj'!$L$42:$Q$42,0)),IF(AND(AF13="E",AF12=31,AF20="En kabeldiameter"),INDEX('kt,ks,kj'!$R$43:$W$63,MATCH('Ark1'!AF19,'kt,ks,kj'!$K$43:$K$63,0),MATCH('Ark1'!AF21,'kt,ks,kj'!$R$42:$W$42,0)),IF(AND(AF13="E",AF12=30,AF20="Ingen"),INDEX('kt,ks,kj'!$X$43:$AC$63,MATCH('Ark1'!AF19,'kt,ks,kj'!$K$43:$K$63,0),MATCH('Ark1'!AF21,'kt,ks,kj'!$X$42:$AC$42,0)),IF(AND(AF13="E",OR(AF12=32,AF12=33,AF12=34),AF20="Ingen"),INDEX('kt,ks,kj'!$AD$43:$AI$63,MATCH('Ark1'!AF19,'kt,ks,kj'!$K$43:$K$63,0),MATCH('Ark1'!AF21,'kt,ks,kj'!$AD$42:$AI$42,0)),IF(AND(AF13="E",OR(AF12=32,AF12=33,AF12=34),AF20="En kabeldiameter"),INDEX('kt,ks,kj'!$AJ$43:$AO$63,MATCH('Ark1'!AF19,'kt,ks,kj'!$K$43:$K$63,0),MATCH('Ark1'!AF21,'kt,ks,kj'!$AJ$42:$AO$42,0)),IF(AND(AF13="F",AF12=31,AF20="Ingen"),INDEX('kt,ks,kj'!$L$71:$Q$91,MATCH('Ark1'!AF19,'kt,ks,kj'!$K$71:$K$91,0),MATCH('Ark1'!AF21,'kt,ks,kj'!$L$70:$Q$70,0)),IF(AND(AF13="F",AF12=31,AF20="En kabeldiameter"),INDEX('kt,ks,kj'!$R$71:$W$91,MATCH('Ark1'!AF19,'kt,ks,kj'!$K$71:$K$91,0),MATCH('Ark1'!AF21,'kt,ks,kj'!$R$70:$W$70,0)),IF(AND(AF13="F",OR(AF12=32,AF12=33,AF12=34),AF20="Ingen"),INDEX('kt,ks,kj'!$X$71:$AA$91,MATCH('Ark1'!AF19,'kt,ks,kj'!$K$71:$K$91,0),MATCH('Ark1'!AF21,'kt,ks,kj'!$X$70:$AC$70,0)),IF(AND(AF13="F",AF12=31,AF20="To kabeldiameter"),INDEX('kt,ks,kj'!$AL$71:$AQ$91,MATCH('Ark1'!AF19,'kt,ks,kj'!$K$71:$K$91,0),MATCH('Ark1'!AF21,'kt,ks,kj'!$AL$70:$AQ$70,0)),IF(AND(AF13="F",OR(AF12=32,AF12=33,AF12=34),AF20="To kabeldiameter"),INDEX('kt,ks,kj'!$AR$71:$AU$91,MATCH('Ark1'!AF19,'kt,ks,kj'!$K$71:$K$91,0),MATCH('Ark1'!AF21,'kt,ks,kj'!$AR$70:$AW$70,0)),"FALSK")))))))))))))))</f>
        <v>#N/A</v>
      </c>
      <c r="AG23" s="147"/>
      <c r="AH23" s="147"/>
      <c r="AI23" s="157"/>
      <c r="AJ23" s="136"/>
      <c r="AK23" s="146" t="s">
        <v>52</v>
      </c>
      <c r="AL23" s="147"/>
      <c r="AM23" s="147"/>
      <c r="AN23" s="147" t="e">
        <f>IF(AND(OR(AN12=21,AN12=23),AN13="C"),VLOOKUP(AN19,'kt,ks,kj'!$K$15:$N$35,4,FALSE),IF(AN13="C",VLOOKUP(AN19,'kt,ks,kj'!$K$15:$N$35,3,FALSE),IF(OR(AN13="A1",AN13="A2",AN13="B1",AN13="B2"),VLOOKUP(AN19,'kt,ks,kj'!$K$15:$L$35,2,FALSE),IF(AN13="D1",INDEX('kt,ks,kj'!$Y$15:$AC$35,MATCH('Ark1'!AN19,'kt,ks,kj'!$X$15:$X$35,0),MATCH('Ark1'!AN20,'kt,ks,kj'!$Y$14:$AC$14,0)),IF('Ark1'!AN13="D2",INDEX('kt,ks,kj'!$R$15:$W$35,MATCH('Ark1'!AN19,'kt,ks,kj'!$Q$15:$Q$35,0),MATCH('Ark1'!AN20,'kt,ks,kj'!$R$14:$W$14,0)),IF(AND(AN13="E",AN12=31,AN20="Ingen"),INDEX('kt,ks,kj'!$L$43:$Q$63,MATCH('Ark1'!AN19,'kt,ks,kj'!$K$43:$K$63,0),MATCH('Ark1'!AN21,'kt,ks,kj'!$L$42:$Q$42,0)),IF(AND(AN13="E",AN12=31,AN20="En kabeldiameter"),INDEX('kt,ks,kj'!$R$43:$W$63,MATCH('Ark1'!AN19,'kt,ks,kj'!$K$43:$K$63,0),MATCH('Ark1'!AN21,'kt,ks,kj'!$R$42:$W$42,0)),IF(AND(AN13="E",AN12=30,AN20="Ingen"),INDEX('kt,ks,kj'!$X$43:$AC$63,MATCH('Ark1'!AN19,'kt,ks,kj'!$K$43:$K$63,0),MATCH('Ark1'!AN21,'kt,ks,kj'!$X$42:$AC$42,0)),IF(AND(AN13="E",OR(AN12=32,AN12=33,AN12=34),AN20="Ingen"),INDEX('kt,ks,kj'!$AD$43:$AI$63,MATCH('Ark1'!AN19,'kt,ks,kj'!$K$43:$K$63,0),MATCH('Ark1'!AN21,'kt,ks,kj'!$AD$42:$AI$42,0)),IF(AND(AN13="E",OR(AN12=32,AN12=33,AN12=34),AN20="En kabeldiameter"),INDEX('kt,ks,kj'!$AJ$43:$AO$63,MATCH('Ark1'!AN19,'kt,ks,kj'!$K$43:$K$63,0),MATCH('Ark1'!AN21,'kt,ks,kj'!$AJ$42:$AO$42,0)),IF(AND(AN13="F",AN12=31,AN20="Ingen"),INDEX('kt,ks,kj'!$L$71:$Q$91,MATCH('Ark1'!AN19,'kt,ks,kj'!$K$71:$K$91,0),MATCH('Ark1'!AN21,'kt,ks,kj'!$L$70:$Q$70,0)),IF(AND(AN13="F",AN12=31,AN20="En kabeldiameter"),INDEX('kt,ks,kj'!$R$71:$W$91,MATCH('Ark1'!AN19,'kt,ks,kj'!$K$71:$K$91,0),MATCH('Ark1'!AN21,'kt,ks,kj'!$R$70:$W$70,0)),IF(AND(AN13="F",OR(AN12=32,AN12=33,AN12=34),AN20="Ingen"),INDEX('kt,ks,kj'!$X$71:$AA$91,MATCH('Ark1'!AN19,'kt,ks,kj'!$K$71:$K$91,0),MATCH('Ark1'!AN21,'kt,ks,kj'!$X$70:$AC$70,0)),IF(AND(AN13="F",AN12=31,AN20="To kabeldiameter"),INDEX('kt,ks,kj'!$AL$71:$AQ$91,MATCH('Ark1'!AN19,'kt,ks,kj'!$K$71:$K$91,0),MATCH('Ark1'!AN21,'kt,ks,kj'!$AL$70:$AQ$70,0)),IF(AND(AN13="F",OR(AN12=32,AN12=33,AN12=34),AN20="To kabeldiameter"),INDEX('kt,ks,kj'!$AR$71:$AU$91,MATCH('Ark1'!AN19,'kt,ks,kj'!$K$71:$K$91,0),MATCH('Ark1'!AN21,'kt,ks,kj'!$AR$70:$AW$70,0)),"FALSK")))))))))))))))</f>
        <v>#N/A</v>
      </c>
      <c r="AO23" s="147"/>
      <c r="AP23" s="147"/>
      <c r="AQ23" s="157"/>
    </row>
    <row r="24" spans="2:43" ht="14.4" customHeight="1" thickBot="1">
      <c r="B24" s="172"/>
      <c r="C24" s="173"/>
      <c r="D24" s="174"/>
      <c r="E24" s="154" t="s">
        <v>45</v>
      </c>
      <c r="F24" s="155"/>
      <c r="G24" s="155"/>
      <c r="H24" s="155"/>
      <c r="I24" s="155"/>
      <c r="J24" s="155"/>
      <c r="K24" s="156"/>
      <c r="L24" s="136"/>
      <c r="M24" s="154" t="s">
        <v>45</v>
      </c>
      <c r="N24" s="155"/>
      <c r="O24" s="155"/>
      <c r="P24" s="155"/>
      <c r="Q24" s="155"/>
      <c r="R24" s="155"/>
      <c r="S24" s="156"/>
      <c r="T24" s="136"/>
      <c r="U24" s="154" t="s">
        <v>45</v>
      </c>
      <c r="V24" s="155"/>
      <c r="W24" s="155"/>
      <c r="X24" s="155"/>
      <c r="Y24" s="155"/>
      <c r="Z24" s="155"/>
      <c r="AA24" s="156"/>
      <c r="AB24" s="136"/>
      <c r="AC24" s="154" t="s">
        <v>45</v>
      </c>
      <c r="AD24" s="155"/>
      <c r="AE24" s="155"/>
      <c r="AF24" s="155"/>
      <c r="AG24" s="155"/>
      <c r="AH24" s="155"/>
      <c r="AI24" s="156"/>
      <c r="AJ24" s="136"/>
      <c r="AK24" s="154" t="s">
        <v>45</v>
      </c>
      <c r="AL24" s="155"/>
      <c r="AM24" s="155"/>
      <c r="AN24" s="155"/>
      <c r="AO24" s="155"/>
      <c r="AP24" s="155"/>
      <c r="AQ24" s="156"/>
    </row>
    <row r="25" spans="2:43">
      <c r="B25" s="180" t="s">
        <v>45</v>
      </c>
      <c r="C25" s="181"/>
      <c r="D25" s="182"/>
      <c r="E25" s="152" t="s">
        <v>127</v>
      </c>
      <c r="F25" s="153"/>
      <c r="G25" s="153"/>
      <c r="H25" s="159" t="s">
        <v>166</v>
      </c>
      <c r="I25" s="159"/>
      <c r="J25" s="159"/>
      <c r="K25" s="160"/>
      <c r="L25" s="136"/>
      <c r="M25" s="152" t="s">
        <v>127</v>
      </c>
      <c r="N25" s="153"/>
      <c r="O25" s="153"/>
      <c r="P25" s="159" t="s">
        <v>164</v>
      </c>
      <c r="Q25" s="159"/>
      <c r="R25" s="159"/>
      <c r="S25" s="160"/>
      <c r="T25" s="136"/>
      <c r="U25" s="152" t="s">
        <v>127</v>
      </c>
      <c r="V25" s="153"/>
      <c r="W25" s="153"/>
      <c r="X25" s="159"/>
      <c r="Y25" s="159"/>
      <c r="Z25" s="159"/>
      <c r="AA25" s="160"/>
      <c r="AB25" s="136"/>
      <c r="AC25" s="152" t="s">
        <v>127</v>
      </c>
      <c r="AD25" s="153"/>
      <c r="AE25" s="153"/>
      <c r="AF25" s="159"/>
      <c r="AG25" s="159"/>
      <c r="AH25" s="159"/>
      <c r="AI25" s="160"/>
      <c r="AJ25" s="136"/>
      <c r="AK25" s="152" t="s">
        <v>127</v>
      </c>
      <c r="AL25" s="153"/>
      <c r="AM25" s="153"/>
      <c r="AN25" s="159"/>
      <c r="AO25" s="159"/>
      <c r="AP25" s="159"/>
      <c r="AQ25" s="160"/>
    </row>
    <row r="26" spans="2:43">
      <c r="B26" s="183"/>
      <c r="C26" s="184"/>
      <c r="D26" s="185"/>
      <c r="E26" s="148" t="s">
        <v>53</v>
      </c>
      <c r="F26" s="149"/>
      <c r="G26" s="149"/>
      <c r="H26" s="149" t="str">
        <f>IF(OR(H13="D1",H13="D2"),'kt,ks,kj'!$D$52,"")</f>
        <v>B.52.16</v>
      </c>
      <c r="I26" s="149"/>
      <c r="J26" s="149"/>
      <c r="K26" s="158"/>
      <c r="L26" s="136"/>
      <c r="M26" s="148" t="s">
        <v>53</v>
      </c>
      <c r="N26" s="149"/>
      <c r="O26" s="149"/>
      <c r="P26" s="149" t="str">
        <f>IF(OR(P13="D1",P13="D2"),'kt,ks,kj'!$D$52,"")</f>
        <v/>
      </c>
      <c r="Q26" s="149"/>
      <c r="R26" s="149"/>
      <c r="S26" s="158"/>
      <c r="T26" s="136"/>
      <c r="U26" s="148" t="s">
        <v>53</v>
      </c>
      <c r="V26" s="149"/>
      <c r="W26" s="149"/>
      <c r="X26" s="149" t="str">
        <f>IF(OR(X13="D1",X13="D2"),'kt,ks,kj'!$D$52,"")</f>
        <v/>
      </c>
      <c r="Y26" s="149"/>
      <c r="Z26" s="149"/>
      <c r="AA26" s="158"/>
      <c r="AB26" s="136"/>
      <c r="AC26" s="148" t="s">
        <v>53</v>
      </c>
      <c r="AD26" s="149"/>
      <c r="AE26" s="149"/>
      <c r="AF26" s="149" t="e">
        <f>IF(OR(AF13="D1",AF13="D2"),'kt,ks,kj'!$D$52,"")</f>
        <v>#N/A</v>
      </c>
      <c r="AG26" s="149"/>
      <c r="AH26" s="149"/>
      <c r="AI26" s="158"/>
      <c r="AJ26" s="136"/>
      <c r="AK26" s="148" t="s">
        <v>53</v>
      </c>
      <c r="AL26" s="149"/>
      <c r="AM26" s="149"/>
      <c r="AN26" s="149" t="e">
        <f>IF(OR(AN13="D1",AN13="D2"),'kt,ks,kj'!$D$52,"")</f>
        <v>#N/A</v>
      </c>
      <c r="AO26" s="149"/>
      <c r="AP26" s="149"/>
      <c r="AQ26" s="158"/>
    </row>
    <row r="27" spans="2:43" ht="15" thickBot="1">
      <c r="B27" s="186"/>
      <c r="C27" s="187"/>
      <c r="D27" s="188"/>
      <c r="E27" s="146" t="s">
        <v>52</v>
      </c>
      <c r="F27" s="147"/>
      <c r="G27" s="147"/>
      <c r="H27" s="147">
        <f>IF(H13="D1",VLOOKUP(H25,'kt,ks,kj'!$D$55:$F$61,2,FALSE),IF(H13="D2",VLOOKUP('Ark1'!H25,'kt,ks,kj'!$D$55:$F$61,3,FALSE),""))</f>
        <v>1</v>
      </c>
      <c r="I27" s="147"/>
      <c r="J27" s="147"/>
      <c r="K27" s="157"/>
      <c r="L27" s="136"/>
      <c r="M27" s="146" t="s">
        <v>52</v>
      </c>
      <c r="N27" s="147"/>
      <c r="O27" s="147"/>
      <c r="P27" s="147" t="str">
        <f>IF(P13="D1",VLOOKUP(P25,'kt,ks,kj'!$D$55:$F$61,2,FALSE),IF(P13="D2",VLOOKUP('Ark1'!P25,'kt,ks,kj'!$D$55:$F$61,3,FALSE),""))</f>
        <v/>
      </c>
      <c r="Q27" s="147"/>
      <c r="R27" s="147"/>
      <c r="S27" s="157"/>
      <c r="T27" s="136"/>
      <c r="U27" s="146" t="s">
        <v>52</v>
      </c>
      <c r="V27" s="147"/>
      <c r="W27" s="147"/>
      <c r="X27" s="147" t="str">
        <f>IF(X13="D1",VLOOKUP(X25,'kt,ks,kj'!$D$55:$F$61,2,FALSE),IF(X13="D2",VLOOKUP('Ark1'!X25,'kt,ks,kj'!$D$55:$F$61,3,FALSE),""))</f>
        <v/>
      </c>
      <c r="Y27" s="147"/>
      <c r="Z27" s="147"/>
      <c r="AA27" s="157"/>
      <c r="AB27" s="136"/>
      <c r="AC27" s="146" t="s">
        <v>52</v>
      </c>
      <c r="AD27" s="147"/>
      <c r="AE27" s="147"/>
      <c r="AF27" s="147" t="e">
        <f>IF(AF13="D1",VLOOKUP(AF25,'kt,ks,kj'!$D$55:$F$61,2,FALSE),IF(AF13="D2",VLOOKUP('Ark1'!AF25,'kt,ks,kj'!$D$55:$F$61,3,FALSE),""))</f>
        <v>#N/A</v>
      </c>
      <c r="AG27" s="147"/>
      <c r="AH27" s="147"/>
      <c r="AI27" s="157"/>
      <c r="AJ27" s="136"/>
      <c r="AK27" s="146" t="s">
        <v>52</v>
      </c>
      <c r="AL27" s="147"/>
      <c r="AM27" s="147"/>
      <c r="AN27" s="147" t="e">
        <f>IF(AN13="D1",VLOOKUP(AN25,'kt,ks,kj'!$D$55:$F$61,2,FALSE),IF(AN13="D2",VLOOKUP('Ark1'!AN25,'kt,ks,kj'!$D$55:$F$61,3,FALSE),""))</f>
        <v>#N/A</v>
      </c>
      <c r="AO27" s="147"/>
      <c r="AP27" s="147"/>
      <c r="AQ27" s="157"/>
    </row>
    <row r="28" spans="2:43" ht="15" thickBot="1">
      <c r="B28" s="172"/>
      <c r="C28" s="173"/>
      <c r="D28" s="174"/>
      <c r="E28" s="154" t="s">
        <v>47</v>
      </c>
      <c r="F28" s="155"/>
      <c r="G28" s="155"/>
      <c r="H28" s="155"/>
      <c r="I28" s="155"/>
      <c r="J28" s="155"/>
      <c r="K28" s="156"/>
      <c r="L28" s="136"/>
      <c r="M28" s="154" t="s">
        <v>47</v>
      </c>
      <c r="N28" s="155"/>
      <c r="O28" s="155"/>
      <c r="P28" s="155"/>
      <c r="Q28" s="155"/>
      <c r="R28" s="155"/>
      <c r="S28" s="156"/>
      <c r="T28" s="136"/>
      <c r="U28" s="154" t="s">
        <v>47</v>
      </c>
      <c r="V28" s="155"/>
      <c r="W28" s="155"/>
      <c r="X28" s="155"/>
      <c r="Y28" s="155"/>
      <c r="Z28" s="155"/>
      <c r="AA28" s="156"/>
      <c r="AB28" s="136"/>
      <c r="AC28" s="154" t="s">
        <v>47</v>
      </c>
      <c r="AD28" s="155"/>
      <c r="AE28" s="155"/>
      <c r="AF28" s="155"/>
      <c r="AG28" s="155"/>
      <c r="AH28" s="155"/>
      <c r="AI28" s="156"/>
      <c r="AJ28" s="136"/>
      <c r="AK28" s="154" t="s">
        <v>47</v>
      </c>
      <c r="AL28" s="155"/>
      <c r="AM28" s="155"/>
      <c r="AN28" s="155"/>
      <c r="AO28" s="155"/>
      <c r="AP28" s="155"/>
      <c r="AQ28" s="156"/>
    </row>
    <row r="29" spans="2:43" ht="14.4" customHeight="1" thickBot="1">
      <c r="B29" s="180" t="s">
        <v>47</v>
      </c>
      <c r="C29" s="130" t="s">
        <v>153</v>
      </c>
      <c r="D29" s="131"/>
      <c r="E29" s="133"/>
      <c r="F29" s="134">
        <f>$E$7</f>
        <v>80</v>
      </c>
      <c r="G29" s="163" t="s">
        <v>155</v>
      </c>
      <c r="H29" s="142">
        <f>$E$7/(H17*H23*IF(H27="",1,H27))</f>
        <v>89.887640449438194</v>
      </c>
      <c r="I29" s="142"/>
      <c r="J29" s="142"/>
      <c r="K29" s="143"/>
      <c r="L29" s="138"/>
      <c r="M29" s="133"/>
      <c r="N29" s="134">
        <f>$E$7</f>
        <v>80</v>
      </c>
      <c r="O29" s="163" t="s">
        <v>155</v>
      </c>
      <c r="P29" s="142">
        <f>$E$7/(P17*P23*IF(P27="",1,P27))</f>
        <v>83.333333333333343</v>
      </c>
      <c r="Q29" s="142"/>
      <c r="R29" s="142"/>
      <c r="S29" s="143"/>
      <c r="T29" s="138"/>
      <c r="U29" s="133"/>
      <c r="V29" s="134">
        <f>$E$7</f>
        <v>80</v>
      </c>
      <c r="W29" s="163" t="s">
        <v>155</v>
      </c>
      <c r="X29" s="142">
        <f>$E$7/(X17*X23*IF(X27="",1,X27))</f>
        <v>74.074074074074076</v>
      </c>
      <c r="Y29" s="142"/>
      <c r="Z29" s="142"/>
      <c r="AA29" s="143"/>
      <c r="AB29" s="138"/>
      <c r="AC29" s="133"/>
      <c r="AD29" s="134">
        <f>$E$7</f>
        <v>80</v>
      </c>
      <c r="AE29" s="163" t="s">
        <v>155</v>
      </c>
      <c r="AF29" s="142" t="e">
        <f>$E$7/(AF17*AF23*IF(AF27="",1,AF27))</f>
        <v>#N/A</v>
      </c>
      <c r="AG29" s="142"/>
      <c r="AH29" s="142"/>
      <c r="AI29" s="143"/>
      <c r="AJ29" s="138"/>
      <c r="AK29" s="133"/>
      <c r="AL29" s="134">
        <f>$E$7</f>
        <v>80</v>
      </c>
      <c r="AM29" s="163" t="s">
        <v>155</v>
      </c>
      <c r="AN29" s="142" t="e">
        <f>$E$7/(AN17*AN23*IF(AN27="",1,AN27))</f>
        <v>#N/A</v>
      </c>
      <c r="AO29" s="142"/>
      <c r="AP29" s="142"/>
      <c r="AQ29" s="143"/>
    </row>
    <row r="30" spans="2:43" ht="15" thickBot="1">
      <c r="B30" s="186"/>
      <c r="C30" s="127" t="s">
        <v>154</v>
      </c>
      <c r="D30" s="132"/>
      <c r="E30" s="135"/>
      <c r="F30" s="139" t="str">
        <f>H17&amp;" · "&amp;H23&amp;IF(H27="",""," · "&amp;H27)</f>
        <v>0,89 · 1 · 1</v>
      </c>
      <c r="G30" s="164"/>
      <c r="H30" s="144"/>
      <c r="I30" s="144"/>
      <c r="J30" s="144"/>
      <c r="K30" s="145"/>
      <c r="L30" s="138"/>
      <c r="M30" s="135"/>
      <c r="N30" s="139" t="str">
        <f>P17&amp;" · "&amp;P23&amp;IF(P27="",""," · "&amp;P27)</f>
        <v>0,96 · 1</v>
      </c>
      <c r="O30" s="164"/>
      <c r="P30" s="144"/>
      <c r="Q30" s="144"/>
      <c r="R30" s="144"/>
      <c r="S30" s="145"/>
      <c r="T30" s="138"/>
      <c r="U30" s="135"/>
      <c r="V30" s="139" t="str">
        <f>X17&amp;" · "&amp;X23&amp;IF(X27="",""," · "&amp;X27)</f>
        <v>1,08 · 1</v>
      </c>
      <c r="W30" s="164"/>
      <c r="X30" s="144"/>
      <c r="Y30" s="144"/>
      <c r="Z30" s="144"/>
      <c r="AA30" s="145"/>
      <c r="AB30" s="138"/>
      <c r="AC30" s="135"/>
      <c r="AD30" s="139" t="e">
        <f>AF17&amp;" · "&amp;AF23&amp;IF(AF27="",""," · "&amp;AF27)</f>
        <v>#N/A</v>
      </c>
      <c r="AE30" s="164"/>
      <c r="AF30" s="144"/>
      <c r="AG30" s="144"/>
      <c r="AH30" s="144"/>
      <c r="AI30" s="145"/>
      <c r="AJ30" s="138"/>
      <c r="AK30" s="135"/>
      <c r="AL30" s="139" t="e">
        <f>AN17&amp;" · "&amp;AN23&amp;IF(AN27="",""," · "&amp;AN27)</f>
        <v>#N/A</v>
      </c>
      <c r="AM30" s="164"/>
      <c r="AN30" s="144"/>
      <c r="AO30" s="144"/>
      <c r="AP30" s="144"/>
      <c r="AQ30" s="145"/>
    </row>
    <row r="31" spans="2:43" ht="15" thickBot="1">
      <c r="B31" s="172"/>
      <c r="C31" s="173"/>
      <c r="D31" s="174"/>
      <c r="E31" s="154" t="s">
        <v>152</v>
      </c>
      <c r="F31" s="155"/>
      <c r="G31" s="155"/>
      <c r="H31" s="155"/>
      <c r="I31" s="155"/>
      <c r="J31" s="155"/>
      <c r="K31" s="156"/>
      <c r="L31" s="136"/>
      <c r="M31" s="154" t="s">
        <v>152</v>
      </c>
      <c r="N31" s="155"/>
      <c r="O31" s="155"/>
      <c r="P31" s="155"/>
      <c r="Q31" s="155"/>
      <c r="R31" s="155"/>
      <c r="S31" s="156"/>
      <c r="T31" s="136"/>
      <c r="U31" s="154" t="s">
        <v>152</v>
      </c>
      <c r="V31" s="155"/>
      <c r="W31" s="155"/>
      <c r="X31" s="155"/>
      <c r="Y31" s="155"/>
      <c r="Z31" s="155"/>
      <c r="AA31" s="156"/>
      <c r="AB31" s="136"/>
      <c r="AC31" s="154" t="s">
        <v>152</v>
      </c>
      <c r="AD31" s="155"/>
      <c r="AE31" s="155"/>
      <c r="AF31" s="155"/>
      <c r="AG31" s="155"/>
      <c r="AH31" s="155"/>
      <c r="AI31" s="156"/>
      <c r="AJ31" s="136"/>
      <c r="AK31" s="154" t="s">
        <v>152</v>
      </c>
      <c r="AL31" s="155"/>
      <c r="AM31" s="155"/>
      <c r="AN31" s="155"/>
      <c r="AO31" s="155"/>
      <c r="AP31" s="155"/>
      <c r="AQ31" s="156"/>
    </row>
    <row r="32" spans="2:43">
      <c r="B32" s="200" t="s">
        <v>46</v>
      </c>
      <c r="C32" s="201"/>
      <c r="D32" s="202"/>
      <c r="E32" s="152" t="s">
        <v>53</v>
      </c>
      <c r="F32" s="153"/>
      <c r="G32" s="204"/>
      <c r="H32" s="153" t="str">
        <f>IF(AND(OR($E$3="AL 2 belastede leder",$E$3="CU 2 belastede leder"),$E$4="70°C PVC",OR(H13="A1",H13="A2",H13="B1",H13="B2",H13="C",H13="D1",H13="D2")),'Ark4'!$A$1,IF(AND(OR($E$3="AL 3 belastede leder",$E$3="CU 3 belastede leder"),$E$4="70°C PVC",OR(H13="A1",H13="A2",H13="B1",H13="B2",H13="C",H13="D1",H13="D2")),'Ark4'!$R$1,IF(AND(OR($E$3="AL 2 belastede leder",$E$3="CU 2 belastede leder"),$E$4="90°C XLPE &amp; EPR",OR(H13="A1",H13="A2",H13="B1",H13="B2",H13="C",H13="D1",H13="D2")),'Ark4'!$J$1,IF(AND(OR($E$3="AL 3 belastede leder",$E$3="CU 3 belastede leder"),$E$4="90°C XLPE &amp; EPR",OR(H13="A1",H13="A2",H13="B1",H13="B2",H13="C",H13="D1",H13="D2")),'Ark4'!$Z$1,IF(AND(OR($E$3="CU 2 belastede leder",$E$3="CU 3 belastede leder"),$E$4="70°C PVC",OR(H13="E",H13="F")),'Ark4'!$B$44,IF(AND(OR($E$3="AL 2 belastede leder",$E$3="AL 3 belastede leder"),$E$4="70°C PVC",OR(H13="E",H13="F")),'Ark4'!$B$66,IF(AND(OR($E$3="CU 2 belastede leder",$E$3="CU 3 belastede leder"),$E$4="90°C XLPE &amp; EPR",OR(H13="E",H13="F")),'Ark4'!$K$44,IF(AND(OR($E$3="AL 2 belastede leder",$E$3="AL 3 belastede leder"),$E$4="90°C XLPE &amp; EPR",OR(H13="E",H13="F")),'Ark4'!$K$66))))))))</f>
        <v>B.52.5</v>
      </c>
      <c r="I32" s="153"/>
      <c r="J32" s="153"/>
      <c r="K32" s="165"/>
      <c r="L32" s="136"/>
      <c r="M32" s="152" t="s">
        <v>53</v>
      </c>
      <c r="N32" s="153"/>
      <c r="O32" s="204"/>
      <c r="P32" s="153" t="str">
        <f>IF(AND(OR($E$3="AL 2 belastede leder",$E$3="CU 2 belastede leder"),$E$4="70°C PVC",OR(P13="A1",P13="A2",P13="B1",P13="B2",P13="C",P13="D1",P13="D2")),'Ark4'!$A$1,IF(AND(OR($E$3="AL 3 belastede leder",$E$3="CU 3 belastede leder"),$E$4="70°C PVC",OR(P13="A1",P13="A2",P13="B1",P13="B2",P13="C",P13="D1",P13="D2")),'Ark4'!$R$1,IF(AND(OR($E$3="AL 2 belastede leder",$E$3="CU 2 belastede leder"),$E$4="90°C XLPE &amp; EPR",OR(P13="A1",P13="A2",P13="B1",P13="B2",P13="C",P13="D1",P13="D2")),'Ark4'!$J$1,IF(AND(OR($E$3="AL 3 belastede leder",$E$3="CU 3 belastede leder"),$E$4="90°C XLPE &amp; EPR",OR(P13="A1",P13="A2",P13="B1",P13="B2",P13="C",P13="D1",P13="D2")),'Ark4'!$Z$1,IF(AND(OR($E$3="CU 2 belastede leder",$E$3="CU 3 belastede leder"),$E$4="70°C PVC",OR(P13="E",P13="F")),'Ark4'!$B$44,IF(AND(OR($E$3="AL 2 belastede leder",$E$3="AL 3 belastede leder"),$E$4="70°C PVC",OR(P13="E",P13="F")),'Ark4'!$B$66,IF(AND(OR($E$3="CU 2 belastede leder",$E$3="CU 3 belastede leder"),$E$4="90°C XLPE &amp; EPR",OR(P13="E",P13="F")),'Ark4'!$K$44,IF(AND(OR($E$3="AL 2 belastede leder",$E$3="AL 3 belastede leder"),$E$4="90°C XLPE &amp; EPR",OR(P13="E",P13="F")),'Ark4'!$K$66))))))))</f>
        <v>B.52.5</v>
      </c>
      <c r="Q32" s="153"/>
      <c r="R32" s="153"/>
      <c r="S32" s="165"/>
      <c r="T32" s="136"/>
      <c r="U32" s="152" t="s">
        <v>53</v>
      </c>
      <c r="V32" s="153"/>
      <c r="W32" s="204"/>
      <c r="X32" s="153" t="str">
        <f>IF(AND(OR($E$3="AL 2 belastede leder",$E$3="CU 2 belastede leder"),$E$4="70°C PVC",OR(X13="A1",X13="A2",X13="B1",X13="B2",X13="C",X13="D1",X13="D2")),'Ark4'!$A$1,IF(AND(OR($E$3="AL 3 belastede leder",$E$3="CU 3 belastede leder"),$E$4="70°C PVC",OR(X13="A1",X13="A2",X13="B1",X13="B2",X13="C",X13="D1",X13="D2")),'Ark4'!$R$1,IF(AND(OR($E$3="AL 2 belastede leder",$E$3="CU 2 belastede leder"),$E$4="90°C XLPE &amp; EPR",OR(X13="A1",X13="A2",X13="B1",X13="B2",X13="C",X13="D1",X13="D2")),'Ark4'!$J$1,IF(AND(OR($E$3="AL 3 belastede leder",$E$3="CU 3 belastede leder"),$E$4="90°C XLPE &amp; EPR",OR(X13="A1",X13="A2",X13="B1",X13="B2",X13="C",X13="D1",X13="D2")),'Ark4'!$Z$1,IF(AND(OR($E$3="CU 2 belastede leder",$E$3="CU 3 belastede leder"),$E$4="70°C PVC",OR(X13="E",X13="F")),'Ark4'!$B$44,IF(AND(OR($E$3="AL 2 belastede leder",$E$3="AL 3 belastede leder"),$E$4="70°C PVC",OR(X13="E",X13="F")),'Ark4'!$B$66,IF(AND(OR($E$3="CU 2 belastede leder",$E$3="CU 3 belastede leder"),$E$4="90°C XLPE &amp; EPR",OR(X13="E",X13="F")),'Ark4'!$K$44,IF(AND(OR($E$3="AL 2 belastede leder",$E$3="AL 3 belastede leder"),$E$4="90°C XLPE &amp; EPR",OR(X13="E",X13="F")),'Ark4'!$K$66))))))))</f>
        <v>B.52.5</v>
      </c>
      <c r="Y32" s="153"/>
      <c r="Z32" s="153"/>
      <c r="AA32" s="165"/>
      <c r="AB32" s="136"/>
      <c r="AC32" s="152" t="s">
        <v>53</v>
      </c>
      <c r="AD32" s="153"/>
      <c r="AE32" s="204"/>
      <c r="AF32" s="153" t="e">
        <f>IF(AND(OR($E$3="AL 2 belastede leder",$E$3="CU 2 belastede leder"),$E$4="70°C PVC",OR(AF13="A1",AF13="A2",AF13="B1",AF13="B2",AF13="C",AF13="D1",AF13="D2")),'Ark4'!$A$1,IF(AND(OR($E$3="AL 3 belastede leder",$E$3="CU 3 belastede leder"),$E$4="70°C PVC",OR(AF13="A1",AF13="A2",AF13="B1",AF13="B2",AF13="C",AF13="D1",AF13="D2")),'Ark4'!$R$1,IF(AND(OR($E$3="AL 2 belastede leder",$E$3="CU 2 belastede leder"),$E$4="90°C XLPE &amp; EPR",OR(AF13="A1",AF13="A2",AF13="B1",AF13="B2",AF13="C",AF13="D1",AF13="D2")),'Ark4'!$J$1,IF(AND(OR($E$3="AL 3 belastede leder",$E$3="CU 3 belastede leder"),$E$4="90°C XLPE &amp; EPR",OR(AF13="A1",AF13="A2",AF13="B1",AF13="B2",AF13="C",AF13="D1",AF13="D2")),'Ark4'!$Z$1,IF(AND(OR($E$3="CU 2 belastede leder",$E$3="CU 3 belastede leder"),$E$4="70°C PVC",OR(AF13="E",AF13="F")),'Ark4'!$B$44,IF(AND(OR($E$3="AL 2 belastede leder",$E$3="AL 3 belastede leder"),$E$4="70°C PVC",OR(AF13="E",AF13="F")),'Ark4'!$B$66,IF(AND(OR($E$3="CU 2 belastede leder",$E$3="CU 3 belastede leder"),$E$4="90°C XLPE &amp; EPR",OR(AF13="E",AF13="F")),'Ark4'!$K$44,IF(AND(OR($E$3="AL 2 belastede leder",$E$3="AL 3 belastede leder"),$E$4="90°C XLPE &amp; EPR",OR(AF13="E",AF13="F")),'Ark4'!$K$66))))))))</f>
        <v>#N/A</v>
      </c>
      <c r="AG32" s="153"/>
      <c r="AH32" s="153"/>
      <c r="AI32" s="165"/>
      <c r="AJ32" s="136"/>
      <c r="AK32" s="152" t="s">
        <v>53</v>
      </c>
      <c r="AL32" s="153"/>
      <c r="AM32" s="204"/>
      <c r="AN32" s="153" t="e">
        <f>IF(AND(OR($E$3="AL 2 belastede leder",$E$3="CU 2 belastede leder"),$E$4="70°C PVC",OR(AN13="A1",AN13="A2",AN13="B1",AN13="B2",AN13="C",AN13="D1",AN13="D2")),'Ark4'!$A$1,IF(AND(OR($E$3="AL 3 belastede leder",$E$3="CU 3 belastede leder"),$E$4="70°C PVC",OR(AN13="A1",AN13="A2",AN13="B1",AN13="B2",AN13="C",AN13="D1",AN13="D2")),'Ark4'!$R$1,IF(AND(OR($E$3="AL 2 belastede leder",$E$3="CU 2 belastede leder"),$E$4="90°C XLPE &amp; EPR",OR(AN13="A1",AN13="A2",AN13="B1",AN13="B2",AN13="C",AN13="D1",AN13="D2")),'Ark4'!$J$1,IF(AND(OR($E$3="AL 3 belastede leder",$E$3="CU 3 belastede leder"),$E$4="90°C XLPE &amp; EPR",OR(AN13="A1",AN13="A2",AN13="B1",AN13="B2",AN13="C",AN13="D1",AN13="D2")),'Ark4'!$Z$1,IF(AND(OR($E$3="CU 2 belastede leder",$E$3="CU 3 belastede leder"),$E$4="70°C PVC",OR(AN13="E",AN13="F")),'Ark4'!$B$44,IF(AND(OR($E$3="AL 2 belastede leder",$E$3="AL 3 belastede leder"),$E$4="70°C PVC",OR(AN13="E",AN13="F")),'Ark4'!$B$66,IF(AND(OR($E$3="CU 2 belastede leder",$E$3="CU 3 belastede leder"),$E$4="90°C XLPE &amp; EPR",OR(AN13="E",AN13="F")),'Ark4'!$K$44,IF(AND(OR($E$3="AL 2 belastede leder",$E$3="AL 3 belastede leder"),$E$4="90°C XLPE &amp; EPR",OR(AN13="E",AN13="F")),'Ark4'!$K$66))))))))</f>
        <v>#N/A</v>
      </c>
      <c r="AO32" s="153"/>
      <c r="AP32" s="153"/>
      <c r="AQ32" s="165"/>
    </row>
    <row r="33" spans="2:43" ht="15" thickBot="1">
      <c r="B33" s="197" t="s">
        <v>151</v>
      </c>
      <c r="C33" s="198"/>
      <c r="D33" s="199"/>
      <c r="E33" s="146" t="s">
        <v>54</v>
      </c>
      <c r="F33" s="147"/>
      <c r="G33" s="203"/>
      <c r="H33" s="123">
        <f>IF(H39&lt;H40,H39,H40)</f>
        <v>35</v>
      </c>
      <c r="I33" s="124" t="s">
        <v>143</v>
      </c>
      <c r="J33" s="123">
        <f>IF(J39&lt;J40,J39,J40)</f>
        <v>98</v>
      </c>
      <c r="K33" s="125" t="s">
        <v>142</v>
      </c>
      <c r="M33" s="146" t="s">
        <v>54</v>
      </c>
      <c r="N33" s="147"/>
      <c r="O33" s="203"/>
      <c r="P33" s="123">
        <f>IF(P39&lt;P40,P39,P40)</f>
        <v>25</v>
      </c>
      <c r="Q33" s="124" t="s">
        <v>143</v>
      </c>
      <c r="R33" s="123">
        <f>IF(R39&lt;R40,R39,R40)</f>
        <v>84</v>
      </c>
      <c r="S33" s="125" t="s">
        <v>142</v>
      </c>
      <c r="U33" s="146" t="s">
        <v>54</v>
      </c>
      <c r="V33" s="147"/>
      <c r="W33" s="203"/>
      <c r="X33" s="123">
        <f>IF(X39&lt;X40,X39,X40)</f>
        <v>25</v>
      </c>
      <c r="Y33" s="124" t="s">
        <v>143</v>
      </c>
      <c r="Z33" s="123">
        <f>IF(Z39&lt;Z40,Z39,Z40)</f>
        <v>76</v>
      </c>
      <c r="AA33" s="125" t="s">
        <v>142</v>
      </c>
      <c r="AC33" s="146" t="s">
        <v>54</v>
      </c>
      <c r="AD33" s="147"/>
      <c r="AE33" s="203"/>
      <c r="AF33" s="123" t="e">
        <f>IF(AF39&lt;AF40,AF39,AF40)</f>
        <v>#N/A</v>
      </c>
      <c r="AG33" s="124" t="s">
        <v>143</v>
      </c>
      <c r="AH33" s="123" t="e">
        <f>IF(AH39&lt;AH40,AH39,AH40)</f>
        <v>#N/A</v>
      </c>
      <c r="AI33" s="125" t="s">
        <v>142</v>
      </c>
      <c r="AK33" s="146" t="s">
        <v>54</v>
      </c>
      <c r="AL33" s="147"/>
      <c r="AM33" s="203"/>
      <c r="AN33" s="123" t="e">
        <f>IF(AN39&lt;AN40,AN39,AN40)</f>
        <v>#N/A</v>
      </c>
      <c r="AO33" s="124" t="s">
        <v>143</v>
      </c>
      <c r="AP33" s="123" t="e">
        <f>IF(AP39&lt;AP40,AP39,AP40)</f>
        <v>#N/A</v>
      </c>
      <c r="AQ33" s="125" t="s">
        <v>142</v>
      </c>
    </row>
    <row r="34" spans="2:43" ht="15" thickBot="1">
      <c r="B34" s="172"/>
      <c r="C34" s="173"/>
      <c r="D34" s="174"/>
      <c r="E34" s="154" t="s">
        <v>160</v>
      </c>
      <c r="F34" s="155"/>
      <c r="G34" s="155"/>
      <c r="H34" s="155"/>
      <c r="I34" s="155"/>
      <c r="J34" s="155"/>
      <c r="K34" s="156"/>
      <c r="L34" s="136"/>
      <c r="M34" s="154" t="s">
        <v>160</v>
      </c>
      <c r="N34" s="155"/>
      <c r="O34" s="155"/>
      <c r="P34" s="155"/>
      <c r="Q34" s="155"/>
      <c r="R34" s="155"/>
      <c r="S34" s="156"/>
      <c r="T34" s="136"/>
      <c r="U34" s="154" t="s">
        <v>160</v>
      </c>
      <c r="V34" s="155"/>
      <c r="W34" s="155"/>
      <c r="X34" s="155"/>
      <c r="Y34" s="155"/>
      <c r="Z34" s="155"/>
      <c r="AA34" s="156"/>
      <c r="AB34" s="136"/>
      <c r="AC34" s="154" t="s">
        <v>160</v>
      </c>
      <c r="AD34" s="155"/>
      <c r="AE34" s="155"/>
      <c r="AF34" s="155"/>
      <c r="AG34" s="155"/>
      <c r="AH34" s="155"/>
      <c r="AI34" s="156"/>
      <c r="AJ34" s="136"/>
      <c r="AK34" s="154" t="s">
        <v>160</v>
      </c>
      <c r="AL34" s="155"/>
      <c r="AM34" s="155"/>
      <c r="AN34" s="155"/>
      <c r="AO34" s="155"/>
      <c r="AP34" s="155"/>
      <c r="AQ34" s="156"/>
    </row>
    <row r="35" spans="2:43">
      <c r="B35" s="166" t="s">
        <v>160</v>
      </c>
      <c r="C35" s="168" t="s">
        <v>161</v>
      </c>
      <c r="D35" s="169"/>
      <c r="E35" s="150" t="str">
        <f>J33&amp;" · "&amp;H17&amp;" · "&amp;H23&amp;IF(H27="",""," · "&amp;H27)</f>
        <v>98 · 0,89 · 1 · 1</v>
      </c>
      <c r="F35" s="140"/>
      <c r="G35" s="140" t="s">
        <v>155</v>
      </c>
      <c r="H35" s="142">
        <f>J33*(H17*H23*IF(H27="",1,H27))</f>
        <v>87.22</v>
      </c>
      <c r="I35" s="142"/>
      <c r="J35" s="142"/>
      <c r="K35" s="143"/>
      <c r="M35" s="150" t="str">
        <f>R33&amp;" · "&amp;P17&amp;" · "&amp;P23&amp;IF(P27="",""," · "&amp;P27)</f>
        <v>84 · 0,96 · 1</v>
      </c>
      <c r="N35" s="140"/>
      <c r="O35" s="140" t="s">
        <v>155</v>
      </c>
      <c r="P35" s="142">
        <f>R33*(P17*P23*IF(P27="",1,P27))</f>
        <v>80.64</v>
      </c>
      <c r="Q35" s="142"/>
      <c r="R35" s="142"/>
      <c r="S35" s="143"/>
      <c r="U35" s="150" t="str">
        <f>Z33&amp;" · "&amp;X17&amp;" · "&amp;X23&amp;IF(X27="",""," · "&amp;X27)</f>
        <v>76 · 1,08 · 1</v>
      </c>
      <c r="V35" s="140"/>
      <c r="W35" s="140" t="s">
        <v>155</v>
      </c>
      <c r="X35" s="142">
        <f>Z33*(X17*X23*IF(X27="",1,X27))</f>
        <v>82.080000000000013</v>
      </c>
      <c r="Y35" s="142"/>
      <c r="Z35" s="142"/>
      <c r="AA35" s="143"/>
      <c r="AC35" s="150" t="e">
        <f>AH33&amp;" · "&amp;AF17&amp;" · "&amp;AF23&amp;IF(AF27="",""," · "&amp;AF27)</f>
        <v>#N/A</v>
      </c>
      <c r="AD35" s="140"/>
      <c r="AE35" s="140" t="s">
        <v>155</v>
      </c>
      <c r="AF35" s="142" t="e">
        <f>AH33*(AF17*AF23*IF(AF27="",1,AF27))</f>
        <v>#N/A</v>
      </c>
      <c r="AG35" s="142"/>
      <c r="AH35" s="142"/>
      <c r="AI35" s="143"/>
      <c r="AK35" s="150" t="e">
        <f>AP33&amp;" · "&amp;AN17&amp;" · "&amp;AN23&amp;IF(AN27="",""," · "&amp;AN27)</f>
        <v>#N/A</v>
      </c>
      <c r="AL35" s="140"/>
      <c r="AM35" s="140" t="s">
        <v>155</v>
      </c>
      <c r="AN35" s="142" t="e">
        <f>AP33*(AN17*AN23*IF(AN27="",1,AN27))</f>
        <v>#N/A</v>
      </c>
      <c r="AO35" s="142"/>
      <c r="AP35" s="142"/>
      <c r="AQ35" s="143"/>
    </row>
    <row r="36" spans="2:43" ht="15" thickBot="1">
      <c r="B36" s="167"/>
      <c r="C36" s="170"/>
      <c r="D36" s="171"/>
      <c r="E36" s="151"/>
      <c r="F36" s="141"/>
      <c r="G36" s="141"/>
      <c r="H36" s="144"/>
      <c r="I36" s="144"/>
      <c r="J36" s="144"/>
      <c r="K36" s="145"/>
      <c r="M36" s="151"/>
      <c r="N36" s="141"/>
      <c r="O36" s="141"/>
      <c r="P36" s="144"/>
      <c r="Q36" s="144"/>
      <c r="R36" s="144"/>
      <c r="S36" s="145"/>
      <c r="U36" s="151"/>
      <c r="V36" s="141"/>
      <c r="W36" s="141"/>
      <c r="X36" s="144"/>
      <c r="Y36" s="144"/>
      <c r="Z36" s="144"/>
      <c r="AA36" s="145"/>
      <c r="AC36" s="151"/>
      <c r="AD36" s="141"/>
      <c r="AE36" s="141"/>
      <c r="AF36" s="144"/>
      <c r="AG36" s="144"/>
      <c r="AH36" s="144"/>
      <c r="AI36" s="145"/>
      <c r="AK36" s="151"/>
      <c r="AL36" s="141"/>
      <c r="AM36" s="141"/>
      <c r="AN36" s="144"/>
      <c r="AO36" s="144"/>
      <c r="AP36" s="144"/>
      <c r="AQ36" s="145"/>
    </row>
    <row r="37" spans="2:43">
      <c r="B37" s="120"/>
    </row>
    <row r="38" spans="2:43" ht="19.2">
      <c r="B38" s="126" t="s">
        <v>159</v>
      </c>
    </row>
    <row r="39" spans="2:43" hidden="1">
      <c r="F39" s="118" t="s">
        <v>54</v>
      </c>
      <c r="G39" s="129"/>
      <c r="H39" s="121">
        <f>IF(AND(H13="A1",$E$3="CU 2 belastede leder",$E$4="70°C PVC"),INDEX('Ark4'!$A$4:$A$19,MATCH(H29,'Ark4'!$B$4:$B$19,-1),'Ark4'!$A$2),IF(AND(H13="A2",$E$3="CU 2 belastede leder",$E$4="70°C PVC"),INDEX('Ark4'!$A$4:$A$19,MATCH(H29,'Ark4'!$C$4:$C$19,-1),'Ark4'!$A$2),IF(AND(H13="B1",$E$3="CU 2 belastede leder",$E$4="70°C PVC"),INDEX('Ark4'!$A$4:$A$19,MATCH(H29,'Ark4'!$D$4:$D$19,-1),'Ark4'!$A$2),IF(AND(H13="B2",$E$3="CU 2 belastede leder",$E$4="70°C PVC"),INDEX('Ark4'!$A$4:$A$19,MATCH(H29,'Ark4'!$E$4:$E$19,-1),'Ark4'!$A$2),IF(AND(H13="C",$E$3="CU 2 belastede leder",$E$4="70°C PVC"),INDEX('Ark4'!$A$4:$A$19,MATCH(H29,'Ark4'!$F$4:$F$19,-1),'Ark4'!$A$2),IF(AND(H13="D1",$E$3="CU 2 belastede leder",$E$4="70°C PVC"),INDEX('Ark4'!$A$4:$A$19,MATCH(H29,'Ark4'!$G$4:$G$19,-1),'Ark4'!$A$2),IF(AND(H13="D2",$E$3="CU 2 belastede leder",$E$4="70°C PVC"),INDEX('Ark4'!$A$4:$A$19,MATCH(H29,'Ark4'!$H$4:$H$19,-1),'Ark4'!$A$2),IF(AND(H13="A1",$E$3="AL 2 belastede leder",$E$4="70°C PVC"),INDEX('Ark4'!$A$22:$A$36,MATCH(H29,'Ark4'!$B$22:$B$36,-1),'Ark4'!$A$2),IF(AND(H13="A2",$E$3="AL 2 belastede leder",$E$4="70°C PVC"),INDEX('Ark4'!$A$22:$A$36,MATCH(H29,'Ark4'!$C$22:$C$36,-1),'Ark4'!$A$2),IF(AND(H13="B1",$E$3="AL 2 belastede leder",$E$4="70°C PVC"),INDEX('Ark4'!$A$22:$A$36,MATCH(H29,'Ark4'!$D$22:$D$36,-1),'Ark4'!$A$2),IF(AND(H13="B2",$E$3="AL 2 belastede leder",$E$4="70°C PVC"),INDEX('Ark4'!$A$22:$A$36,MATCH(H29,'Ark4'!$E$22:$E$36,-1),'Ark4'!$A$2),IF(AND(H13="C",$E$3="AL 2 belastede leder",$E$4="70°C PVC"),INDEX('Ark4'!$A$22:$A$36,MATCH(H29,'Ark4'!$F$22:$F$36,-1),'Ark4'!$A$2),IF(AND(H13="D1",$E$3="AL 2 belastede leder",$E$4="70°C PVC"),INDEX('Ark4'!$A$22:$A$36,MATCH(H29,'Ark4'!$G$22:$G$36,-1),'Ark4'!$A$2),IF(AND(H13="D2",$E$3="AL 2 belastede leder",$E$4="70°C PVC"),INDEX('Ark4'!$A$22:$A$36,MATCH(H29,'Ark4'!$H$22:$H$36,-1),'Ark4'!$A$2),IF(AND(H13="A1",$E$3="CU 2 belastede leder",$E$4="90°C XLPE &amp; EPR"),INDEX('Ark4'!$A$4:$A$19,MATCH(H29,'Ark4'!$J$4:$J$19,-1),'Ark4'!$A$2),IF(AND(H13="A2",$E$3="CU 2 belastede leder",$E$4="90°C XLPE &amp; EPR"),INDEX('Ark4'!$A$4:$A$19,MATCH(H29,'Ark4'!$K$4:$K$19,-1),'Ark4'!$A$2),IF(AND(H13="B1",$E$3="CU 2 belastede leder",$E$4="90°C XLPE &amp; EPR"),INDEX('Ark4'!$A$4:$A$19,MATCH(H29,'Ark4'!$L$4:$L$19,-1),'Ark4'!$A$2),IF(AND(H13="B2",$E$3="CU 2 belastede leder",$E$4="90°C XLPE &amp; EPR"),INDEX('Ark4'!$A$4:$A$19,MATCH(H29,'Ark4'!$M$4:$M$19,-1),'Ark4'!$A$2),IF(AND(H13="C",$E$3="CU 2 belastede leder",$E$4="90°C XLPE &amp; EPR"),INDEX('Ark4'!$A$4:$A$19,MATCH(H29,'Ark4'!$N$4:$N$19,-1),'Ark4'!$A$2),IF(AND(H13="D1",$E$3="CU 2 belastede leder",$E$4="90°C XLPE &amp; EPR"),INDEX('Ark4'!$A$4:$A$19,MATCH(H29,'Ark4'!$O$4:$O$19,-1),'Ark4'!$A$2),IF(AND(H13="D2",$E$3="CU 2 belastede leder",$E$4="90°C XLPE &amp; EPR"),INDEX('Ark4'!$A$4:$A$19,MATCH(H29,'Ark4'!$P$4:$P$19,-1),'Ark4'!$A$2),IF(AND(H13="A1",$E$3="AL 2 belastede leder",$E$4="90°C XLPE &amp; EPR"),INDEX('Ark4'!$A$22:$A$36,MATCH(H29,'Ark4'!$J$22:$J$36,-1),'Ark4'!$A$2),IF(AND(H13="A2",$E$3="AL 2 belastede leder",$E$4="90°C XLPE &amp; EPR"),INDEX('Ark4'!$A$22:$A$36,MATCH(H29,'Ark4'!$K$22:$K$36,-1),'Ark4'!$A$2),IF(AND(H13="B1",$E$3="AL 2 belastede leder",$E$4="90°C XLPE &amp; EPR"),INDEX('Ark4'!$A$22:$A$36,MATCH(H29,'Ark4'!$L$22:$L$36,-1),'Ark4'!$A$2),IF(AND(H13="B2",$E$3="AL 2 belastede leder",$E$4="90°C XLPE &amp; EPR"),INDEX('Ark4'!$A$22:$A$36,MATCH(H29,'Ark4'!$M$22:$M$36,-1),'Ark4'!$A$2),IF(AND(H13="C",$E$3="AL 2 belastede leder",$E$4="90°C XLPE &amp; EPR"),INDEX('Ark4'!$A$22:$A$36,MATCH(H29,'Ark4'!$N$22:$N$36,-1),'Ark4'!$A$2),IF(AND(H13="D1",$E$3="AL 2 belastede leder",$E$4="90°C XLPE &amp; EPR"),INDEX('Ark4'!$A$22:$A$36,MATCH(H29,'Ark4'!$O$22:$O$36,-1),'Ark4'!$A$2),IF(AND(H13="D2",$E$3="AL 2 belastede leder",$E$4="90°C XLPE &amp; EPR"),INDEX('Ark4'!$A$22:$A$36,MATCH(H29,'Ark4'!$P$22:$P$36,-1),'Ark4'!$A$2),IF(AND(H13="A1",$E$3="CU 3 belastede leder",$E$4="70°C PVC"),INDEX('Ark4'!$A$4:$A$19,MATCH(H29,'Ark4'!$R$4:$R$19,-1),'Ark4'!$A$2),IF(AND(H13="A2",$E$3="CU 3 belastede leder",$E$4="70°C PVC"),INDEX('Ark4'!$A$4:$A$19,MATCH(H29,'Ark4'!$S$4:$S$19,-1),'Ark4'!$A$2),IF(AND(H13="B1",$E$3="CU 3 belastede leder",$E$4="70°C PVC"),INDEX('Ark4'!$A$4:$A$19,MATCH(H29,'Ark4'!$T$4:$T$19,-1),'Ark4'!$A$2),IF(AND(H13="B2",$E$3="CU 3 belastede leder",$E$4="70°C PVC"),INDEX('Ark4'!$A$4:$A$19,MATCH(H29,'Ark4'!$U$4:$U$19,-1),'Ark4'!$A$2),IF(AND(H13="C",$E$3="CU 3 belastede leder",$E$4="70°C PVC"),INDEX('Ark4'!$A$4:$A$19,MATCH(H29,'Ark4'!$V$4:$V$19,-1),'Ark4'!$A$2),IF(AND(H13="D1",$E$3="CU 3 belastede leder",$E$4="70°C PVC"),INDEX('Ark4'!$A$4:$A$19,MATCH(H29,'Ark4'!$W$4:$W$19,-1),'Ark4'!$A$2),IF(AND(H13="D2",$E$3="CU 3 belastede leder",$E$4="70°C PVC"),INDEX('Ark4'!$A$4:$A$19,MATCH(H29,'Ark4'!$X$4:$X$19,-1),'Ark4'!$A$2),IF(AND(H13="A1",$E$3="AL 3 belastede leder",$E$4="70°C PVC"),INDEX('Ark4'!$A$22:$A$36,MATCH(H29,'Ark4'!$R$22:$R$36,-1),'Ark4'!$A$2),IF(AND(H13="A2",$E$3="AL 3 belastede leder",$E$4="70°C PVC"),INDEX('Ark4'!$A$22:$A$36,MATCH(H29,'Ark4'!$S$22:$S$36,-1),'Ark4'!$A$2),IF(AND(H13="B1",$E$3="AL 3 belastede leder",$E$4="70°C PVC"),INDEX('Ark4'!$A$22:$A$36,MATCH(H29,'Ark4'!$T$22:$T$36,-1),'Ark4'!$A$2),IF(AND(H13="B2",$E$3="AL 3 belastede leder",$E$4="70°C PVC"),INDEX('Ark4'!$A$22:$A$36,MATCH(H29,'Ark4'!$U$22:$U$36,-1),'Ark4'!$A$2),IF(AND(H13="C",$E$3="AL 3 belastede leder",$E$4="70°C PVC"),INDEX('Ark4'!$A$22:$A$36,MATCH(H29,'Ark4'!$V$22:$V$36,-1),'Ark4'!$A$2),IF(AND(H13="D1",$E$3="AL 3 belastede leder",$E$4="70°C PVC"),INDEX('Ark4'!$A$22:$A$36,MATCH(H29,'Ark4'!$W$22:$W$36,-1),'Ark4'!$A$2),IF(AND(H13="D2",$E$3="AL 3 belastede leder",$E$4="70°C PVC"),INDEX('Ark4'!$A$22:$A$36,MATCH(H29,'Ark4'!$X$22:$X$36,-1),'Ark4'!$A$2),IF(AND(H13="A1",$E$3="CU 3 belastede leder",$E$4="90°C XLPE &amp; EPR"),INDEX('Ark4'!$A$4:$A$19,MATCH(H29,'Ark4'!$Z$4:$Z$19,-1),'Ark4'!$A$2),IF(AND(H13="A2",$E$3="CU 3 belastede leder",$E$4="90°C XLPE &amp; EPR"),INDEX('Ark4'!$A$4:$A$19,MATCH(H29,'Ark4'!$AA$4:$AA$19,-1),'Ark4'!$A$2),IF(AND(H13="B1",$E$3="CU 3 belastede leder",$E$4="90°C XLPE &amp; EPR"),INDEX('Ark4'!$A$4:$A$19,MATCH(H29,'Ark4'!$AB$4:$AB$19,-1),'Ark4'!$A$2),IF(AND(H13="B2",$E$3="CU 3 belastede leder",$E$4="90°C XLPE &amp; EPR"),INDEX('Ark4'!$A$4:$A$19,MATCH(H29,'Ark4'!$AC$4:$AC$19,-1),'Ark4'!$A$2),IF(AND(H13="C",$E$3="CU 3 belastede leder",$E$4="90°C XLPE &amp; EPR"),INDEX('Ark4'!$A$4:$A$19,MATCH(H29,'Ark4'!$AD$4:$AD$19,-1),'Ark4'!$A$2),IF(AND(H13="D1",$E$3="CU 3 belastede leder",$E$4="90°C XLPE &amp; EPR"),INDEX('Ark4'!$A$4:$A$19,MATCH(H29,'Ark4'!$AE$4:$AE$19,-1),'Ark4'!$A$2),IF(AND(H13="D2",$E$3="CU 3 belastede leder",$E$4="90°C XLPE &amp; EPR"),INDEX('Ark4'!$A$4:$A$19,MATCH(H29,'Ark4'!$AF$4:$AF$19,-1),'Ark4'!$A$2),IF(AND(H13="A1",$E$3="AL 3 belastede leder",$E$4="90°C XLPE &amp; EPR"),INDEX('Ark4'!$A$22:$A$36,MATCH(H29,'Ark4'!$Z$22:$Z$36,-1),'Ark4'!$A$2),IF(AND(H13="A2",$E$3="AL 3 belastede leder",$E$4="90°C XLPE &amp; EPR"),INDEX('Ark4'!$A$22:$A$36,MATCH(H29,'Ark4'!$AA$22:$AA$36,-1),'Ark4'!$A$2),IF(AND(H13="B1",$E$3="AL 3 belastede leder",$E$4="90°C XLPE &amp; EPR"),INDEX('Ark4'!$A$22:$A$36,MATCH(H29,'Ark4'!$AB$22:$AB$36,-1),'Ark4'!$A$2),IF(AND(H13="B2",$E$3="AL 3 belastede leder",$E$4="90°C XLPE &amp; EPR"),INDEX('Ark4'!$A$22:$A$36,MATCH(H29,'Ark4'!$AC$22:$AC$36,-1),'Ark4'!$A$2),IF(AND(H13="C",$E$3="AL 3 belastede leder",$E$4="90°C XLPE &amp; EPR"),INDEX('Ark4'!$A$22:$A$36,MATCH(H29,'Ark4'!$AD$22:$AD$36,-1),'Ark4'!$A$2),IF(AND(H13="D1",$E$3="AL 3 belastede leder",$E$4="90°C XLPE &amp; EPR"),INDEX('Ark4'!$A$22:$A$36,MATCH(H29,'Ark4'!$AE$22:$AE$36,-1),'Ark4'!$A$2),IF(AND(H13="D2",$E$3="AL 3 belastede leder",$E$4="90°C XLPE &amp; EPR"),INDEX('Ark4'!$A$22:$A$36,MATCH(H29,'Ark4'!$AF$22:$AF$36,-1),'Ark4'!$A$2),""))))))))))))))))))))))))))))))))))))))))))))))))))))))))</f>
        <v>35</v>
      </c>
      <c r="I39" s="122" t="s">
        <v>143</v>
      </c>
      <c r="J39" s="121">
        <f>IF(AND($E$3="CU 2 belastede leder",$E$4="70°C PVC",OR(H13="A1",H13="A2",H13="B1",H13="B2",H13="C",H13="D1",H13="D2")),INDEX('Ark4'!$B$4:$H$19,MATCH('Ark1'!H39,'Ark4'!$A$4:$A$19,0),MATCH('Ark1'!H13,'Ark4'!$B$3:$H$3,0)),IF(AND($E$3="AL 2 belastede leder",$E$4="70°C PVC",OR(H13="A1",H13="A2",H13="B1",H13="B2",H13="C",H13="D1",H13="D2")),INDEX('Ark4'!$B$22:$H$36,MATCH('Ark1'!H39,'Ark4'!$A$22:$A$36,0),MATCH('Ark1'!H13,'Ark4'!$B$21:$H$21,0)),IF(AND($E$3="CU 3 belastede leder",$E$4="70°C PVC",OR(H13="A1",H13="A2",H13="B1",H13="B2",H13="C",H13="D1",H13="D2")),INDEX('Ark4'!$R$4:$X$19,MATCH('Ark1'!H39,'Ark4'!$A$4:$A$19,0),MATCH('Ark1'!H13,'Ark4'!$R$3:$X$3,0)),IF(AND($E$3="AL 3 belastede leder",$E$4="70°C PVC",OR(H13="A1",H13="A2",H13="B1",H13="B2",H13="C",H13="D1",H13="D2")),INDEX('Ark4'!$R$22:$X$36,MATCH('Ark1'!H39,'Ark4'!$A$22:$A$36,0),MATCH('Ark1'!H13,'Ark4'!$R$21:$X$21,0)),IF(AND($E$3="CU 2 belastede leder",$E$4="90°C XLPE &amp; EPR",OR(H13="A1",H13="A2",H13="B1",H13="B2",H13="C",H13="D1",H13="D2")),INDEX('Ark4'!$J$4:$P$19,MATCH('Ark1'!H39,'Ark4'!$A$4:$A$19,0),MATCH('Ark1'!H13,'Ark4'!$J$3:$P$3,0)),IF(AND($E$3="AL 2 belastede leder",$E$4="90°C XLPE &amp; EPR",OR(H13="A1",H13="A2",H13="B1",H13="B2",H13="C",H13="D1",H13="D2")),INDEX('Ark4'!$J$22:$P$36,MATCH('Ark1'!H39,'Ark4'!$A$22:$A$36,0),MATCH('Ark1'!H13,'Ark4'!$J$21:$P$21,0)),IF(AND($E$3="CU 3 belastede leder",$E$4="90°C XLPE &amp; EPR",OR(H13="A1",H13="A2",H13="B1",H13="B2",H13="C",H13="D1",H13="D2")),INDEX('Ark4'!$Z$4:$AF$19,MATCH('Ark1'!H39,'Ark4'!$A$4:$A$19,0),MATCH('Ark1'!H13,'Ark4'!$Z$3:$AF$3,0)),IF(AND($E$3="AL 3 belastede leder",$E$4="90°C XLPE &amp; EPR",OR(H13="A1",H13="A2",H13="B1",H13="B2",H13="C",H13="D1",H13="D2")),INDEX('Ark4'!$Z$22:$AF$36,MATCH('Ark1'!H39,'Ark4'!$A$22:$A$36,0),MATCH('Ark1'!H13,'Ark4'!$Z$21:$AF$21,0)),""))))))))</f>
        <v>98</v>
      </c>
      <c r="K39" s="129" t="s">
        <v>142</v>
      </c>
      <c r="M39" s="129"/>
      <c r="N39" s="118" t="s">
        <v>54</v>
      </c>
      <c r="O39" s="129"/>
      <c r="P39" s="121">
        <f>IF(AND(P13="A1",$E$3="CU 2 belastede leder",$E$4="70°C PVC"),INDEX('Ark4'!$A$4:$A$19,MATCH(P29,'Ark4'!$B$4:$B$19,-1),'Ark4'!$A$2),IF(AND(P13="A2",$E$3="CU 2 belastede leder",$E$4="70°C PVC"),INDEX('Ark4'!$A$4:$A$19,MATCH(P29,'Ark4'!$C$4:$C$19,-1),'Ark4'!$A$2),IF(AND(P13="B1",$E$3="CU 2 belastede leder",$E$4="70°C PVC"),INDEX('Ark4'!$A$4:$A$19,MATCH(P29,'Ark4'!$D$4:$D$19,-1),'Ark4'!$A$2),IF(AND(P13="B2",$E$3="CU 2 belastede leder",$E$4="70°C PVC"),INDEX('Ark4'!$A$4:$A$19,MATCH(P29,'Ark4'!$E$4:$E$19,-1),'Ark4'!$A$2),IF(AND(P13="C",$E$3="CU 2 belastede leder",$E$4="70°C PVC"),INDEX('Ark4'!$A$4:$A$19,MATCH(P29,'Ark4'!$F$4:$F$19,-1),'Ark4'!$A$2),IF(AND(P13="D1",$E$3="CU 2 belastede leder",$E$4="70°C PVC"),INDEX('Ark4'!$A$4:$A$19,MATCH(P29,'Ark4'!$G$4:$G$19,-1),'Ark4'!$A$2),IF(AND(P13="D2",$E$3="CU 2 belastede leder",$E$4="70°C PVC"),INDEX('Ark4'!$A$4:$A$19,MATCH(P29,'Ark4'!$H$4:$H$19,-1),'Ark4'!$A$2),IF(AND(P13="A1",$E$3="AL 2 belastede leder",$E$4="70°C PVC"),INDEX('Ark4'!$A$22:$A$36,MATCH(P29,'Ark4'!$B$22:$B$36,-1),'Ark4'!$A$2),IF(AND(P13="A2",$E$3="AL 2 belastede leder",$E$4="70°C PVC"),INDEX('Ark4'!$A$22:$A$36,MATCH(P29,'Ark4'!$C$22:$C$36,-1),'Ark4'!$A$2),IF(AND(P13="B1",$E$3="AL 2 belastede leder",$E$4="70°C PVC"),INDEX('Ark4'!$A$22:$A$36,MATCH(P29,'Ark4'!$D$22:$D$36,-1),'Ark4'!$A$2),IF(AND(P13="B2",$E$3="AL 2 belastede leder",$E$4="70°C PVC"),INDEX('Ark4'!$A$22:$A$36,MATCH(P29,'Ark4'!$E$22:$E$36,-1),'Ark4'!$A$2),IF(AND(P13="C",$E$3="AL 2 belastede leder",$E$4="70°C PVC"),INDEX('Ark4'!$A$22:$A$36,MATCH(P29,'Ark4'!$F$22:$F$36,-1),'Ark4'!$A$2),IF(AND(P13="D1",$E$3="AL 2 belastede leder",$E$4="70°C PVC"),INDEX('Ark4'!$A$22:$A$36,MATCH(P29,'Ark4'!$G$22:$G$36,-1),'Ark4'!$A$2),IF(AND(P13="D2",$E$3="AL 2 belastede leder",$E$4="70°C PVC"),INDEX('Ark4'!$A$22:$A$36,MATCH(P29,'Ark4'!$H$22:$H$36,-1),'Ark4'!$A$2),IF(AND(P13="A1",$E$3="CU 2 belastede leder",$E$4="90°C XLPE &amp; EPR"),INDEX('Ark4'!$A$4:$A$19,MATCH(P29,'Ark4'!$J$4:$J$19,-1),'Ark4'!$A$2),IF(AND(P13="A2",$E$3="CU 2 belastede leder",$E$4="90°C XLPE &amp; EPR"),INDEX('Ark4'!$A$4:$A$19,MATCH(P29,'Ark4'!$K$4:$K$19,-1),'Ark4'!$A$2),IF(AND(P13="B1",$E$3="CU 2 belastede leder",$E$4="90°C XLPE &amp; EPR"),INDEX('Ark4'!$A$4:$A$19,MATCH(P29,'Ark4'!$L$4:$L$19,-1),'Ark4'!$A$2),IF(AND(P13="B2",$E$3="CU 2 belastede leder",$E$4="90°C XLPE &amp; EPR"),INDEX('Ark4'!$A$4:$A$19,MATCH(P29,'Ark4'!$M$4:$M$19,-1),'Ark4'!$A$2),IF(AND(P13="C",$E$3="CU 2 belastede leder",$E$4="90°C XLPE &amp; EPR"),INDEX('Ark4'!$A$4:$A$19,MATCH(P29,'Ark4'!$N$4:$N$19,-1),'Ark4'!$A$2),IF(AND(P13="D1",$E$3="CU 2 belastede leder",$E$4="90°C XLPE &amp; EPR"),INDEX('Ark4'!$A$4:$A$19,MATCH(P29,'Ark4'!$O$4:$O$19,-1),'Ark4'!$A$2),IF(AND(P13="D2",$E$3="CU 2 belastede leder",$E$4="90°C XLPE &amp; EPR"),INDEX('Ark4'!$A$4:$A$19,MATCH(P29,'Ark4'!$P$4:$P$19,-1),'Ark4'!$A$2),IF(AND(P13="A1",$E$3="AL 2 belastede leder",$E$4="90°C XLPE &amp; EPR"),INDEX('Ark4'!$A$22:$A$36,MATCH(P29,'Ark4'!$J$22:$J$36,-1),'Ark4'!$A$2),IF(AND(P13="A2",$E$3="AL 2 belastede leder",$E$4="90°C XLPE &amp; EPR"),INDEX('Ark4'!$A$22:$A$36,MATCH(P29,'Ark4'!$K$22:$K$36,-1),'Ark4'!$A$2),IF(AND(P13="B1",$E$3="AL 2 belastede leder",$E$4="90°C XLPE &amp; EPR"),INDEX('Ark4'!$A$22:$A$36,MATCH(P29,'Ark4'!$L$22:$L$36,-1),'Ark4'!$A$2),IF(AND(P13="B2",$E$3="AL 2 belastede leder",$E$4="90°C XLPE &amp; EPR"),INDEX('Ark4'!$A$22:$A$36,MATCH(P29,'Ark4'!$M$22:$M$36,-1),'Ark4'!$A$2),IF(AND(P13="C",$E$3="AL 2 belastede leder",$E$4="90°C XLPE &amp; EPR"),INDEX('Ark4'!$A$22:$A$36,MATCH(P29,'Ark4'!$N$22:$N$36,-1),'Ark4'!$A$2),IF(AND(P13="D1",$E$3="AL 2 belastede leder",$E$4="90°C XLPE &amp; EPR"),INDEX('Ark4'!$A$22:$A$36,MATCH(P29,'Ark4'!$O$22:$O$36,-1),'Ark4'!$A$2),IF(AND(P13="D2",$E$3="AL 2 belastede leder",$E$4="90°C XLPE &amp; EPR"),INDEX('Ark4'!$A$22:$A$36,MATCH(P29,'Ark4'!$P$22:$P$36,-1),'Ark4'!$A$2),IF(AND(P13="A1",$E$3="CU 3 belastede leder",$E$4="70°C PVC"),INDEX('Ark4'!$A$4:$A$19,MATCH(P29,'Ark4'!$R$4:$R$19,-1),'Ark4'!$A$2),IF(AND(P13="A2",$E$3="CU 3 belastede leder",$E$4="70°C PVC"),INDEX('Ark4'!$A$4:$A$19,MATCH(P29,'Ark4'!$S$4:$S$19,-1),'Ark4'!$A$2),IF(AND(P13="B1",$E$3="CU 3 belastede leder",$E$4="70°C PVC"),INDEX('Ark4'!$A$4:$A$19,MATCH(P29,'Ark4'!$T$4:$T$19,-1),'Ark4'!$A$2),IF(AND(P13="B2",$E$3="CU 3 belastede leder",$E$4="70°C PVC"),INDEX('Ark4'!$A$4:$A$19,MATCH(P29,'Ark4'!$U$4:$U$19,-1),'Ark4'!$A$2),IF(AND(P13="C",$E$3="CU 3 belastede leder",$E$4="70°C PVC"),INDEX('Ark4'!$A$4:$A$19,MATCH(P29,'Ark4'!$V$4:$V$19,-1),'Ark4'!$A$2),IF(AND(P13="D1",$E$3="CU 3 belastede leder",$E$4="70°C PVC"),INDEX('Ark4'!$A$4:$A$19,MATCH(P29,'Ark4'!$W$4:$W$19,-1),'Ark4'!$A$2),IF(AND(P13="D2",$E$3="CU 3 belastede leder",$E$4="70°C PVC"),INDEX('Ark4'!$A$4:$A$19,MATCH(P29,'Ark4'!$X$4:$X$19,-1),'Ark4'!$A$2),IF(AND(P13="A1",$E$3="AL 3 belastede leder",$E$4="70°C PVC"),INDEX('Ark4'!$A$22:$A$36,MATCH(P29,'Ark4'!$R$22:$R$36,-1),'Ark4'!$A$2),IF(AND(P13="A2",$E$3="AL 3 belastede leder",$E$4="70°C PVC"),INDEX('Ark4'!$A$22:$A$36,MATCH(P29,'Ark4'!$S$22:$S$36,-1),'Ark4'!$A$2),IF(AND(P13="B1",$E$3="AL 3 belastede leder",$E$4="70°C PVC"),INDEX('Ark4'!$A$22:$A$36,MATCH(P29,'Ark4'!$T$22:$T$36,-1),'Ark4'!$A$2),IF(AND(P13="B2",$E$3="AL 3 belastede leder",$E$4="70°C PVC"),INDEX('Ark4'!$A$22:$A$36,MATCH(P29,'Ark4'!$U$22:$U$36,-1),'Ark4'!$A$2),IF(AND(P13="C",$E$3="AL 3 belastede leder",$E$4="70°C PVC"),INDEX('Ark4'!$A$22:$A$36,MATCH(P29,'Ark4'!$V$22:$V$36,-1),'Ark4'!$A$2),IF(AND(P13="D1",$E$3="AL 3 belastede leder",$E$4="70°C PVC"),INDEX('Ark4'!$A$22:$A$36,MATCH(P29,'Ark4'!$W$22:$W$36,-1),'Ark4'!$A$2),IF(AND(P13="D2",$E$3="AL 3 belastede leder",$E$4="70°C PVC"),INDEX('Ark4'!$A$22:$A$36,MATCH(P29,'Ark4'!$X$22:$X$36,-1),'Ark4'!$A$2),IF(AND(P13="A1",$E$3="CU 3 belastede leder",$E$4="90°C XLPE &amp; EPR"),INDEX('Ark4'!$A$4:$A$19,MATCH(P29,'Ark4'!$Z$4:$Z$19,-1),'Ark4'!$A$2),IF(AND(P13="A2",$E$3="CU 3 belastede leder",$E$4="90°C XLPE &amp; EPR"),INDEX('Ark4'!$A$4:$A$19,MATCH(P29,'Ark4'!$AA$4:$AA$19,-1),'Ark4'!$A$2),IF(AND(P13="B1",$E$3="CU 3 belastede leder",$E$4="90°C XLPE &amp; EPR"),INDEX('Ark4'!$A$4:$A$19,MATCH(P29,'Ark4'!$AB$4:$AB$19,-1),'Ark4'!$A$2),IF(AND(P13="B2",$E$3="CU 3 belastede leder",$E$4="90°C XLPE &amp; EPR"),INDEX('Ark4'!$A$4:$A$19,MATCH(P29,'Ark4'!$AC$4:$AC$19,-1),'Ark4'!$A$2),IF(AND(P13="C",$E$3="CU 3 belastede leder",$E$4="90°C XLPE &amp; EPR"),INDEX('Ark4'!$A$4:$A$19,MATCH(P29,'Ark4'!$AD$4:$AD$19,-1),'Ark4'!$A$2),IF(AND(P13="D1",$E$3="CU 3 belastede leder",$E$4="90°C XLPE &amp; EPR"),INDEX('Ark4'!$A$4:$A$19,MATCH(P29,'Ark4'!$AE$4:$AE$19,-1),'Ark4'!$A$2),IF(AND(P13="D2",$E$3="CU 3 belastede leder",$E$4="90°C XLPE &amp; EPR"),INDEX('Ark4'!$A$4:$A$19,MATCH(P29,'Ark4'!$AF$4:$AF$19,-1),'Ark4'!$A$2),IF(AND(P13="A1",$E$3="AL 3 belastede leder",$E$4="90°C XLPE &amp; EPR"),INDEX('Ark4'!$A$22:$A$36,MATCH(P29,'Ark4'!$Z$22:$Z$36,-1),'Ark4'!$A$2),IF(AND(P13="A2",$E$3="AL 3 belastede leder",$E$4="90°C XLPE &amp; EPR"),INDEX('Ark4'!$A$22:$A$36,MATCH(P29,'Ark4'!$AA$22:$AA$36,-1),'Ark4'!$A$2),IF(AND(P13="B1",$E$3="AL 3 belastede leder",$E$4="90°C XLPE &amp; EPR"),INDEX('Ark4'!$A$22:$A$36,MATCH(P29,'Ark4'!$AB$22:$AB$36,-1),'Ark4'!$A$2),IF(AND(P13="B2",$E$3="AL 3 belastede leder",$E$4="90°C XLPE &amp; EPR"),INDEX('Ark4'!$A$22:$A$36,MATCH(P29,'Ark4'!$AC$22:$AC$36,-1),'Ark4'!$A$2),IF(AND(P13="C",$E$3="AL 3 belastede leder",$E$4="90°C XLPE &amp; EPR"),INDEX('Ark4'!$A$22:$A$36,MATCH(P29,'Ark4'!$AD$22:$AD$36,-1),'Ark4'!$A$2),IF(AND(P13="D1",$E$3="AL 3 belastede leder",$E$4="90°C XLPE &amp; EPR"),INDEX('Ark4'!$A$22:$A$36,MATCH(P29,'Ark4'!$AE$22:$AE$36,-1),'Ark4'!$A$2),IF(AND(P13="D2",$E$3="AL 3 belastede leder",$E$4="90°C XLPE &amp; EPR"),INDEX('Ark4'!$A$22:$A$36,MATCH(P29,'Ark4'!$AF$22:$AF$36,-1),'Ark4'!$A$2),""))))))))))))))))))))))))))))))))))))))))))))))))))))))))</f>
        <v>25</v>
      </c>
      <c r="Q39" s="122" t="s">
        <v>143</v>
      </c>
      <c r="R39" s="121">
        <f>IF(AND($E$3="CU 2 belastede leder",$E$4="70°C PVC",OR(P13="A1",P13="A2",P13="B1",P13="B2",P13="C",P13="D1",P13="D2")),INDEX('Ark4'!$B$4:$H$19,MATCH('Ark1'!P39,'Ark4'!$A$4:$A$19,0),MATCH('Ark1'!P13,'Ark4'!$B$3:$H$3,0)),IF(AND($E$3="AL 2 belastede leder",$E$4="70°C PVC",OR(P13="A1",P13="A2",P13="B1",P13="B2",P13="C",P13="D1",P13="D2")),INDEX('Ark4'!$B$22:$H$36,MATCH('Ark1'!P39,'Ark4'!$A$22:$A$36,0),MATCH('Ark1'!P13,'Ark4'!$B$21:$H$21,0)),IF(AND($E$3="CU 3 belastede leder",$E$4="70°C PVC",OR(P13="A1",P13="A2",P13="B1",P13="B2",P13="C",P13="D1",P13="D2")),INDEX('Ark4'!$R$4:$X$19,MATCH('Ark1'!P39,'Ark4'!$A$4:$A$19,0),MATCH('Ark1'!P13,'Ark4'!$R$3:$X$3,0)),IF(AND($E$3="AL 3 belastede leder",$E$4="70°C PVC",OR(P13="A1",P13="A2",P13="B1",P13="B2",P13="C",P13="D1",P13="D2")),INDEX('Ark4'!$R$22:$X$36,MATCH('Ark1'!P39,'Ark4'!$A$22:$A$36,0),MATCH('Ark1'!P13,'Ark4'!$R$21:$X$21,0)),IF(AND($E$3="CU 2 belastede leder",$E$4="90°C XLPE &amp; EPR",OR(P13="A1",P13="A2",P13="B1",P13="B2",P13="C",P13="D1",P13="D2")),INDEX('Ark4'!$J$4:$P$19,MATCH('Ark1'!P39,'Ark4'!$A$4:$A$19,0),MATCH('Ark1'!P13,'Ark4'!$J$3:$P$3,0)),IF(AND($E$3="AL 2 belastede leder",$E$4="90°C XLPE &amp; EPR",OR(P13="A1",P13="A2",P13="B1",P13="B2",P13="C",P13="D1",P13="D2")),INDEX('Ark4'!$J$22:$P$36,MATCH('Ark1'!P39,'Ark4'!$A$22:$A$36,0),MATCH('Ark1'!P13,'Ark4'!$J$21:$P$21,0)),IF(AND($E$3="CU 3 belastede leder",$E$4="90°C XLPE &amp; EPR",OR(P13="A1",P13="A2",P13="B1",P13="B2",P13="C",P13="D1",P13="D2")),INDEX('Ark4'!$Z$4:$AF$19,MATCH('Ark1'!P39,'Ark4'!$A$4:$A$19,0),MATCH('Ark1'!P13,'Ark4'!$Z$3:$AF$3,0)),IF(AND($E$3="AL 3 belastede leder",$E$4="90°C XLPE &amp; EPR",OR(P13="A1",P13="A2",P13="B1",P13="B2",P13="C",P13="D1",P13="D2")),INDEX('Ark4'!$Z$22:$AF$36,MATCH('Ark1'!P39,'Ark4'!$A$22:$A$36,0),MATCH('Ark1'!P13,'Ark4'!$Z$21:$AF$21,0)),""))))))))</f>
        <v>84</v>
      </c>
      <c r="S39" s="129" t="s">
        <v>142</v>
      </c>
      <c r="U39" s="129"/>
      <c r="V39" s="118" t="s">
        <v>54</v>
      </c>
      <c r="W39" s="129"/>
      <c r="X39" s="121">
        <f>IF(AND(X13="A1",$E$3="CU 2 belastede leder",$E$4="70°C PVC"),INDEX('Ark4'!$A$4:$A$19,MATCH(X29,'Ark4'!$B$4:$B$19,-1),'Ark4'!$A$2),IF(AND(X13="A2",$E$3="CU 2 belastede leder",$E$4="70°C PVC"),INDEX('Ark4'!$A$4:$A$19,MATCH(X29,'Ark4'!$C$4:$C$19,-1),'Ark4'!$A$2),IF(AND(X13="B1",$E$3="CU 2 belastede leder",$E$4="70°C PVC"),INDEX('Ark4'!$A$4:$A$19,MATCH(X29,'Ark4'!$D$4:$D$19,-1),'Ark4'!$A$2),IF(AND(X13="B2",$E$3="CU 2 belastede leder",$E$4="70°C PVC"),INDEX('Ark4'!$A$4:$A$19,MATCH(X29,'Ark4'!$E$4:$E$19,-1),'Ark4'!$A$2),IF(AND(X13="C",$E$3="CU 2 belastede leder",$E$4="70°C PVC"),INDEX('Ark4'!$A$4:$A$19,MATCH(X29,'Ark4'!$F$4:$F$19,-1),'Ark4'!$A$2),IF(AND(X13="D1",$E$3="CU 2 belastede leder",$E$4="70°C PVC"),INDEX('Ark4'!$A$4:$A$19,MATCH(X29,'Ark4'!$G$4:$G$19,-1),'Ark4'!$A$2),IF(AND(X13="D2",$E$3="CU 2 belastede leder",$E$4="70°C PVC"),INDEX('Ark4'!$A$4:$A$19,MATCH(X29,'Ark4'!$H$4:$H$19,-1),'Ark4'!$A$2),IF(AND(X13="A1",$E$3="AL 2 belastede leder",$E$4="70°C PVC"),INDEX('Ark4'!$A$22:$A$36,MATCH(X29,'Ark4'!$B$22:$B$36,-1),'Ark4'!$A$2),IF(AND(X13="A2",$E$3="AL 2 belastede leder",$E$4="70°C PVC"),INDEX('Ark4'!$A$22:$A$36,MATCH(X29,'Ark4'!$C$22:$C$36,-1),'Ark4'!$A$2),IF(AND(X13="B1",$E$3="AL 2 belastede leder",$E$4="70°C PVC"),INDEX('Ark4'!$A$22:$A$36,MATCH(X29,'Ark4'!$D$22:$D$36,-1),'Ark4'!$A$2),IF(AND(X13="B2",$E$3="AL 2 belastede leder",$E$4="70°C PVC"),INDEX('Ark4'!$A$22:$A$36,MATCH(X29,'Ark4'!$E$22:$E$36,-1),'Ark4'!$A$2),IF(AND(X13="C",$E$3="AL 2 belastede leder",$E$4="70°C PVC"),INDEX('Ark4'!$A$22:$A$36,MATCH(X29,'Ark4'!$F$22:$F$36,-1),'Ark4'!$A$2),IF(AND(X13="D1",$E$3="AL 2 belastede leder",$E$4="70°C PVC"),INDEX('Ark4'!$A$22:$A$36,MATCH(X29,'Ark4'!$G$22:$G$36,-1),'Ark4'!$A$2),IF(AND(X13="D2",$E$3="AL 2 belastede leder",$E$4="70°C PVC"),INDEX('Ark4'!$A$22:$A$36,MATCH(X29,'Ark4'!$H$22:$H$36,-1),'Ark4'!$A$2),IF(AND(X13="A1",$E$3="CU 2 belastede leder",$E$4="90°C XLPE &amp; EPR"),INDEX('Ark4'!$A$4:$A$19,MATCH(X29,'Ark4'!$J$4:$J$19,-1),'Ark4'!$A$2),IF(AND(X13="A2",$E$3="CU 2 belastede leder",$E$4="90°C XLPE &amp; EPR"),INDEX('Ark4'!$A$4:$A$19,MATCH(X29,'Ark4'!$K$4:$K$19,-1),'Ark4'!$A$2),IF(AND(X13="B1",$E$3="CU 2 belastede leder",$E$4="90°C XLPE &amp; EPR"),INDEX('Ark4'!$A$4:$A$19,MATCH(X29,'Ark4'!$L$4:$L$19,-1),'Ark4'!$A$2),IF(AND(X13="B2",$E$3="CU 2 belastede leder",$E$4="90°C XLPE &amp; EPR"),INDEX('Ark4'!$A$4:$A$19,MATCH(X29,'Ark4'!$M$4:$M$19,-1),'Ark4'!$A$2),IF(AND(X13="C",$E$3="CU 2 belastede leder",$E$4="90°C XLPE &amp; EPR"),INDEX('Ark4'!$A$4:$A$19,MATCH(X29,'Ark4'!$N$4:$N$19,-1),'Ark4'!$A$2),IF(AND(X13="D1",$E$3="CU 2 belastede leder",$E$4="90°C XLPE &amp; EPR"),INDEX('Ark4'!$A$4:$A$19,MATCH(X29,'Ark4'!$O$4:$O$19,-1),'Ark4'!$A$2),IF(AND(X13="D2",$E$3="CU 2 belastede leder",$E$4="90°C XLPE &amp; EPR"),INDEX('Ark4'!$A$4:$A$19,MATCH(X29,'Ark4'!$P$4:$P$19,-1),'Ark4'!$A$2),IF(AND(X13="A1",$E$3="AL 2 belastede leder",$E$4="90°C XLPE &amp; EPR"),INDEX('Ark4'!$A$22:$A$36,MATCH(X29,'Ark4'!$J$22:$J$36,-1),'Ark4'!$A$2),IF(AND(X13="A2",$E$3="AL 2 belastede leder",$E$4="90°C XLPE &amp; EPR"),INDEX('Ark4'!$A$22:$A$36,MATCH(X29,'Ark4'!$K$22:$K$36,-1),'Ark4'!$A$2),IF(AND(X13="B1",$E$3="AL 2 belastede leder",$E$4="90°C XLPE &amp; EPR"),INDEX('Ark4'!$A$22:$A$36,MATCH(X29,'Ark4'!$L$22:$L$36,-1),'Ark4'!$A$2),IF(AND(X13="B2",$E$3="AL 2 belastede leder",$E$4="90°C XLPE &amp; EPR"),INDEX('Ark4'!$A$22:$A$36,MATCH(X29,'Ark4'!$M$22:$M$36,-1),'Ark4'!$A$2),IF(AND(X13="C",$E$3="AL 2 belastede leder",$E$4="90°C XLPE &amp; EPR"),INDEX('Ark4'!$A$22:$A$36,MATCH(X29,'Ark4'!$N$22:$N$36,-1),'Ark4'!$A$2),IF(AND(X13="D1",$E$3="AL 2 belastede leder",$E$4="90°C XLPE &amp; EPR"),INDEX('Ark4'!$A$22:$A$36,MATCH(X29,'Ark4'!$O$22:$O$36,-1),'Ark4'!$A$2),IF(AND(X13="D2",$E$3="AL 2 belastede leder",$E$4="90°C XLPE &amp; EPR"),INDEX('Ark4'!$A$22:$A$36,MATCH(X29,'Ark4'!$P$22:$P$36,-1),'Ark4'!$A$2),IF(AND(X13="A1",$E$3="CU 3 belastede leder",$E$4="70°C PVC"),INDEX('Ark4'!$A$4:$A$19,MATCH(X29,'Ark4'!$R$4:$R$19,-1),'Ark4'!$A$2),IF(AND(X13="A2",$E$3="CU 3 belastede leder",$E$4="70°C PVC"),INDEX('Ark4'!$A$4:$A$19,MATCH(X29,'Ark4'!$S$4:$S$19,-1),'Ark4'!$A$2),IF(AND(X13="B1",$E$3="CU 3 belastede leder",$E$4="70°C PVC"),INDEX('Ark4'!$A$4:$A$19,MATCH(X29,'Ark4'!$T$4:$T$19,-1),'Ark4'!$A$2),IF(AND(X13="B2",$E$3="CU 3 belastede leder",$E$4="70°C PVC"),INDEX('Ark4'!$A$4:$A$19,MATCH(X29,'Ark4'!$U$4:$U$19,-1),'Ark4'!$A$2),IF(AND(X13="C",$E$3="CU 3 belastede leder",$E$4="70°C PVC"),INDEX('Ark4'!$A$4:$A$19,MATCH(X29,'Ark4'!$V$4:$V$19,-1),'Ark4'!$A$2),IF(AND(X13="D1",$E$3="CU 3 belastede leder",$E$4="70°C PVC"),INDEX('Ark4'!$A$4:$A$19,MATCH(X29,'Ark4'!$W$4:$W$19,-1),'Ark4'!$A$2),IF(AND(X13="D2",$E$3="CU 3 belastede leder",$E$4="70°C PVC"),INDEX('Ark4'!$A$4:$A$19,MATCH(X29,'Ark4'!$X$4:$X$19,-1),'Ark4'!$A$2),IF(AND(X13="A1",$E$3="AL 3 belastede leder",$E$4="70°C PVC"),INDEX('Ark4'!$A$22:$A$36,MATCH(X29,'Ark4'!$R$22:$R$36,-1),'Ark4'!$A$2),IF(AND(X13="A2",$E$3="AL 3 belastede leder",$E$4="70°C PVC"),INDEX('Ark4'!$A$22:$A$36,MATCH(X29,'Ark4'!$S$22:$S$36,-1),'Ark4'!$A$2),IF(AND(X13="B1",$E$3="AL 3 belastede leder",$E$4="70°C PVC"),INDEX('Ark4'!$A$22:$A$36,MATCH(X29,'Ark4'!$T$22:$T$36,-1),'Ark4'!$A$2),IF(AND(X13="B2",$E$3="AL 3 belastede leder",$E$4="70°C PVC"),INDEX('Ark4'!$A$22:$A$36,MATCH(X29,'Ark4'!$U$22:$U$36,-1),'Ark4'!$A$2),IF(AND(X13="C",$E$3="AL 3 belastede leder",$E$4="70°C PVC"),INDEX('Ark4'!$A$22:$A$36,MATCH(X29,'Ark4'!$V$22:$V$36,-1),'Ark4'!$A$2),IF(AND(X13="D1",$E$3="AL 3 belastede leder",$E$4="70°C PVC"),INDEX('Ark4'!$A$22:$A$36,MATCH(X29,'Ark4'!$W$22:$W$36,-1),'Ark4'!$A$2),IF(AND(X13="D2",$E$3="AL 3 belastede leder",$E$4="70°C PVC"),INDEX('Ark4'!$A$22:$A$36,MATCH(X29,'Ark4'!$X$22:$X$36,-1),'Ark4'!$A$2),IF(AND(X13="A1",$E$3="CU 3 belastede leder",$E$4="90°C XLPE &amp; EPR"),INDEX('Ark4'!$A$4:$A$19,MATCH(X29,'Ark4'!$Z$4:$Z$19,-1),'Ark4'!$A$2),IF(AND(X13="A2",$E$3="CU 3 belastede leder",$E$4="90°C XLPE &amp; EPR"),INDEX('Ark4'!$A$4:$A$19,MATCH(X29,'Ark4'!$AA$4:$AA$19,-1),'Ark4'!$A$2),IF(AND(X13="B1",$E$3="CU 3 belastede leder",$E$4="90°C XLPE &amp; EPR"),INDEX('Ark4'!$A$4:$A$19,MATCH(X29,'Ark4'!$AB$4:$AB$19,-1),'Ark4'!$A$2),IF(AND(X13="B2",$E$3="CU 3 belastede leder",$E$4="90°C XLPE &amp; EPR"),INDEX('Ark4'!$A$4:$A$19,MATCH(X29,'Ark4'!$AC$4:$AC$19,-1),'Ark4'!$A$2),IF(AND(X13="C",$E$3="CU 3 belastede leder",$E$4="90°C XLPE &amp; EPR"),INDEX('Ark4'!$A$4:$A$19,MATCH(X29,'Ark4'!$AD$4:$AD$19,-1),'Ark4'!$A$2),IF(AND(X13="D1",$E$3="CU 3 belastede leder",$E$4="90°C XLPE &amp; EPR"),INDEX('Ark4'!$A$4:$A$19,MATCH(X29,'Ark4'!$AE$4:$AE$19,-1),'Ark4'!$A$2),IF(AND(X13="D2",$E$3="CU 3 belastede leder",$E$4="90°C XLPE &amp; EPR"),INDEX('Ark4'!$A$4:$A$19,MATCH(X29,'Ark4'!$AF$4:$AF$19,-1),'Ark4'!$A$2),IF(AND(X13="A1",$E$3="AL 3 belastede leder",$E$4="90°C XLPE &amp; EPR"),INDEX('Ark4'!$A$22:$A$36,MATCH(X29,'Ark4'!$Z$22:$Z$36,-1),'Ark4'!$A$2),IF(AND(X13="A2",$E$3="AL 3 belastede leder",$E$4="90°C XLPE &amp; EPR"),INDEX('Ark4'!$A$22:$A$36,MATCH(X29,'Ark4'!$AA$22:$AA$36,-1),'Ark4'!$A$2),IF(AND(X13="B1",$E$3="AL 3 belastede leder",$E$4="90°C XLPE &amp; EPR"),INDEX('Ark4'!$A$22:$A$36,MATCH(X29,'Ark4'!$AB$22:$AB$36,-1),'Ark4'!$A$2),IF(AND(X13="B2",$E$3="AL 3 belastede leder",$E$4="90°C XLPE &amp; EPR"),INDEX('Ark4'!$A$22:$A$36,MATCH(X29,'Ark4'!$AC$22:$AC$36,-1),'Ark4'!$A$2),IF(AND(X13="C",$E$3="AL 3 belastede leder",$E$4="90°C XLPE &amp; EPR"),INDEX('Ark4'!$A$22:$A$36,MATCH(X29,'Ark4'!$AD$22:$AD$36,-1),'Ark4'!$A$2),IF(AND(X13="D1",$E$3="AL 3 belastede leder",$E$4="90°C XLPE &amp; EPR"),INDEX('Ark4'!$A$22:$A$36,MATCH(X29,'Ark4'!$AE$22:$AE$36,-1),'Ark4'!$A$2),IF(AND(X13="D2",$E$3="AL 3 belastede leder",$E$4="90°C XLPE &amp; EPR"),INDEX('Ark4'!$A$22:$A$36,MATCH(X29,'Ark4'!$AF$22:$AF$36,-1),'Ark4'!$A$2),""))))))))))))))))))))))))))))))))))))))))))))))))))))))))</f>
        <v>25</v>
      </c>
      <c r="Y39" s="122" t="s">
        <v>143</v>
      </c>
      <c r="Z39" s="121">
        <f>IF(AND($E$3="CU 2 belastede leder",$E$4="70°C PVC",OR(X13="A1",X13="A2",X13="B1",X13="B2",X13="C",X13="D1",X13="D2")),INDEX('Ark4'!$B$4:$H$19,MATCH('Ark1'!X39,'Ark4'!$A$4:$A$19,0),MATCH('Ark1'!X13,'Ark4'!$B$3:$H$3,0)),IF(AND($E$3="AL 2 belastede leder",$E$4="70°C PVC",OR(X13="A1",X13="A2",X13="B1",X13="B2",X13="C",X13="D1",X13="D2")),INDEX('Ark4'!$B$22:$H$36,MATCH('Ark1'!X39,'Ark4'!$A$22:$A$36,0),MATCH('Ark1'!X13,'Ark4'!$B$21:$H$21,0)),IF(AND($E$3="CU 3 belastede leder",$E$4="70°C PVC",OR(X13="A1",X13="A2",X13="B1",X13="B2",X13="C",X13="D1",X13="D2")),INDEX('Ark4'!$R$4:$X$19,MATCH('Ark1'!X39,'Ark4'!$A$4:$A$19,0),MATCH('Ark1'!X13,'Ark4'!$R$3:$X$3,0)),IF(AND($E$3="AL 3 belastede leder",$E$4="70°C PVC",OR(X13="A1",X13="A2",X13="B1",X13="B2",X13="C",X13="D1",X13="D2")),INDEX('Ark4'!$R$22:$X$36,MATCH('Ark1'!X39,'Ark4'!$A$22:$A$36,0),MATCH('Ark1'!X13,'Ark4'!$R$21:$X$21,0)),IF(AND($E$3="CU 2 belastede leder",$E$4="90°C XLPE &amp; EPR",OR(X13="A1",X13="A2",X13="B1",X13="B2",X13="C",X13="D1",X13="D2")),INDEX('Ark4'!$J$4:$P$19,MATCH('Ark1'!X39,'Ark4'!$A$4:$A$19,0),MATCH('Ark1'!X13,'Ark4'!$J$3:$P$3,0)),IF(AND($E$3="AL 2 belastede leder",$E$4="90°C XLPE &amp; EPR",OR(X13="A1",X13="A2",X13="B1",X13="B2",X13="C",X13="D1",X13="D2")),INDEX('Ark4'!$J$22:$P$36,MATCH('Ark1'!X39,'Ark4'!$A$22:$A$36,0),MATCH('Ark1'!X13,'Ark4'!$J$21:$P$21,0)),IF(AND($E$3="CU 3 belastede leder",$E$4="90°C XLPE &amp; EPR",OR(X13="A1",X13="A2",X13="B1",X13="B2",X13="C",X13="D1",X13="D2")),INDEX('Ark4'!$Z$4:$AF$19,MATCH('Ark1'!X39,'Ark4'!$A$4:$A$19,0),MATCH('Ark1'!X13,'Ark4'!$Z$3:$AF$3,0)),IF(AND($E$3="AL 3 belastede leder",$E$4="90°C XLPE &amp; EPR",OR(X13="A1",X13="A2",X13="B1",X13="B2",X13="C",X13="D1",X13="D2")),INDEX('Ark4'!$Z$22:$AF$36,MATCH('Ark1'!X39,'Ark4'!$A$22:$A$36,0),MATCH('Ark1'!X13,'Ark4'!$Z$21:$AF$21,0)),""))))))))</f>
        <v>76</v>
      </c>
      <c r="AA39" s="129" t="s">
        <v>142</v>
      </c>
      <c r="AC39" s="129"/>
      <c r="AD39" s="118" t="s">
        <v>54</v>
      </c>
      <c r="AE39" s="129"/>
      <c r="AF39" s="121" t="e">
        <f>IF(AND(AF13="A1",$E$3="CU 2 belastede leder",$E$4="70°C PVC"),INDEX('Ark4'!$A$4:$A$19,MATCH(AF29,'Ark4'!$B$4:$B$19,-1),'Ark4'!$A$2),IF(AND(AF13="A2",$E$3="CU 2 belastede leder",$E$4="70°C PVC"),INDEX('Ark4'!$A$4:$A$19,MATCH(AF29,'Ark4'!$C$4:$C$19,-1),'Ark4'!$A$2),IF(AND(AF13="B1",$E$3="CU 2 belastede leder",$E$4="70°C PVC"),INDEX('Ark4'!$A$4:$A$19,MATCH(AF29,'Ark4'!$D$4:$D$19,-1),'Ark4'!$A$2),IF(AND(AF13="B2",$E$3="CU 2 belastede leder",$E$4="70°C PVC"),INDEX('Ark4'!$A$4:$A$19,MATCH(AF29,'Ark4'!$E$4:$E$19,-1),'Ark4'!$A$2),IF(AND(AF13="C",$E$3="CU 2 belastede leder",$E$4="70°C PVC"),INDEX('Ark4'!$A$4:$A$19,MATCH(AF29,'Ark4'!$F$4:$F$19,-1),'Ark4'!$A$2),IF(AND(AF13="D1",$E$3="CU 2 belastede leder",$E$4="70°C PVC"),INDEX('Ark4'!$A$4:$A$19,MATCH(AF29,'Ark4'!$G$4:$G$19,-1),'Ark4'!$A$2),IF(AND(AF13="D2",$E$3="CU 2 belastede leder",$E$4="70°C PVC"),INDEX('Ark4'!$A$4:$A$19,MATCH(AF29,'Ark4'!$H$4:$H$19,-1),'Ark4'!$A$2),IF(AND(AF13="A1",$E$3="AL 2 belastede leder",$E$4="70°C PVC"),INDEX('Ark4'!$A$22:$A$36,MATCH(AF29,'Ark4'!$B$22:$B$36,-1),'Ark4'!$A$2),IF(AND(AF13="A2",$E$3="AL 2 belastede leder",$E$4="70°C PVC"),INDEX('Ark4'!$A$22:$A$36,MATCH(AF29,'Ark4'!$C$22:$C$36,-1),'Ark4'!$A$2),IF(AND(AF13="B1",$E$3="AL 2 belastede leder",$E$4="70°C PVC"),INDEX('Ark4'!$A$22:$A$36,MATCH(AF29,'Ark4'!$D$22:$D$36,-1),'Ark4'!$A$2),IF(AND(AF13="B2",$E$3="AL 2 belastede leder",$E$4="70°C PVC"),INDEX('Ark4'!$A$22:$A$36,MATCH(AF29,'Ark4'!$E$22:$E$36,-1),'Ark4'!$A$2),IF(AND(AF13="C",$E$3="AL 2 belastede leder",$E$4="70°C PVC"),INDEX('Ark4'!$A$22:$A$36,MATCH(AF29,'Ark4'!$F$22:$F$36,-1),'Ark4'!$A$2),IF(AND(AF13="D1",$E$3="AL 2 belastede leder",$E$4="70°C PVC"),INDEX('Ark4'!$A$22:$A$36,MATCH(AF29,'Ark4'!$G$22:$G$36,-1),'Ark4'!$A$2),IF(AND(AF13="D2",$E$3="AL 2 belastede leder",$E$4="70°C PVC"),INDEX('Ark4'!$A$22:$A$36,MATCH(AF29,'Ark4'!$H$22:$H$36,-1),'Ark4'!$A$2),IF(AND(AF13="A1",$E$3="CU 2 belastede leder",$E$4="90°C XLPE &amp; EPR"),INDEX('Ark4'!$A$4:$A$19,MATCH(AF29,'Ark4'!$J$4:$J$19,-1),'Ark4'!$A$2),IF(AND(AF13="A2",$E$3="CU 2 belastede leder",$E$4="90°C XLPE &amp; EPR"),INDEX('Ark4'!$A$4:$A$19,MATCH(AF29,'Ark4'!$K$4:$K$19,-1),'Ark4'!$A$2),IF(AND(AF13="B1",$E$3="CU 2 belastede leder",$E$4="90°C XLPE &amp; EPR"),INDEX('Ark4'!$A$4:$A$19,MATCH(AF29,'Ark4'!$L$4:$L$19,-1),'Ark4'!$A$2),IF(AND(AF13="B2",$E$3="CU 2 belastede leder",$E$4="90°C XLPE &amp; EPR"),INDEX('Ark4'!$A$4:$A$19,MATCH(AF29,'Ark4'!$M$4:$M$19,-1),'Ark4'!$A$2),IF(AND(AF13="C",$E$3="CU 2 belastede leder",$E$4="90°C XLPE &amp; EPR"),INDEX('Ark4'!$A$4:$A$19,MATCH(AF29,'Ark4'!$N$4:$N$19,-1),'Ark4'!$A$2),IF(AND(AF13="D1",$E$3="CU 2 belastede leder",$E$4="90°C XLPE &amp; EPR"),INDEX('Ark4'!$A$4:$A$19,MATCH(AF29,'Ark4'!$O$4:$O$19,-1),'Ark4'!$A$2),IF(AND(AF13="D2",$E$3="CU 2 belastede leder",$E$4="90°C XLPE &amp; EPR"),INDEX('Ark4'!$A$4:$A$19,MATCH(AF29,'Ark4'!$P$4:$P$19,-1),'Ark4'!$A$2),IF(AND(AF13="A1",$E$3="AL 2 belastede leder",$E$4="90°C XLPE &amp; EPR"),INDEX('Ark4'!$A$22:$A$36,MATCH(AF29,'Ark4'!$J$22:$J$36,-1),'Ark4'!$A$2),IF(AND(AF13="A2",$E$3="AL 2 belastede leder",$E$4="90°C XLPE &amp; EPR"),INDEX('Ark4'!$A$22:$A$36,MATCH(AF29,'Ark4'!$K$22:$K$36,-1),'Ark4'!$A$2),IF(AND(AF13="B1",$E$3="AL 2 belastede leder",$E$4="90°C XLPE &amp; EPR"),INDEX('Ark4'!$A$22:$A$36,MATCH(AF29,'Ark4'!$L$22:$L$36,-1),'Ark4'!$A$2),IF(AND(AF13="B2",$E$3="AL 2 belastede leder",$E$4="90°C XLPE &amp; EPR"),INDEX('Ark4'!$A$22:$A$36,MATCH(AF29,'Ark4'!$M$22:$M$36,-1),'Ark4'!$A$2),IF(AND(AF13="C",$E$3="AL 2 belastede leder",$E$4="90°C XLPE &amp; EPR"),INDEX('Ark4'!$A$22:$A$36,MATCH(AF29,'Ark4'!$N$22:$N$36,-1),'Ark4'!$A$2),IF(AND(AF13="D1",$E$3="AL 2 belastede leder",$E$4="90°C XLPE &amp; EPR"),INDEX('Ark4'!$A$22:$A$36,MATCH(AF29,'Ark4'!$O$22:$O$36,-1),'Ark4'!$A$2),IF(AND(AF13="D2",$E$3="AL 2 belastede leder",$E$4="90°C XLPE &amp; EPR"),INDEX('Ark4'!$A$22:$A$36,MATCH(AF29,'Ark4'!$P$22:$P$36,-1),'Ark4'!$A$2),IF(AND(AF13="A1",$E$3="CU 3 belastede leder",$E$4="70°C PVC"),INDEX('Ark4'!$A$4:$A$19,MATCH(AF29,'Ark4'!$R$4:$R$19,-1),'Ark4'!$A$2),IF(AND(AF13="A2",$E$3="CU 3 belastede leder",$E$4="70°C PVC"),INDEX('Ark4'!$A$4:$A$19,MATCH(AF29,'Ark4'!$S$4:$S$19,-1),'Ark4'!$A$2),IF(AND(AF13="B1",$E$3="CU 3 belastede leder",$E$4="70°C PVC"),INDEX('Ark4'!$A$4:$A$19,MATCH(AF29,'Ark4'!$T$4:$T$19,-1),'Ark4'!$A$2),IF(AND(AF13="B2",$E$3="CU 3 belastede leder",$E$4="70°C PVC"),INDEX('Ark4'!$A$4:$A$19,MATCH(AF29,'Ark4'!$U$4:$U$19,-1),'Ark4'!$A$2),IF(AND(AF13="C",$E$3="CU 3 belastede leder",$E$4="70°C PVC"),INDEX('Ark4'!$A$4:$A$19,MATCH(AF29,'Ark4'!$V$4:$V$19,-1),'Ark4'!$A$2),IF(AND(AF13="D1",$E$3="CU 3 belastede leder",$E$4="70°C PVC"),INDEX('Ark4'!$A$4:$A$19,MATCH(AF29,'Ark4'!$W$4:$W$19,-1),'Ark4'!$A$2),IF(AND(AF13="D2",$E$3="CU 3 belastede leder",$E$4="70°C PVC"),INDEX('Ark4'!$A$4:$A$19,MATCH(AF29,'Ark4'!$X$4:$X$19,-1),'Ark4'!$A$2),IF(AND(AF13="A1",$E$3="AL 3 belastede leder",$E$4="70°C PVC"),INDEX('Ark4'!$A$22:$A$36,MATCH(AF29,'Ark4'!$R$22:$R$36,-1),'Ark4'!$A$2),IF(AND(AF13="A2",$E$3="AL 3 belastede leder",$E$4="70°C PVC"),INDEX('Ark4'!$A$22:$A$36,MATCH(AF29,'Ark4'!$S$22:$S$36,-1),'Ark4'!$A$2),IF(AND(AF13="B1",$E$3="AL 3 belastede leder",$E$4="70°C PVC"),INDEX('Ark4'!$A$22:$A$36,MATCH(AF29,'Ark4'!$T$22:$T$36,-1),'Ark4'!$A$2),IF(AND(AF13="B2",$E$3="AL 3 belastede leder",$E$4="70°C PVC"),INDEX('Ark4'!$A$22:$A$36,MATCH(AF29,'Ark4'!$U$22:$U$36,-1),'Ark4'!$A$2),IF(AND(AF13="C",$E$3="AL 3 belastede leder",$E$4="70°C PVC"),INDEX('Ark4'!$A$22:$A$36,MATCH(AF29,'Ark4'!$V$22:$V$36,-1),'Ark4'!$A$2),IF(AND(AF13="D1",$E$3="AL 3 belastede leder",$E$4="70°C PVC"),INDEX('Ark4'!$A$22:$A$36,MATCH(AF29,'Ark4'!$W$22:$W$36,-1),'Ark4'!$A$2),IF(AND(AF13="D2",$E$3="AL 3 belastede leder",$E$4="70°C PVC"),INDEX('Ark4'!$A$22:$A$36,MATCH(AF29,'Ark4'!$X$22:$X$36,-1),'Ark4'!$A$2),IF(AND(AF13="A1",$E$3="CU 3 belastede leder",$E$4="90°C XLPE &amp; EPR"),INDEX('Ark4'!$A$4:$A$19,MATCH(AF29,'Ark4'!$Z$4:$Z$19,-1),'Ark4'!$A$2),IF(AND(AF13="A2",$E$3="CU 3 belastede leder",$E$4="90°C XLPE &amp; EPR"),INDEX('Ark4'!$A$4:$A$19,MATCH(AF29,'Ark4'!$AA$4:$AA$19,-1),'Ark4'!$A$2),IF(AND(AF13="B1",$E$3="CU 3 belastede leder",$E$4="90°C XLPE &amp; EPR"),INDEX('Ark4'!$A$4:$A$19,MATCH(AF29,'Ark4'!$AB$4:$AB$19,-1),'Ark4'!$A$2),IF(AND(AF13="B2",$E$3="CU 3 belastede leder",$E$4="90°C XLPE &amp; EPR"),INDEX('Ark4'!$A$4:$A$19,MATCH(AF29,'Ark4'!$AC$4:$AC$19,-1),'Ark4'!$A$2),IF(AND(AF13="C",$E$3="CU 3 belastede leder",$E$4="90°C XLPE &amp; EPR"),INDEX('Ark4'!$A$4:$A$19,MATCH(AF29,'Ark4'!$AD$4:$AD$19,-1),'Ark4'!$A$2),IF(AND(AF13="D1",$E$3="CU 3 belastede leder",$E$4="90°C XLPE &amp; EPR"),INDEX('Ark4'!$A$4:$A$19,MATCH(AF29,'Ark4'!$AE$4:$AE$19,-1),'Ark4'!$A$2),IF(AND(AF13="D2",$E$3="CU 3 belastede leder",$E$4="90°C XLPE &amp; EPR"),INDEX('Ark4'!$A$4:$A$19,MATCH(AF29,'Ark4'!$AF$4:$AF$19,-1),'Ark4'!$A$2),IF(AND(AF13="A1",$E$3="AL 3 belastede leder",$E$4="90°C XLPE &amp; EPR"),INDEX('Ark4'!$A$22:$A$36,MATCH(AF29,'Ark4'!$Z$22:$Z$36,-1),'Ark4'!$A$2),IF(AND(AF13="A2",$E$3="AL 3 belastede leder",$E$4="90°C XLPE &amp; EPR"),INDEX('Ark4'!$A$22:$A$36,MATCH(AF29,'Ark4'!$AA$22:$AA$36,-1),'Ark4'!$A$2),IF(AND(AF13="B1",$E$3="AL 3 belastede leder",$E$4="90°C XLPE &amp; EPR"),INDEX('Ark4'!$A$22:$A$36,MATCH(AF29,'Ark4'!$AB$22:$AB$36,-1),'Ark4'!$A$2),IF(AND(AF13="B2",$E$3="AL 3 belastede leder",$E$4="90°C XLPE &amp; EPR"),INDEX('Ark4'!$A$22:$A$36,MATCH(AF29,'Ark4'!$AC$22:$AC$36,-1),'Ark4'!$A$2),IF(AND(AF13="C",$E$3="AL 3 belastede leder",$E$4="90°C XLPE &amp; EPR"),INDEX('Ark4'!$A$22:$A$36,MATCH(AF29,'Ark4'!$AD$22:$AD$36,-1),'Ark4'!$A$2),IF(AND(AF13="D1",$E$3="AL 3 belastede leder",$E$4="90°C XLPE &amp; EPR"),INDEX('Ark4'!$A$22:$A$36,MATCH(AF29,'Ark4'!$AE$22:$AE$36,-1),'Ark4'!$A$2),IF(AND(AF13="D2",$E$3="AL 3 belastede leder",$E$4="90°C XLPE &amp; EPR"),INDEX('Ark4'!$A$22:$A$36,MATCH(AF29,'Ark4'!$AF$22:$AF$36,-1),'Ark4'!$A$2),""))))))))))))))))))))))))))))))))))))))))))))))))))))))))</f>
        <v>#N/A</v>
      </c>
      <c r="AG39" s="122" t="s">
        <v>143</v>
      </c>
      <c r="AH39" s="121" t="e">
        <f>IF(AND($E$3="CU 2 belastede leder",$E$4="70°C PVC",OR(AF13="A1",AF13="A2",AF13="B1",AF13="B2",AF13="C",AF13="D1",AF13="D2")),INDEX('Ark4'!$B$4:$H$19,MATCH('Ark1'!AF39,'Ark4'!$A$4:$A$19,0),MATCH('Ark1'!AF13,'Ark4'!$B$3:$H$3,0)),IF(AND($E$3="AL 2 belastede leder",$E$4="70°C PVC",OR(AF13="A1",AF13="A2",AF13="B1",AF13="B2",AF13="C",AF13="D1",AF13="D2")),INDEX('Ark4'!$B$22:$H$36,MATCH('Ark1'!AF39,'Ark4'!$A$22:$A$36,0),MATCH('Ark1'!AF13,'Ark4'!$B$21:$H$21,0)),IF(AND($E$3="CU 3 belastede leder",$E$4="70°C PVC",OR(AF13="A1",AF13="A2",AF13="B1",AF13="B2",AF13="C",AF13="D1",AF13="D2")),INDEX('Ark4'!$R$4:$X$19,MATCH('Ark1'!AF39,'Ark4'!$A$4:$A$19,0),MATCH('Ark1'!AF13,'Ark4'!$R$3:$X$3,0)),IF(AND($E$3="AL 3 belastede leder",$E$4="70°C PVC",OR(AF13="A1",AF13="A2",AF13="B1",AF13="B2",AF13="C",AF13="D1",AF13="D2")),INDEX('Ark4'!$R$22:$X$36,MATCH('Ark1'!AF39,'Ark4'!$A$22:$A$36,0),MATCH('Ark1'!AF13,'Ark4'!$R$21:$X$21,0)),IF(AND($E$3="CU 2 belastede leder",$E$4="90°C XLPE &amp; EPR",OR(AF13="A1",AF13="A2",AF13="B1",AF13="B2",AF13="C",AF13="D1",AF13="D2")),INDEX('Ark4'!$J$4:$P$19,MATCH('Ark1'!AF39,'Ark4'!$A$4:$A$19,0),MATCH('Ark1'!AF13,'Ark4'!$J$3:$P$3,0)),IF(AND($E$3="AL 2 belastede leder",$E$4="90°C XLPE &amp; EPR",OR(AF13="A1",AF13="A2",AF13="B1",AF13="B2",AF13="C",AF13="D1",AF13="D2")),INDEX('Ark4'!$J$22:$P$36,MATCH('Ark1'!AF39,'Ark4'!$A$22:$A$36,0),MATCH('Ark1'!AF13,'Ark4'!$J$21:$P$21,0)),IF(AND($E$3="CU 3 belastede leder",$E$4="90°C XLPE &amp; EPR",OR(AF13="A1",AF13="A2",AF13="B1",AF13="B2",AF13="C",AF13="D1",AF13="D2")),INDEX('Ark4'!$Z$4:$AF$19,MATCH('Ark1'!AF39,'Ark4'!$A$4:$A$19,0),MATCH('Ark1'!AF13,'Ark4'!$Z$3:$AF$3,0)),IF(AND($E$3="AL 3 belastede leder",$E$4="90°C XLPE &amp; EPR",OR(AF13="A1",AF13="A2",AF13="B1",AF13="B2",AF13="C",AF13="D1",AF13="D2")),INDEX('Ark4'!$Z$22:$AF$36,MATCH('Ark1'!AF39,'Ark4'!$A$22:$A$36,0),MATCH('Ark1'!AF13,'Ark4'!$Z$21:$AF$21,0)),""))))))))</f>
        <v>#N/A</v>
      </c>
      <c r="AI39" s="129" t="s">
        <v>142</v>
      </c>
      <c r="AK39" s="129"/>
      <c r="AL39" s="118" t="s">
        <v>54</v>
      </c>
      <c r="AM39" s="129"/>
      <c r="AN39" s="121" t="e">
        <f>IF(AND(AN13="A1",$E$3="CU 2 belastede leder",$E$4="70°C PVC"),INDEX('Ark4'!$A$4:$A$19,MATCH(AN29,'Ark4'!$B$4:$B$19,-1),'Ark4'!$A$2),IF(AND(AN13="A2",$E$3="CU 2 belastede leder",$E$4="70°C PVC"),INDEX('Ark4'!$A$4:$A$19,MATCH(AN29,'Ark4'!$C$4:$C$19,-1),'Ark4'!$A$2),IF(AND(AN13="B1",$E$3="CU 2 belastede leder",$E$4="70°C PVC"),INDEX('Ark4'!$A$4:$A$19,MATCH(AN29,'Ark4'!$D$4:$D$19,-1),'Ark4'!$A$2),IF(AND(AN13="B2",$E$3="CU 2 belastede leder",$E$4="70°C PVC"),INDEX('Ark4'!$A$4:$A$19,MATCH(AN29,'Ark4'!$E$4:$E$19,-1),'Ark4'!$A$2),IF(AND(AN13="C",$E$3="CU 2 belastede leder",$E$4="70°C PVC"),INDEX('Ark4'!$A$4:$A$19,MATCH(AN29,'Ark4'!$F$4:$F$19,-1),'Ark4'!$A$2),IF(AND(AN13="D1",$E$3="CU 2 belastede leder",$E$4="70°C PVC"),INDEX('Ark4'!$A$4:$A$19,MATCH(AN29,'Ark4'!$G$4:$G$19,-1),'Ark4'!$A$2),IF(AND(AN13="D2",$E$3="CU 2 belastede leder",$E$4="70°C PVC"),INDEX('Ark4'!$A$4:$A$19,MATCH(AN29,'Ark4'!$H$4:$H$19,-1),'Ark4'!$A$2),IF(AND(AN13="A1",$E$3="AL 2 belastede leder",$E$4="70°C PVC"),INDEX('Ark4'!$A$22:$A$36,MATCH(AN29,'Ark4'!$B$22:$B$36,-1),'Ark4'!$A$2),IF(AND(AN13="A2",$E$3="AL 2 belastede leder",$E$4="70°C PVC"),INDEX('Ark4'!$A$22:$A$36,MATCH(AN29,'Ark4'!$C$22:$C$36,-1),'Ark4'!$A$2),IF(AND(AN13="B1",$E$3="AL 2 belastede leder",$E$4="70°C PVC"),INDEX('Ark4'!$A$22:$A$36,MATCH(AN29,'Ark4'!$D$22:$D$36,-1),'Ark4'!$A$2),IF(AND(AN13="B2",$E$3="AL 2 belastede leder",$E$4="70°C PVC"),INDEX('Ark4'!$A$22:$A$36,MATCH(AN29,'Ark4'!$E$22:$E$36,-1),'Ark4'!$A$2),IF(AND(AN13="C",$E$3="AL 2 belastede leder",$E$4="70°C PVC"),INDEX('Ark4'!$A$22:$A$36,MATCH(AN29,'Ark4'!$F$22:$F$36,-1),'Ark4'!$A$2),IF(AND(AN13="D1",$E$3="AL 2 belastede leder",$E$4="70°C PVC"),INDEX('Ark4'!$A$22:$A$36,MATCH(AN29,'Ark4'!$G$22:$G$36,-1),'Ark4'!$A$2),IF(AND(AN13="D2",$E$3="AL 2 belastede leder",$E$4="70°C PVC"),INDEX('Ark4'!$A$22:$A$36,MATCH(AN29,'Ark4'!$H$22:$H$36,-1),'Ark4'!$A$2),IF(AND(AN13="A1",$E$3="CU 2 belastede leder",$E$4="90°C XLPE &amp; EPR"),INDEX('Ark4'!$A$4:$A$19,MATCH(AN29,'Ark4'!$J$4:$J$19,-1),'Ark4'!$A$2),IF(AND(AN13="A2",$E$3="CU 2 belastede leder",$E$4="90°C XLPE &amp; EPR"),INDEX('Ark4'!$A$4:$A$19,MATCH(AN29,'Ark4'!$K$4:$K$19,-1),'Ark4'!$A$2),IF(AND(AN13="B1",$E$3="CU 2 belastede leder",$E$4="90°C XLPE &amp; EPR"),INDEX('Ark4'!$A$4:$A$19,MATCH(AN29,'Ark4'!$L$4:$L$19,-1),'Ark4'!$A$2),IF(AND(AN13="B2",$E$3="CU 2 belastede leder",$E$4="90°C XLPE &amp; EPR"),INDEX('Ark4'!$A$4:$A$19,MATCH(AN29,'Ark4'!$M$4:$M$19,-1),'Ark4'!$A$2),IF(AND(AN13="C",$E$3="CU 2 belastede leder",$E$4="90°C XLPE &amp; EPR"),INDEX('Ark4'!$A$4:$A$19,MATCH(AN29,'Ark4'!$N$4:$N$19,-1),'Ark4'!$A$2),IF(AND(AN13="D1",$E$3="CU 2 belastede leder",$E$4="90°C XLPE &amp; EPR"),INDEX('Ark4'!$A$4:$A$19,MATCH(AN29,'Ark4'!$O$4:$O$19,-1),'Ark4'!$A$2),IF(AND(AN13="D2",$E$3="CU 2 belastede leder",$E$4="90°C XLPE &amp; EPR"),INDEX('Ark4'!$A$4:$A$19,MATCH(AN29,'Ark4'!$P$4:$P$19,-1),'Ark4'!$A$2),IF(AND(AN13="A1",$E$3="AL 2 belastede leder",$E$4="90°C XLPE &amp; EPR"),INDEX('Ark4'!$A$22:$A$36,MATCH(AN29,'Ark4'!$J$22:$J$36,-1),'Ark4'!$A$2),IF(AND(AN13="A2",$E$3="AL 2 belastede leder",$E$4="90°C XLPE &amp; EPR"),INDEX('Ark4'!$A$22:$A$36,MATCH(AN29,'Ark4'!$K$22:$K$36,-1),'Ark4'!$A$2),IF(AND(AN13="B1",$E$3="AL 2 belastede leder",$E$4="90°C XLPE &amp; EPR"),INDEX('Ark4'!$A$22:$A$36,MATCH(AN29,'Ark4'!$L$22:$L$36,-1),'Ark4'!$A$2),IF(AND(AN13="B2",$E$3="AL 2 belastede leder",$E$4="90°C XLPE &amp; EPR"),INDEX('Ark4'!$A$22:$A$36,MATCH(AN29,'Ark4'!$M$22:$M$36,-1),'Ark4'!$A$2),IF(AND(AN13="C",$E$3="AL 2 belastede leder",$E$4="90°C XLPE &amp; EPR"),INDEX('Ark4'!$A$22:$A$36,MATCH(AN29,'Ark4'!$N$22:$N$36,-1),'Ark4'!$A$2),IF(AND(AN13="D1",$E$3="AL 2 belastede leder",$E$4="90°C XLPE &amp; EPR"),INDEX('Ark4'!$A$22:$A$36,MATCH(AN29,'Ark4'!$O$22:$O$36,-1),'Ark4'!$A$2),IF(AND(AN13="D2",$E$3="AL 2 belastede leder",$E$4="90°C XLPE &amp; EPR"),INDEX('Ark4'!$A$22:$A$36,MATCH(AN29,'Ark4'!$P$22:$P$36,-1),'Ark4'!$A$2),IF(AND(AN13="A1",$E$3="CU 3 belastede leder",$E$4="70°C PVC"),INDEX('Ark4'!$A$4:$A$19,MATCH(AN29,'Ark4'!$R$4:$R$19,-1),'Ark4'!$A$2),IF(AND(AN13="A2",$E$3="CU 3 belastede leder",$E$4="70°C PVC"),INDEX('Ark4'!$A$4:$A$19,MATCH(AN29,'Ark4'!$S$4:$S$19,-1),'Ark4'!$A$2),IF(AND(AN13="B1",$E$3="CU 3 belastede leder",$E$4="70°C PVC"),INDEX('Ark4'!$A$4:$A$19,MATCH(AN29,'Ark4'!$T$4:$T$19,-1),'Ark4'!$A$2),IF(AND(AN13="B2",$E$3="CU 3 belastede leder",$E$4="70°C PVC"),INDEX('Ark4'!$A$4:$A$19,MATCH(AN29,'Ark4'!$U$4:$U$19,-1),'Ark4'!$A$2),IF(AND(AN13="C",$E$3="CU 3 belastede leder",$E$4="70°C PVC"),INDEX('Ark4'!$A$4:$A$19,MATCH(AN29,'Ark4'!$V$4:$V$19,-1),'Ark4'!$A$2),IF(AND(AN13="D1",$E$3="CU 3 belastede leder",$E$4="70°C PVC"),INDEX('Ark4'!$A$4:$A$19,MATCH(AN29,'Ark4'!$W$4:$W$19,-1),'Ark4'!$A$2),IF(AND(AN13="D2",$E$3="CU 3 belastede leder",$E$4="70°C PVC"),INDEX('Ark4'!$A$4:$A$19,MATCH(AN29,'Ark4'!$X$4:$X$19,-1),'Ark4'!$A$2),IF(AND(AN13="A1",$E$3="AL 3 belastede leder",$E$4="70°C PVC"),INDEX('Ark4'!$A$22:$A$36,MATCH(AN29,'Ark4'!$R$22:$R$36,-1),'Ark4'!$A$2),IF(AND(AN13="A2",$E$3="AL 3 belastede leder",$E$4="70°C PVC"),INDEX('Ark4'!$A$22:$A$36,MATCH(AN29,'Ark4'!$S$22:$S$36,-1),'Ark4'!$A$2),IF(AND(AN13="B1",$E$3="AL 3 belastede leder",$E$4="70°C PVC"),INDEX('Ark4'!$A$22:$A$36,MATCH(AN29,'Ark4'!$T$22:$T$36,-1),'Ark4'!$A$2),IF(AND(AN13="B2",$E$3="AL 3 belastede leder",$E$4="70°C PVC"),INDEX('Ark4'!$A$22:$A$36,MATCH(AN29,'Ark4'!$U$22:$U$36,-1),'Ark4'!$A$2),IF(AND(AN13="C",$E$3="AL 3 belastede leder",$E$4="70°C PVC"),INDEX('Ark4'!$A$22:$A$36,MATCH(AN29,'Ark4'!$V$22:$V$36,-1),'Ark4'!$A$2),IF(AND(AN13="D1",$E$3="AL 3 belastede leder",$E$4="70°C PVC"),INDEX('Ark4'!$A$22:$A$36,MATCH(AN29,'Ark4'!$W$22:$W$36,-1),'Ark4'!$A$2),IF(AND(AN13="D2",$E$3="AL 3 belastede leder",$E$4="70°C PVC"),INDEX('Ark4'!$A$22:$A$36,MATCH(AN29,'Ark4'!$X$22:$X$36,-1),'Ark4'!$A$2),IF(AND(AN13="A1",$E$3="CU 3 belastede leder",$E$4="90°C XLPE &amp; EPR"),INDEX('Ark4'!$A$4:$A$19,MATCH(AN29,'Ark4'!$Z$4:$Z$19,-1),'Ark4'!$A$2),IF(AND(AN13="A2",$E$3="CU 3 belastede leder",$E$4="90°C XLPE &amp; EPR"),INDEX('Ark4'!$A$4:$A$19,MATCH(AN29,'Ark4'!$AA$4:$AA$19,-1),'Ark4'!$A$2),IF(AND(AN13="B1",$E$3="CU 3 belastede leder",$E$4="90°C XLPE &amp; EPR"),INDEX('Ark4'!$A$4:$A$19,MATCH(AN29,'Ark4'!$AB$4:$AB$19,-1),'Ark4'!$A$2),IF(AND(AN13="B2",$E$3="CU 3 belastede leder",$E$4="90°C XLPE &amp; EPR"),INDEX('Ark4'!$A$4:$A$19,MATCH(AN29,'Ark4'!$AC$4:$AC$19,-1),'Ark4'!$A$2),IF(AND(AN13="C",$E$3="CU 3 belastede leder",$E$4="90°C XLPE &amp; EPR"),INDEX('Ark4'!$A$4:$A$19,MATCH(AN29,'Ark4'!$AD$4:$AD$19,-1),'Ark4'!$A$2),IF(AND(AN13="D1",$E$3="CU 3 belastede leder",$E$4="90°C XLPE &amp; EPR"),INDEX('Ark4'!$A$4:$A$19,MATCH(AN29,'Ark4'!$AE$4:$AE$19,-1),'Ark4'!$A$2),IF(AND(AN13="D2",$E$3="CU 3 belastede leder",$E$4="90°C XLPE &amp; EPR"),INDEX('Ark4'!$A$4:$A$19,MATCH(AN29,'Ark4'!$AF$4:$AF$19,-1),'Ark4'!$A$2),IF(AND(AN13="A1",$E$3="AL 3 belastede leder",$E$4="90°C XLPE &amp; EPR"),INDEX('Ark4'!$A$22:$A$36,MATCH(AN29,'Ark4'!$Z$22:$Z$36,-1),'Ark4'!$A$2),IF(AND(AN13="A2",$E$3="AL 3 belastede leder",$E$4="90°C XLPE &amp; EPR"),INDEX('Ark4'!$A$22:$A$36,MATCH(AN29,'Ark4'!$AA$22:$AA$36,-1),'Ark4'!$A$2),IF(AND(AN13="B1",$E$3="AL 3 belastede leder",$E$4="90°C XLPE &amp; EPR"),INDEX('Ark4'!$A$22:$A$36,MATCH(AN29,'Ark4'!$AB$22:$AB$36,-1),'Ark4'!$A$2),IF(AND(AN13="B2",$E$3="AL 3 belastede leder",$E$4="90°C XLPE &amp; EPR"),INDEX('Ark4'!$A$22:$A$36,MATCH(AN29,'Ark4'!$AC$22:$AC$36,-1),'Ark4'!$A$2),IF(AND(AN13="C",$E$3="AL 3 belastede leder",$E$4="90°C XLPE &amp; EPR"),INDEX('Ark4'!$A$22:$A$36,MATCH(AN29,'Ark4'!$AD$22:$AD$36,-1),'Ark4'!$A$2),IF(AND(AN13="D1",$E$3="AL 3 belastede leder",$E$4="90°C XLPE &amp; EPR"),INDEX('Ark4'!$A$22:$A$36,MATCH(AN29,'Ark4'!$AE$22:$AE$36,-1),'Ark4'!$A$2),IF(AND(AN13="D2",$E$3="AL 3 belastede leder",$E$4="90°C XLPE &amp; EPR"),INDEX('Ark4'!$A$22:$A$36,MATCH(AN29,'Ark4'!$AF$22:$AF$36,-1),'Ark4'!$A$2),""))))))))))))))))))))))))))))))))))))))))))))))))))))))))</f>
        <v>#N/A</v>
      </c>
      <c r="AO39" s="122" t="s">
        <v>143</v>
      </c>
      <c r="AP39" s="121" t="e">
        <f>IF(AND($E$3="CU 2 belastede leder",$E$4="70°C PVC",OR(AN13="A1",AN13="A2",AN13="B1",AN13="B2",AN13="C",AN13="D1",AN13="D2")),INDEX('Ark4'!$B$4:$H$19,MATCH('Ark1'!AN39,'Ark4'!$A$4:$A$19,0),MATCH('Ark1'!AN13,'Ark4'!$B$3:$H$3,0)),IF(AND($E$3="AL 2 belastede leder",$E$4="70°C PVC",OR(AN13="A1",AN13="A2",AN13="B1",AN13="B2",AN13="C",AN13="D1",AN13="D2")),INDEX('Ark4'!$B$22:$H$36,MATCH('Ark1'!AN39,'Ark4'!$A$22:$A$36,0),MATCH('Ark1'!AN13,'Ark4'!$B$21:$H$21,0)),IF(AND($E$3="CU 3 belastede leder",$E$4="70°C PVC",OR(AN13="A1",AN13="A2",AN13="B1",AN13="B2",AN13="C",AN13="D1",AN13="D2")),INDEX('Ark4'!$R$4:$X$19,MATCH('Ark1'!AN39,'Ark4'!$A$4:$A$19,0),MATCH('Ark1'!AN13,'Ark4'!$R$3:$X$3,0)),IF(AND($E$3="AL 3 belastede leder",$E$4="70°C PVC",OR(AN13="A1",AN13="A2",AN13="B1",AN13="B2",AN13="C",AN13="D1",AN13="D2")),INDEX('Ark4'!$R$22:$X$36,MATCH('Ark1'!AN39,'Ark4'!$A$22:$A$36,0),MATCH('Ark1'!AN13,'Ark4'!$R$21:$X$21,0)),IF(AND($E$3="CU 2 belastede leder",$E$4="90°C XLPE &amp; EPR",OR(AN13="A1",AN13="A2",AN13="B1",AN13="B2",AN13="C",AN13="D1",AN13="D2")),INDEX('Ark4'!$J$4:$P$19,MATCH('Ark1'!AN39,'Ark4'!$A$4:$A$19,0),MATCH('Ark1'!AN13,'Ark4'!$J$3:$P$3,0)),IF(AND($E$3="AL 2 belastede leder",$E$4="90°C XLPE &amp; EPR",OR(AN13="A1",AN13="A2",AN13="B1",AN13="B2",AN13="C",AN13="D1",AN13="D2")),INDEX('Ark4'!$J$22:$P$36,MATCH('Ark1'!AN39,'Ark4'!$A$22:$A$36,0),MATCH('Ark1'!AN13,'Ark4'!$J$21:$P$21,0)),IF(AND($E$3="CU 3 belastede leder",$E$4="90°C XLPE &amp; EPR",OR(AN13="A1",AN13="A2",AN13="B1",AN13="B2",AN13="C",AN13="D1",AN13="D2")),INDEX('Ark4'!$Z$4:$AF$19,MATCH('Ark1'!AN39,'Ark4'!$A$4:$A$19,0),MATCH('Ark1'!AN13,'Ark4'!$Z$3:$AF$3,0)),IF(AND($E$3="AL 3 belastede leder",$E$4="90°C XLPE &amp; EPR",OR(AN13="A1",AN13="A2",AN13="B1",AN13="B2",AN13="C",AN13="D1",AN13="D2")),INDEX('Ark4'!$Z$22:$AF$36,MATCH('Ark1'!AN39,'Ark4'!$A$22:$A$36,0),MATCH('Ark1'!AN13,'Ark4'!$Z$21:$AF$21,0)),""))))))))</f>
        <v>#N/A</v>
      </c>
      <c r="AQ39" s="129" t="s">
        <v>142</v>
      </c>
    </row>
    <row r="40" spans="2:43" ht="15" hidden="1" thickBot="1">
      <c r="F40" s="119" t="s">
        <v>54</v>
      </c>
      <c r="G40" s="128"/>
      <c r="H40" s="123" t="str">
        <f>IF(AND(H13="E",$E$3="CU 2 belastede leder",$E$4="70°C PVC"),INDEX('Ark4'!$A$47:$A$65,MATCH(H29,'Ark4'!$B$47:$B$65,-1),'Ark4'!$A$2),IF(AND(H13="F",$E$3="CU 2 belastede leder",$E$4="70°C PVC"),INDEX('Ark4'!$A$47:$A$65,MATCH(H29,'Ark4'!$C$47:$C$65,-1),'Ark4'!$A$2),IF(AND(H13="E",$E$3="CU 3 belastede leder",$E$4="70°C PVC"),INDEX('Ark4'!$A$47:$A$65,MATCH(H29,'Ark4'!$S$47:$S$65,-1),'Ark4'!$A$2),IF(AND(H13="F",$E$3="CU 3 belastede leder",$E$4="70°C PVC"),INDEX('Ark4'!$A$47:$A$65,MATCH(H29,'Ark4'!$T$47:$T$65,-1),'Ark4'!$A$2),IF(AND(H13="E",$E$3="CU 2 belastede leder",$E$4="90°C XLPE &amp; EPR"),INDEX('Ark4'!$A$47:$A$65,MATCH(H29,'Ark4'!$S$47:$S$65,-1),'Ark4'!$A$2),IF(AND(H13="F",$E$3="CU 2 belastede leder",$E$4="90°C XLPE &amp; EPR"),INDEX('Ark4'!$A$47:$A$65,MATCH(H29,'Ark4'!$T$47:$T$65,-1),'Ark4'!$A$2),IF(AND(H13="E",$E$3="CU 3 belastede leder",$E$4="90°C XLPE &amp; EPR"),INDEX('Ark4'!$A$47:$A$65,MATCH(H29,'Ark4'!$AA$47:$AA$65,-1),'Ark4'!$A$2),IF(AND(H13="F",$E$3="CU 3 belastede leder",$E$4="90°C XLPE &amp; EPR"),INDEX('Ark4'!$A$47:$A$65,MATCH(H29,'Ark4'!$AB$47:$AB$65,-1),'Ark4'!$A$2),IF(AND(H13="E",$E$3="AL 2 belastede leder",$E$4="70°C PVC"),INDEX('Ark4'!$A$68:$A$86,MATCH(H29,'Ark4'!$B$68:$B$86,-1),'Ark4'!$A$2),IF(AND(H13="F",$E$3="AL 2 belastede leder",$E$4="70°C PVC"),INDEX('Ark4'!$A$68:$A$86,MATCH(H29,'Ark4'!$C$68:$C$86,-1),'Ark4'!$A$2),IF(AND(H13="E",$E$3="AL 3 belastede leder",$E$4="70°C PVC"),INDEX('Ark4'!$A$68:$A$86,MATCH(H29,'Ark4'!$S$68:$S$86,-1),'Ark4'!$A$2),IF(AND(H13="F",$E$3="AL 3 belastede leder",$E$4="70°C PVC"),INDEX('Ark4'!$A$68:$A$86,MATCH(H29,'Ark4'!$T$68:$T$86,-1),'Ark4'!$A$2),IF(AND(H13="E",$E$3="AL 2 belastede leder",$E$4="90°C XLPE &amp; EPR"),INDEX('Ark4'!$A$68:$A$86,MATCH(H29,'Ark4'!$S$68:$S$86,-1),'Ark4'!$A$2),IF(AND(H13="F",$E$3="AL 2 belastede leder",$E$4="90°C XLPE &amp; EPR"),INDEX('Ark4'!$A$68:$A$86,MATCH(H29,'Ark4'!$T$68:$T$86,-1),'Ark4'!$A$2),IF(AND(H13="E",$E$3="AL 3 belastede leder",$E$4="90°C XLPE &amp; EPR"),INDEX('Ark4'!$A$68:$A$86,MATCH(H29,'Ark4'!$AA$68:$AA$86,-1),'Ark4'!$A$2),IF(AND(H13="F",$E$3="AL 3 belastede leder",$E$4="90°C XLPE &amp; EPR"),INDEX('Ark4'!$A$68:$A$86,MATCH(H29,'Ark4'!$AB$68:$AB$86,-1),'Ark4'!$A$2),""))))))))))))))))</f>
        <v/>
      </c>
      <c r="I40" s="124" t="s">
        <v>143</v>
      </c>
      <c r="J40" s="123" t="str">
        <f>IF(AND($E$3="CU 2 belastede leder",$E$4="70°C PVC",OR(H13="E",H13="F")),INDEX('Ark4'!$B$47:$H$65,MATCH('Ark1'!H40,'Ark4'!$A$47:$A$65,0),MATCH('Ark1'!H13,'Ark4'!$B$46:$H$46,0)),IF(AND($E$3="AL 2 belastede leder",$E$4="70°C PVC",OR(H13="E",H13="F")),INDEX('Ark4'!$B$68:$H$85,MATCH('Ark1'!H40,'Ark4'!$A$68:$A$85,0),MATCH('Ark1'!H13,'Ark4'!$B$67:$H$67,0)),IF(AND($E$3="CU 3 belastede leder",$E$4="70°C PVC",OR(H13="E",H13="F")),INDEX('Ark4'!$S$47:$Y$65,MATCH('Ark1'!H40,'Ark4'!$A$47:$A$65,0),MATCH('Ark1'!H13,'Ark4'!$S$46:$Y$46,0)),IF(AND($E$3="AL 3 belastede leder",$E$4="70°C PVC",OR(H13="E",H13="F")),INDEX('Ark4'!$S$68:$Y$85,MATCH('Ark1'!H40,'Ark4'!$A$68:$A$85,0),MATCH('Ark1'!H13,'Ark4'!$S$67:$Y$67,0)),IF(AND($E$3="CU 2 belastede leder",$E$4="90°C XLPE &amp; EPR",OR(H13="E",H13="F")),INDEX('Ark4'!$K$47:$Q$65,MATCH('Ark1'!H40,'Ark4'!$A$47:$A$65,0),MATCH('Ark1'!H13,'Ark4'!$K$46:$Q$46,0)),IF(AND($E$3="AL 2 belastede leder",$E$4="90°C XLPE &amp; EPR",OR(H13="E",H13="F")),INDEX('Ark4'!$K$68:$Q$85,MATCH('Ark1'!H40,'Ark4'!$A$68:$A$85,0),MATCH('Ark1'!H13,'Ark4'!$K$67:$Q$67,0)),IF(AND($E$3="CU 3 belastede leder",$E$4="90°C XLPE &amp; EPR",OR(H13="E",H13="F")),INDEX('Ark4'!$AA$47:$AG$65,MATCH('Ark1'!H40,'Ark4'!$A$47:$A$65,0),MATCH('Ark1'!H13,'Ark4'!$AA$46:$AG$46,0)),IF(AND($E$3="AL 3 belastede leder",$E$4="90°C XLPE &amp; EPR",OR(H13="E",H13="F")),INDEX('Ark4'!$AA$68:$AG$85,MATCH('Ark1'!H40,'Ark4'!$A$68:$A$85,0),MATCH('Ark1'!H13,'Ark4'!$AA$67:$AG$67,0)),""))))))))</f>
        <v/>
      </c>
      <c r="K40" s="128" t="s">
        <v>142</v>
      </c>
      <c r="M40" s="128"/>
      <c r="N40" s="119" t="s">
        <v>54</v>
      </c>
      <c r="O40" s="128"/>
      <c r="P40" s="123" t="str">
        <f>IF(AND(P13="E",$E$3="CU 2 belastede leder",$E$4="70°C PVC"),INDEX('Ark4'!$A$47:$A$65,MATCH(P29,'Ark4'!$B$47:$B$65,-1),'Ark4'!$A$2),IF(AND(P13="F",$E$3="CU 2 belastede leder",$E$4="70°C PVC"),INDEX('Ark4'!$A$47:$A$65,MATCH(P29,'Ark4'!$C$47:$C$65,-1),'Ark4'!$A$2),IF(AND(P13="E",$E$3="CU 3 belastede leder",$E$4="70°C PVC"),INDEX('Ark4'!$A$47:$A$65,MATCH(P29,'Ark4'!$S$47:$S$65,-1),'Ark4'!$A$2),IF(AND(P13="F",$E$3="CU 3 belastede leder",$E$4="70°C PVC"),INDEX('Ark4'!$A$47:$A$65,MATCH(P29,'Ark4'!$T$47:$T$65,-1),'Ark4'!$A$2),IF(AND(P13="E",$E$3="CU 2 belastede leder",$E$4="90°C XLPE &amp; EPR"),INDEX('Ark4'!$A$47:$A$65,MATCH(P29,'Ark4'!$S$47:$S$65,-1),'Ark4'!$A$2),IF(AND(P13="F",$E$3="CU 2 belastede leder",$E$4="90°C XLPE &amp; EPR"),INDEX('Ark4'!$A$47:$A$65,MATCH(P29,'Ark4'!$T$47:$T$65,-1),'Ark4'!$A$2),IF(AND(P13="E",$E$3="CU 3 belastede leder",$E$4="90°C XLPE &amp; EPR"),INDEX('Ark4'!$A$47:$A$65,MATCH(P29,'Ark4'!$AA$47:$AA$65,-1),'Ark4'!$A$2),IF(AND(P13="F",$E$3="CU 3 belastede leder",$E$4="90°C XLPE &amp; EPR"),INDEX('Ark4'!$A$47:$A$65,MATCH(P29,'Ark4'!$AB$47:$AB$65,-1),'Ark4'!$A$2),IF(AND(P13="E",$E$3="AL 2 belastede leder",$E$4="70°C PVC"),INDEX('Ark4'!$A$68:$A$86,MATCH(P29,'Ark4'!$B$68:$B$86,-1),'Ark4'!$A$2),IF(AND(P13="F",$E$3="AL 2 belastede leder",$E$4="70°C PVC"),INDEX('Ark4'!$A$68:$A$86,MATCH(P29,'Ark4'!$C$68:$C$86,-1),'Ark4'!$A$2),IF(AND(P13="E",$E$3="AL 3 belastede leder",$E$4="70°C PVC"),INDEX('Ark4'!$A$68:$A$86,MATCH(P29,'Ark4'!$S$68:$S$86,-1),'Ark4'!$A$2),IF(AND(P13="F",$E$3="AL 3 belastede leder",$E$4="70°C PVC"),INDEX('Ark4'!$A$68:$A$86,MATCH(P29,'Ark4'!$T$68:$T$86,-1),'Ark4'!$A$2),IF(AND(P13="E",$E$3="AL 2 belastede leder",$E$4="90°C XLPE &amp; EPR"),INDEX('Ark4'!$A$68:$A$86,MATCH(P29,'Ark4'!$S$68:$S$86,-1),'Ark4'!$A$2),IF(AND(P13="F",$E$3="AL 2 belastede leder",$E$4="90°C XLPE &amp; EPR"),INDEX('Ark4'!$A$68:$A$86,MATCH(P29,'Ark4'!$T$68:$T$86,-1),'Ark4'!$A$2),IF(AND(P13="E",$E$3="AL 3 belastede leder",$E$4="90°C XLPE &amp; EPR"),INDEX('Ark4'!$A$68:$A$86,MATCH(P29,'Ark4'!$AA$68:$AA$86,-1),'Ark4'!$A$2),IF(AND(P13="F",$E$3="AL 3 belastede leder",$E$4="90°C XLPE &amp; EPR"),INDEX('Ark4'!$A$68:$A$86,MATCH(P29,'Ark4'!$AB$68:$AB$86,-1),'Ark4'!$A$2),""))))))))))))))))</f>
        <v/>
      </c>
      <c r="Q40" s="124" t="s">
        <v>143</v>
      </c>
      <c r="R40" s="123" t="str">
        <f>IF(AND($E$3="CU 2 belastede leder",$E$4="70°C PVC",OR(P13="E",P13="F")),INDEX('Ark4'!$B$47:$H$65,MATCH('Ark1'!P40,'Ark4'!$A$47:$A$65,0),MATCH('Ark1'!P13,'Ark4'!$B$46:$H$46,0)),IF(AND($E$3="AL 2 belastede leder",$E$4="70°C PVC",OR(P13="E",P13="F")),INDEX('Ark4'!$B$68:$H$85,MATCH('Ark1'!P40,'Ark4'!$A$68:$A$85,0),MATCH('Ark1'!P13,'Ark4'!$B$67:$H$67,0)),IF(AND($E$3="CU 3 belastede leder",$E$4="70°C PVC",OR(P13="E",P13="F")),INDEX('Ark4'!$S$47:$Y$65,MATCH('Ark1'!P40,'Ark4'!$A$47:$A$65,0),MATCH('Ark1'!P13,'Ark4'!$S$46:$Y$46,0)),IF(AND($E$3="AL 3 belastede leder",$E$4="70°C PVC",OR(P13="E",P13="F")),INDEX('Ark4'!$S$68:$Y$85,MATCH('Ark1'!P40,'Ark4'!$A$68:$A$85,0),MATCH('Ark1'!P13,'Ark4'!$S$67:$Y$67,0)),IF(AND($E$3="CU 2 belastede leder",$E$4="90°C XLPE &amp; EPR",OR(P13="E",P13="F")),INDEX('Ark4'!$K$47:$Q$65,MATCH('Ark1'!P40,'Ark4'!$A$47:$A$65,0),MATCH('Ark1'!P13,'Ark4'!$K$46:$Q$46,0)),IF(AND($E$3="AL 2 belastede leder",$E$4="90°C XLPE &amp; EPR",OR(P13="E",P13="F")),INDEX('Ark4'!$K$68:$Q$85,MATCH('Ark1'!P40,'Ark4'!$A$68:$A$85,0),MATCH('Ark1'!P13,'Ark4'!$K$67:$Q$67,0)),IF(AND($E$3="CU 3 belastede leder",$E$4="90°C XLPE &amp; EPR",OR(P13="E",P13="F")),INDEX('Ark4'!$AA$47:$AG$65,MATCH('Ark1'!P40,'Ark4'!$A$47:$A$65,0),MATCH('Ark1'!P13,'Ark4'!$AA$46:$AG$46,0)),IF(AND($E$3="AL 3 belastede leder",$E$4="90°C XLPE &amp; EPR",OR(P13="E",P13="F")),INDEX('Ark4'!$AA$68:$AG$85,MATCH('Ark1'!P40,'Ark4'!$A$68:$A$85,0),MATCH('Ark1'!P13,'Ark4'!$AA$67:$AG$67,0)),""))))))))</f>
        <v/>
      </c>
      <c r="S40" s="128" t="s">
        <v>142</v>
      </c>
      <c r="U40" s="128"/>
      <c r="V40" s="119" t="s">
        <v>54</v>
      </c>
      <c r="W40" s="128"/>
      <c r="X40" s="123" t="str">
        <f>IF(AND(X13="E",$E$3="CU 2 belastede leder",$E$4="70°C PVC"),INDEX('Ark4'!$A$47:$A$65,MATCH(X29,'Ark4'!$B$47:$B$65,-1),'Ark4'!$A$2),IF(AND(X13="F",$E$3="CU 2 belastede leder",$E$4="70°C PVC"),INDEX('Ark4'!$A$47:$A$65,MATCH(X29,'Ark4'!$C$47:$C$65,-1),'Ark4'!$A$2),IF(AND(X13="E",$E$3="CU 3 belastede leder",$E$4="70°C PVC"),INDEX('Ark4'!$A$47:$A$65,MATCH(X29,'Ark4'!$S$47:$S$65,-1),'Ark4'!$A$2),IF(AND(X13="F",$E$3="CU 3 belastede leder",$E$4="70°C PVC"),INDEX('Ark4'!$A$47:$A$65,MATCH(X29,'Ark4'!$T$47:$T$65,-1),'Ark4'!$A$2),IF(AND(X13="E",$E$3="CU 2 belastede leder",$E$4="90°C XLPE &amp; EPR"),INDEX('Ark4'!$A$47:$A$65,MATCH(X29,'Ark4'!$S$47:$S$65,-1),'Ark4'!$A$2),IF(AND(X13="F",$E$3="CU 2 belastede leder",$E$4="90°C XLPE &amp; EPR"),INDEX('Ark4'!$A$47:$A$65,MATCH(X29,'Ark4'!$T$47:$T$65,-1),'Ark4'!$A$2),IF(AND(X13="E",$E$3="CU 3 belastede leder",$E$4="90°C XLPE &amp; EPR"),INDEX('Ark4'!$A$47:$A$65,MATCH(X29,'Ark4'!$AA$47:$AA$65,-1),'Ark4'!$A$2),IF(AND(X13="F",$E$3="CU 3 belastede leder",$E$4="90°C XLPE &amp; EPR"),INDEX('Ark4'!$A$47:$A$65,MATCH(X29,'Ark4'!$AB$47:$AB$65,-1),'Ark4'!$A$2),IF(AND(X13="E",$E$3="AL 2 belastede leder",$E$4="70°C PVC"),INDEX('Ark4'!$A$68:$A$86,MATCH(X29,'Ark4'!$B$68:$B$86,-1),'Ark4'!$A$2),IF(AND(X13="F",$E$3="AL 2 belastede leder",$E$4="70°C PVC"),INDEX('Ark4'!$A$68:$A$86,MATCH(X29,'Ark4'!$C$68:$C$86,-1),'Ark4'!$A$2),IF(AND(X13="E",$E$3="AL 3 belastede leder",$E$4="70°C PVC"),INDEX('Ark4'!$A$68:$A$86,MATCH(X29,'Ark4'!$S$68:$S$86,-1),'Ark4'!$A$2),IF(AND(X13="F",$E$3="AL 3 belastede leder",$E$4="70°C PVC"),INDEX('Ark4'!$A$68:$A$86,MATCH(X29,'Ark4'!$T$68:$T$86,-1),'Ark4'!$A$2),IF(AND(X13="E",$E$3="AL 2 belastede leder",$E$4="90°C XLPE &amp; EPR"),INDEX('Ark4'!$A$68:$A$86,MATCH(X29,'Ark4'!$S$68:$S$86,-1),'Ark4'!$A$2),IF(AND(X13="F",$E$3="AL 2 belastede leder",$E$4="90°C XLPE &amp; EPR"),INDEX('Ark4'!$A$68:$A$86,MATCH(X29,'Ark4'!$T$68:$T$86,-1),'Ark4'!$A$2),IF(AND(X13="E",$E$3="AL 3 belastede leder",$E$4="90°C XLPE &amp; EPR"),INDEX('Ark4'!$A$68:$A$86,MATCH(X29,'Ark4'!$AA$68:$AA$86,-1),'Ark4'!$A$2),IF(AND(X13="F",$E$3="AL 3 belastede leder",$E$4="90°C XLPE &amp; EPR"),INDEX('Ark4'!$A$68:$A$86,MATCH(X29,'Ark4'!$AB$68:$AB$86,-1),'Ark4'!$A$2),""))))))))))))))))</f>
        <v/>
      </c>
      <c r="Y40" s="124" t="s">
        <v>143</v>
      </c>
      <c r="Z40" s="123" t="str">
        <f>IF(AND($E$3="CU 2 belastede leder",$E$4="70°C PVC",OR(X13="E",X13="F")),INDEX('Ark4'!$B$47:$H$65,MATCH('Ark1'!X40,'Ark4'!$A$47:$A$65,0),MATCH('Ark1'!X13,'Ark4'!$B$46:$H$46,0)),IF(AND($E$3="AL 2 belastede leder",$E$4="70°C PVC",OR(X13="E",X13="F")),INDEX('Ark4'!$B$68:$H$85,MATCH('Ark1'!X40,'Ark4'!$A$68:$A$85,0),MATCH('Ark1'!X13,'Ark4'!$B$67:$H$67,0)),IF(AND($E$3="CU 3 belastede leder",$E$4="70°C PVC",OR(X13="E",X13="F")),INDEX('Ark4'!$S$47:$Y$65,MATCH('Ark1'!X40,'Ark4'!$A$47:$A$65,0),MATCH('Ark1'!X13,'Ark4'!$S$46:$Y$46,0)),IF(AND($E$3="AL 3 belastede leder",$E$4="70°C PVC",OR(X13="E",X13="F")),INDEX('Ark4'!$S$68:$Y$85,MATCH('Ark1'!X40,'Ark4'!$A$68:$A$85,0),MATCH('Ark1'!X13,'Ark4'!$S$67:$Y$67,0)),IF(AND($E$3="CU 2 belastede leder",$E$4="90°C XLPE &amp; EPR",OR(X13="E",X13="F")),INDEX('Ark4'!$K$47:$Q$65,MATCH('Ark1'!X40,'Ark4'!$A$47:$A$65,0),MATCH('Ark1'!X13,'Ark4'!$K$46:$Q$46,0)),IF(AND($E$3="AL 2 belastede leder",$E$4="90°C XLPE &amp; EPR",OR(X13="E",X13="F")),INDEX('Ark4'!$K$68:$Q$85,MATCH('Ark1'!X40,'Ark4'!$A$68:$A$85,0),MATCH('Ark1'!X13,'Ark4'!$K$67:$Q$67,0)),IF(AND($E$3="CU 3 belastede leder",$E$4="90°C XLPE &amp; EPR",OR(X13="E",X13="F")),INDEX('Ark4'!$AA$47:$AG$65,MATCH('Ark1'!X40,'Ark4'!$A$47:$A$65,0),MATCH('Ark1'!X13,'Ark4'!$AA$46:$AG$46,0)),IF(AND($E$3="AL 3 belastede leder",$E$4="90°C XLPE &amp; EPR",OR(X13="E",X13="F")),INDEX('Ark4'!$AA$68:$AG$85,MATCH('Ark1'!X40,'Ark4'!$A$68:$A$85,0),MATCH('Ark1'!X13,'Ark4'!$AA$67:$AG$67,0)),""))))))))</f>
        <v/>
      </c>
      <c r="AA40" s="128" t="s">
        <v>142</v>
      </c>
      <c r="AC40" s="128"/>
      <c r="AD40" s="119" t="s">
        <v>54</v>
      </c>
      <c r="AE40" s="128"/>
      <c r="AF40" s="123" t="e">
        <f>IF(AND(AF13="E",$E$3="CU 2 belastede leder",$E$4="70°C PVC"),INDEX('Ark4'!$A$47:$A$65,MATCH(AF29,'Ark4'!$B$47:$B$65,-1),'Ark4'!$A$2),IF(AND(AF13="F",$E$3="CU 2 belastede leder",$E$4="70°C PVC"),INDEX('Ark4'!$A$47:$A$65,MATCH(AF29,'Ark4'!$C$47:$C$65,-1),'Ark4'!$A$2),IF(AND(AF13="E",$E$3="CU 3 belastede leder",$E$4="70°C PVC"),INDEX('Ark4'!$A$47:$A$65,MATCH(AF29,'Ark4'!$S$47:$S$65,-1),'Ark4'!$A$2),IF(AND(AF13="F",$E$3="CU 3 belastede leder",$E$4="70°C PVC"),INDEX('Ark4'!$A$47:$A$65,MATCH(AF29,'Ark4'!$T$47:$T$65,-1),'Ark4'!$A$2),IF(AND(AF13="E",$E$3="CU 2 belastede leder",$E$4="90°C XLPE &amp; EPR"),INDEX('Ark4'!$A$47:$A$65,MATCH(AF29,'Ark4'!$S$47:$S$65,-1),'Ark4'!$A$2),IF(AND(AF13="F",$E$3="CU 2 belastede leder",$E$4="90°C XLPE &amp; EPR"),INDEX('Ark4'!$A$47:$A$65,MATCH(AF29,'Ark4'!$T$47:$T$65,-1),'Ark4'!$A$2),IF(AND(AF13="E",$E$3="CU 3 belastede leder",$E$4="90°C XLPE &amp; EPR"),INDEX('Ark4'!$A$47:$A$65,MATCH(AF29,'Ark4'!$AA$47:$AA$65,-1),'Ark4'!$A$2),IF(AND(AF13="F",$E$3="CU 3 belastede leder",$E$4="90°C XLPE &amp; EPR"),INDEX('Ark4'!$A$47:$A$65,MATCH(AF29,'Ark4'!$AB$47:$AB$65,-1),'Ark4'!$A$2),IF(AND(AF13="E",$E$3="AL 2 belastede leder",$E$4="70°C PVC"),INDEX('Ark4'!$A$68:$A$86,MATCH(AF29,'Ark4'!$B$68:$B$86,-1),'Ark4'!$A$2),IF(AND(AF13="F",$E$3="AL 2 belastede leder",$E$4="70°C PVC"),INDEX('Ark4'!$A$68:$A$86,MATCH(AF29,'Ark4'!$C$68:$C$86,-1),'Ark4'!$A$2),IF(AND(AF13="E",$E$3="AL 3 belastede leder",$E$4="70°C PVC"),INDEX('Ark4'!$A$68:$A$86,MATCH(AF29,'Ark4'!$S$68:$S$86,-1),'Ark4'!$A$2),IF(AND(AF13="F",$E$3="AL 3 belastede leder",$E$4="70°C PVC"),INDEX('Ark4'!$A$68:$A$86,MATCH(AF29,'Ark4'!$T$68:$T$86,-1),'Ark4'!$A$2),IF(AND(AF13="E",$E$3="AL 2 belastede leder",$E$4="90°C XLPE &amp; EPR"),INDEX('Ark4'!$A$68:$A$86,MATCH(AF29,'Ark4'!$S$68:$S$86,-1),'Ark4'!$A$2),IF(AND(AF13="F",$E$3="AL 2 belastede leder",$E$4="90°C XLPE &amp; EPR"),INDEX('Ark4'!$A$68:$A$86,MATCH(AF29,'Ark4'!$T$68:$T$86,-1),'Ark4'!$A$2),IF(AND(AF13="E",$E$3="AL 3 belastede leder",$E$4="90°C XLPE &amp; EPR"),INDEX('Ark4'!$A$68:$A$86,MATCH(AF29,'Ark4'!$AA$68:$AA$86,-1),'Ark4'!$A$2),IF(AND(AF13="F",$E$3="AL 3 belastede leder",$E$4="90°C XLPE &amp; EPR"),INDEX('Ark4'!$A$68:$A$86,MATCH(AF29,'Ark4'!$AB$68:$AB$86,-1),'Ark4'!$A$2),""))))))))))))))))</f>
        <v>#N/A</v>
      </c>
      <c r="AG40" s="124" t="s">
        <v>143</v>
      </c>
      <c r="AH40" s="123" t="e">
        <f>IF(AND($E$3="CU 2 belastede leder",$E$4="70°C PVC",OR(AF13="E",AF13="F")),INDEX('Ark4'!$B$47:$H$65,MATCH('Ark1'!AF40,'Ark4'!$A$47:$A$65,0),MATCH('Ark1'!AF13,'Ark4'!$B$46:$H$46,0)),IF(AND($E$3="AL 2 belastede leder",$E$4="70°C PVC",OR(AF13="E",AF13="F")),INDEX('Ark4'!$B$68:$H$85,MATCH('Ark1'!AF40,'Ark4'!$A$68:$A$85,0),MATCH('Ark1'!AF13,'Ark4'!$B$67:$H$67,0)),IF(AND($E$3="CU 3 belastede leder",$E$4="70°C PVC",OR(AF13="E",AF13="F")),INDEX('Ark4'!$S$47:$Y$65,MATCH('Ark1'!AF40,'Ark4'!$A$47:$A$65,0),MATCH('Ark1'!AF13,'Ark4'!$S$46:$Y$46,0)),IF(AND($E$3="AL 3 belastede leder",$E$4="70°C PVC",OR(AF13="E",AF13="F")),INDEX('Ark4'!$S$68:$Y$85,MATCH('Ark1'!AF40,'Ark4'!$A$68:$A$85,0),MATCH('Ark1'!AF13,'Ark4'!$S$67:$Y$67,0)),IF(AND($E$3="CU 2 belastede leder",$E$4="90°C XLPE &amp; EPR",OR(AF13="E",AF13="F")),INDEX('Ark4'!$K$47:$Q$65,MATCH('Ark1'!AF40,'Ark4'!$A$47:$A$65,0),MATCH('Ark1'!AF13,'Ark4'!$K$46:$Q$46,0)),IF(AND($E$3="AL 2 belastede leder",$E$4="90°C XLPE &amp; EPR",OR(AF13="E",AF13="F")),INDEX('Ark4'!$K$68:$Q$85,MATCH('Ark1'!AF40,'Ark4'!$A$68:$A$85,0),MATCH('Ark1'!AF13,'Ark4'!$K$67:$Q$67,0)),IF(AND($E$3="CU 3 belastede leder",$E$4="90°C XLPE &amp; EPR",OR(AF13="E",AF13="F")),INDEX('Ark4'!$AA$47:$AG$65,MATCH('Ark1'!AF40,'Ark4'!$A$47:$A$65,0),MATCH('Ark1'!AF13,'Ark4'!$AA$46:$AG$46,0)),IF(AND($E$3="AL 3 belastede leder",$E$4="90°C XLPE &amp; EPR",OR(AF13="E",AF13="F")),INDEX('Ark4'!$AA$68:$AG$85,MATCH('Ark1'!AF40,'Ark4'!$A$68:$A$85,0),MATCH('Ark1'!AF13,'Ark4'!$AA$67:$AG$67,0)),""))))))))</f>
        <v>#N/A</v>
      </c>
      <c r="AI40" s="128" t="s">
        <v>142</v>
      </c>
      <c r="AK40" s="128"/>
      <c r="AL40" s="119" t="s">
        <v>54</v>
      </c>
      <c r="AM40" s="128"/>
      <c r="AN40" s="123" t="e">
        <f>IF(AND(AN13="E",$E$3="CU 2 belastede leder",$E$4="70°C PVC"),INDEX('Ark4'!$A$47:$A$65,MATCH(AN29,'Ark4'!$B$47:$B$65,-1),'Ark4'!$A$2),IF(AND(AN13="F",$E$3="CU 2 belastede leder",$E$4="70°C PVC"),INDEX('Ark4'!$A$47:$A$65,MATCH(AN29,'Ark4'!$C$47:$C$65,-1),'Ark4'!$A$2),IF(AND(AN13="E",$E$3="CU 3 belastede leder",$E$4="70°C PVC"),INDEX('Ark4'!$A$47:$A$65,MATCH(AN29,'Ark4'!$S$47:$S$65,-1),'Ark4'!$A$2),IF(AND(AN13="F",$E$3="CU 3 belastede leder",$E$4="70°C PVC"),INDEX('Ark4'!$A$47:$A$65,MATCH(AN29,'Ark4'!$T$47:$T$65,-1),'Ark4'!$A$2),IF(AND(AN13="E",$E$3="CU 2 belastede leder",$E$4="90°C XLPE &amp; EPR"),INDEX('Ark4'!$A$47:$A$65,MATCH(AN29,'Ark4'!$S$47:$S$65,-1),'Ark4'!$A$2),IF(AND(AN13="F",$E$3="CU 2 belastede leder",$E$4="90°C XLPE &amp; EPR"),INDEX('Ark4'!$A$47:$A$65,MATCH(AN29,'Ark4'!$T$47:$T$65,-1),'Ark4'!$A$2),IF(AND(AN13="E",$E$3="CU 3 belastede leder",$E$4="90°C XLPE &amp; EPR"),INDEX('Ark4'!$A$47:$A$65,MATCH(AN29,'Ark4'!$AA$47:$AA$65,-1),'Ark4'!$A$2),IF(AND(AN13="F",$E$3="CU 3 belastede leder",$E$4="90°C XLPE &amp; EPR"),INDEX('Ark4'!$A$47:$A$65,MATCH(AN29,'Ark4'!$AB$47:$AB$65,-1),'Ark4'!$A$2),IF(AND(AN13="E",$E$3="AL 2 belastede leder",$E$4="70°C PVC"),INDEX('Ark4'!$A$68:$A$86,MATCH(AN29,'Ark4'!$B$68:$B$86,-1),'Ark4'!$A$2),IF(AND(AN13="F",$E$3="AL 2 belastede leder",$E$4="70°C PVC"),INDEX('Ark4'!$A$68:$A$86,MATCH(AN29,'Ark4'!$C$68:$C$86,-1),'Ark4'!$A$2),IF(AND(AN13="E",$E$3="AL 3 belastede leder",$E$4="70°C PVC"),INDEX('Ark4'!$A$68:$A$86,MATCH(AN29,'Ark4'!$S$68:$S$86,-1),'Ark4'!$A$2),IF(AND(AN13="F",$E$3="AL 3 belastede leder",$E$4="70°C PVC"),INDEX('Ark4'!$A$68:$A$86,MATCH(AN29,'Ark4'!$T$68:$T$86,-1),'Ark4'!$A$2),IF(AND(AN13="E",$E$3="AL 2 belastede leder",$E$4="90°C XLPE &amp; EPR"),INDEX('Ark4'!$A$68:$A$86,MATCH(AN29,'Ark4'!$S$68:$S$86,-1),'Ark4'!$A$2),IF(AND(AN13="F",$E$3="AL 2 belastede leder",$E$4="90°C XLPE &amp; EPR"),INDEX('Ark4'!$A$68:$A$86,MATCH(AN29,'Ark4'!$T$68:$T$86,-1),'Ark4'!$A$2),IF(AND(AN13="E",$E$3="AL 3 belastede leder",$E$4="90°C XLPE &amp; EPR"),INDEX('Ark4'!$A$68:$A$86,MATCH(AN29,'Ark4'!$AA$68:$AA$86,-1),'Ark4'!$A$2),IF(AND(AN13="F",$E$3="AL 3 belastede leder",$E$4="90°C XLPE &amp; EPR"),INDEX('Ark4'!$A$68:$A$86,MATCH(AN29,'Ark4'!$AB$68:$AB$86,-1),'Ark4'!$A$2),""))))))))))))))))</f>
        <v>#N/A</v>
      </c>
      <c r="AO40" s="124" t="s">
        <v>143</v>
      </c>
      <c r="AP40" s="123" t="e">
        <f>IF(AND($E$3="CU 2 belastede leder",$E$4="70°C PVC",OR(AN13="E",AN13="F")),INDEX('Ark4'!$B$47:$H$65,MATCH('Ark1'!AN40,'Ark4'!$A$47:$A$65,0),MATCH('Ark1'!AN13,'Ark4'!$B$46:$H$46,0)),IF(AND($E$3="AL 2 belastede leder",$E$4="70°C PVC",OR(AN13="E",AN13="F")),INDEX('Ark4'!$B$68:$H$85,MATCH('Ark1'!AN40,'Ark4'!$A$68:$A$85,0),MATCH('Ark1'!AN13,'Ark4'!$B$67:$H$67,0)),IF(AND($E$3="CU 3 belastede leder",$E$4="70°C PVC",OR(AN13="E",AN13="F")),INDEX('Ark4'!$S$47:$Y$65,MATCH('Ark1'!AN40,'Ark4'!$A$47:$A$65,0),MATCH('Ark1'!AN13,'Ark4'!$S$46:$Y$46,0)),IF(AND($E$3="AL 3 belastede leder",$E$4="70°C PVC",OR(AN13="E",AN13="F")),INDEX('Ark4'!$S$68:$Y$85,MATCH('Ark1'!AN40,'Ark4'!$A$68:$A$85,0),MATCH('Ark1'!AN13,'Ark4'!$S$67:$Y$67,0)),IF(AND($E$3="CU 2 belastede leder",$E$4="90°C XLPE &amp; EPR",OR(AN13="E",AN13="F")),INDEX('Ark4'!$K$47:$Q$65,MATCH('Ark1'!AN40,'Ark4'!$A$47:$A$65,0),MATCH('Ark1'!AN13,'Ark4'!$K$46:$Q$46,0)),IF(AND($E$3="AL 2 belastede leder",$E$4="90°C XLPE &amp; EPR",OR(AN13="E",AN13="F")),INDEX('Ark4'!$K$68:$Q$85,MATCH('Ark1'!AN40,'Ark4'!$A$68:$A$85,0),MATCH('Ark1'!AN13,'Ark4'!$K$67:$Q$67,0)),IF(AND($E$3="CU 3 belastede leder",$E$4="90°C XLPE &amp; EPR",OR(AN13="E",AN13="F")),INDEX('Ark4'!$AA$47:$AG$65,MATCH('Ark1'!AN40,'Ark4'!$A$47:$A$65,0),MATCH('Ark1'!AN13,'Ark4'!$AA$46:$AG$46,0)),IF(AND($E$3="AL 3 belastede leder",$E$4="90°C XLPE &amp; EPR",OR(AN13="E",AN13="F")),INDEX('Ark4'!$AA$68:$AG$85,MATCH('Ark1'!AN40,'Ark4'!$A$68:$A$85,0),MATCH('Ark1'!AN13,'Ark4'!$AA$67:$AG$67,0)),""))))))))</f>
        <v>#N/A</v>
      </c>
      <c r="AQ40" s="128" t="s">
        <v>142</v>
      </c>
    </row>
  </sheetData>
  <sheetProtection sheet="1" selectLockedCells="1"/>
  <mergeCells count="234">
    <mergeCell ref="U34:AA34"/>
    <mergeCell ref="AC34:AI34"/>
    <mergeCell ref="AK34:AQ34"/>
    <mergeCell ref="AC31:AI31"/>
    <mergeCell ref="AC32:AE32"/>
    <mergeCell ref="AC33:AE33"/>
    <mergeCell ref="AK32:AM32"/>
    <mergeCell ref="AK33:AM33"/>
    <mergeCell ref="M32:O32"/>
    <mergeCell ref="M33:O33"/>
    <mergeCell ref="AK31:AQ31"/>
    <mergeCell ref="U31:AA31"/>
    <mergeCell ref="M31:S31"/>
    <mergeCell ref="AN32:AQ32"/>
    <mergeCell ref="U32:W32"/>
    <mergeCell ref="U33:W33"/>
    <mergeCell ref="M34:S34"/>
    <mergeCell ref="AF32:AI32"/>
    <mergeCell ref="X32:AA32"/>
    <mergeCell ref="B4:D4"/>
    <mergeCell ref="B3:D3"/>
    <mergeCell ref="B2:D2"/>
    <mergeCell ref="AK20:AM20"/>
    <mergeCell ref="AK21:AM21"/>
    <mergeCell ref="AC11:AI11"/>
    <mergeCell ref="AC12:AE12"/>
    <mergeCell ref="AC13:AE13"/>
    <mergeCell ref="AC14:AI14"/>
    <mergeCell ref="AC15:AE15"/>
    <mergeCell ref="AC16:AE16"/>
    <mergeCell ref="AC17:AE17"/>
    <mergeCell ref="AC18:AI18"/>
    <mergeCell ref="AC19:AE19"/>
    <mergeCell ref="E12:G12"/>
    <mergeCell ref="U11:AA11"/>
    <mergeCell ref="U12:W12"/>
    <mergeCell ref="U13:W13"/>
    <mergeCell ref="U14:AA14"/>
    <mergeCell ref="U15:W15"/>
    <mergeCell ref="AK11:AQ11"/>
    <mergeCell ref="AK12:AM12"/>
    <mergeCell ref="AK13:AM13"/>
    <mergeCell ref="AK14:AQ14"/>
    <mergeCell ref="AK15:AM15"/>
    <mergeCell ref="AK16:AM16"/>
    <mergeCell ref="AK17:AM17"/>
    <mergeCell ref="AK18:AQ18"/>
    <mergeCell ref="AK19:AM19"/>
    <mergeCell ref="AN19:AQ19"/>
    <mergeCell ref="B33:D33"/>
    <mergeCell ref="B32:D32"/>
    <mergeCell ref="B31:D31"/>
    <mergeCell ref="E33:G33"/>
    <mergeCell ref="E31:K31"/>
    <mergeCell ref="E28:K28"/>
    <mergeCell ref="E27:G27"/>
    <mergeCell ref="H20:K20"/>
    <mergeCell ref="H19:K19"/>
    <mergeCell ref="E32:G32"/>
    <mergeCell ref="AN29:AQ30"/>
    <mergeCell ref="AN22:AQ22"/>
    <mergeCell ref="AN23:AQ23"/>
    <mergeCell ref="AN25:AQ25"/>
    <mergeCell ref="W29:W30"/>
    <mergeCell ref="X26:AA26"/>
    <mergeCell ref="X27:AA27"/>
    <mergeCell ref="AC26:AE26"/>
    <mergeCell ref="M17:O17"/>
    <mergeCell ref="M18:S18"/>
    <mergeCell ref="E14:K14"/>
    <mergeCell ref="E13:G13"/>
    <mergeCell ref="B18:D18"/>
    <mergeCell ref="H16:K16"/>
    <mergeCell ref="H15:K15"/>
    <mergeCell ref="P16:S16"/>
    <mergeCell ref="P17:S17"/>
    <mergeCell ref="E15:G15"/>
    <mergeCell ref="P13:S13"/>
    <mergeCell ref="P15:S15"/>
    <mergeCell ref="AC25:AE25"/>
    <mergeCell ref="AF25:AI25"/>
    <mergeCell ref="AE29:AE30"/>
    <mergeCell ref="U16:W16"/>
    <mergeCell ref="U17:W17"/>
    <mergeCell ref="U18:AA18"/>
    <mergeCell ref="U19:W19"/>
    <mergeCell ref="AN27:AQ27"/>
    <mergeCell ref="AC27:AE27"/>
    <mergeCell ref="AM29:AM30"/>
    <mergeCell ref="AN26:AQ26"/>
    <mergeCell ref="AF26:AI26"/>
    <mergeCell ref="U25:W25"/>
    <mergeCell ref="U26:W26"/>
    <mergeCell ref="U27:W27"/>
    <mergeCell ref="U28:AA28"/>
    <mergeCell ref="AF29:AI30"/>
    <mergeCell ref="AK27:AM27"/>
    <mergeCell ref="AK28:AQ28"/>
    <mergeCell ref="AF27:AI27"/>
    <mergeCell ref="AC28:AI28"/>
    <mergeCell ref="AK25:AM25"/>
    <mergeCell ref="AK26:AM26"/>
    <mergeCell ref="AK24:AQ24"/>
    <mergeCell ref="X23:AA23"/>
    <mergeCell ref="AF21:AI21"/>
    <mergeCell ref="AF22:AI22"/>
    <mergeCell ref="AF23:AI23"/>
    <mergeCell ref="AN20:AQ20"/>
    <mergeCell ref="AN21:AQ21"/>
    <mergeCell ref="U22:W22"/>
    <mergeCell ref="AK22:AM22"/>
    <mergeCell ref="AK23:AM23"/>
    <mergeCell ref="AC21:AE21"/>
    <mergeCell ref="AC22:AE22"/>
    <mergeCell ref="AC23:AE23"/>
    <mergeCell ref="AF13:AI13"/>
    <mergeCell ref="AF15:AI15"/>
    <mergeCell ref="U23:W23"/>
    <mergeCell ref="U24:AA24"/>
    <mergeCell ref="P19:S19"/>
    <mergeCell ref="U21:W21"/>
    <mergeCell ref="E2:H2"/>
    <mergeCell ref="E3:H3"/>
    <mergeCell ref="E4:H4"/>
    <mergeCell ref="E7:H7"/>
    <mergeCell ref="P20:S20"/>
    <mergeCell ref="AF19:AI19"/>
    <mergeCell ref="AF20:AI20"/>
    <mergeCell ref="AC20:AE20"/>
    <mergeCell ref="U20:W20"/>
    <mergeCell ref="X16:AA16"/>
    <mergeCell ref="X17:AA17"/>
    <mergeCell ref="X21:AA21"/>
    <mergeCell ref="M19:O19"/>
    <mergeCell ref="M20:O20"/>
    <mergeCell ref="M21:O21"/>
    <mergeCell ref="AF16:AI16"/>
    <mergeCell ref="AF17:AI17"/>
    <mergeCell ref="X22:AA22"/>
    <mergeCell ref="AN12:AQ12"/>
    <mergeCell ref="AN13:AQ13"/>
    <mergeCell ref="AN15:AQ15"/>
    <mergeCell ref="AN16:AQ16"/>
    <mergeCell ref="AN17:AQ17"/>
    <mergeCell ref="H12:K12"/>
    <mergeCell ref="H23:K23"/>
    <mergeCell ref="X29:AA30"/>
    <mergeCell ref="AF12:AI12"/>
    <mergeCell ref="X12:AA12"/>
    <mergeCell ref="X13:AA13"/>
    <mergeCell ref="X15:AA15"/>
    <mergeCell ref="X25:AA25"/>
    <mergeCell ref="M24:S24"/>
    <mergeCell ref="H17:K17"/>
    <mergeCell ref="M22:O22"/>
    <mergeCell ref="M25:O25"/>
    <mergeCell ref="M26:O26"/>
    <mergeCell ref="X19:AA19"/>
    <mergeCell ref="X20:AA20"/>
    <mergeCell ref="P12:S12"/>
    <mergeCell ref="M13:O13"/>
    <mergeCell ref="M14:S14"/>
    <mergeCell ref="AC24:AI24"/>
    <mergeCell ref="M12:O12"/>
    <mergeCell ref="B5:D5"/>
    <mergeCell ref="E5:H5"/>
    <mergeCell ref="B6:D6"/>
    <mergeCell ref="E6:H6"/>
    <mergeCell ref="P29:S30"/>
    <mergeCell ref="B28:D28"/>
    <mergeCell ref="B25:D27"/>
    <mergeCell ref="B24:D24"/>
    <mergeCell ref="B19:D23"/>
    <mergeCell ref="B15:D17"/>
    <mergeCell ref="B29:B30"/>
    <mergeCell ref="H29:K30"/>
    <mergeCell ref="B13:D13"/>
    <mergeCell ref="B12:D12"/>
    <mergeCell ref="O29:O30"/>
    <mergeCell ref="E11:K11"/>
    <mergeCell ref="H13:K13"/>
    <mergeCell ref="B11:D11"/>
    <mergeCell ref="B7:D7"/>
    <mergeCell ref="B14:D14"/>
    <mergeCell ref="M11:S11"/>
    <mergeCell ref="M15:O15"/>
    <mergeCell ref="M16:O16"/>
    <mergeCell ref="B35:B36"/>
    <mergeCell ref="C35:D36"/>
    <mergeCell ref="E35:F36"/>
    <mergeCell ref="G35:G36"/>
    <mergeCell ref="H35:K36"/>
    <mergeCell ref="M35:N36"/>
    <mergeCell ref="O35:O36"/>
    <mergeCell ref="P35:S36"/>
    <mergeCell ref="E21:G21"/>
    <mergeCell ref="P21:S21"/>
    <mergeCell ref="P22:S22"/>
    <mergeCell ref="P23:S23"/>
    <mergeCell ref="P25:S25"/>
    <mergeCell ref="P26:S26"/>
    <mergeCell ref="P27:S27"/>
    <mergeCell ref="E26:G26"/>
    <mergeCell ref="E25:G25"/>
    <mergeCell ref="E24:K24"/>
    <mergeCell ref="E23:G23"/>
    <mergeCell ref="E22:G22"/>
    <mergeCell ref="B34:D34"/>
    <mergeCell ref="E34:K34"/>
    <mergeCell ref="H32:K32"/>
    <mergeCell ref="AM35:AM36"/>
    <mergeCell ref="AN35:AQ36"/>
    <mergeCell ref="E17:G17"/>
    <mergeCell ref="E16:G16"/>
    <mergeCell ref="U35:V36"/>
    <mergeCell ref="W35:W36"/>
    <mergeCell ref="X35:AA36"/>
    <mergeCell ref="AC35:AD36"/>
    <mergeCell ref="AE35:AE36"/>
    <mergeCell ref="AF35:AI36"/>
    <mergeCell ref="AK35:AL36"/>
    <mergeCell ref="E20:G20"/>
    <mergeCell ref="E19:G19"/>
    <mergeCell ref="E18:K18"/>
    <mergeCell ref="M27:O27"/>
    <mergeCell ref="M28:S28"/>
    <mergeCell ref="H27:K27"/>
    <mergeCell ref="H26:K26"/>
    <mergeCell ref="H25:K25"/>
    <mergeCell ref="H22:K22"/>
    <mergeCell ref="H21:K21"/>
    <mergeCell ref="M23:O23"/>
    <mergeCell ref="G29:G30"/>
    <mergeCell ref="P32:S32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BC102AAB-5155-46E4-A0B2-8ABB0D34F568}">
          <x14:formula1>
            <xm:f>'kt,ks,kj'!$D$14:$D$31</xm:f>
          </x14:formula1>
          <xm:sqref>H15 P15 X15 AF15 AN15</xm:sqref>
        </x14:dataValidation>
        <x14:dataValidation type="list" allowBlank="1" showInputMessage="1" showErrorMessage="1" xr:uid="{735B59E0-DF1A-45AD-BA74-AF16F1EC8AE2}">
          <x14:formula1>
            <xm:f>'kt,ks,kj'!$K$15:$K$35</xm:f>
          </x14:formula1>
          <xm:sqref>H19 P19 X19 AF19 AN19</xm:sqref>
        </x14:dataValidation>
        <x14:dataValidation type="list" allowBlank="1" showInputMessage="1" showErrorMessage="1" xr:uid="{263EF186-0E98-4F7B-9820-043FFB0448AC}">
          <x14:formula1>
            <xm:f>'kt,ks,kj'!$J$2:$J$3</xm:f>
          </x14:formula1>
          <xm:sqref>E2:F2</xm:sqref>
        </x14:dataValidation>
        <x14:dataValidation type="list" allowBlank="1" showInputMessage="1" showErrorMessage="1" xr:uid="{3B162C31-4771-4A80-A40B-FE16311523DA}">
          <x14:formula1>
            <xm:f>'kt,ks,kj'!$A$3:$A$84</xm:f>
          </x14:formula1>
          <xm:sqref>H12 P12 X12 AF12 AN12</xm:sqref>
        </x14:dataValidation>
        <x14:dataValidation type="list" allowBlank="1" showInputMessage="1" showErrorMessage="1" xr:uid="{D3785F4B-3870-49FE-B78E-C1A5AF610125}">
          <x14:formula1>
            <xm:f>'kt,ks,kj'!$I$39:$I$45</xm:f>
          </x14:formula1>
          <xm:sqref>H21 P21 X21 AF21 AN21</xm:sqref>
        </x14:dataValidation>
        <x14:dataValidation type="list" allowBlank="1" showInputMessage="1" showErrorMessage="1" xr:uid="{5ED18346-483A-482F-9E20-714AB8D2CCF0}">
          <x14:formula1>
            <xm:f>'kt,ks,kj'!$J$15:$J$23</xm:f>
          </x14:formula1>
          <xm:sqref>H20 P20 X20 AF20 AN20</xm:sqref>
        </x14:dataValidation>
        <x14:dataValidation type="list" allowBlank="1" showInputMessage="1" showErrorMessage="1" xr:uid="{66215F1B-03C7-4E78-9E67-AC83E93510D9}">
          <x14:formula1>
            <xm:f>'kt,ks,kj'!$D$54:$D$61</xm:f>
          </x14:formula1>
          <xm:sqref>H25 P25 X25 AF25 AN25</xm:sqref>
        </x14:dataValidation>
        <x14:dataValidation type="list" allowBlank="1" showInputMessage="1" showErrorMessage="1" xr:uid="{5288E383-55F4-4121-839F-B46AB93B297F}">
          <x14:formula1>
            <xm:f>'kt,ks,kj'!$D$7:$D$8</xm:f>
          </x14:formula1>
          <xm:sqref>E4:F4</xm:sqref>
        </x14:dataValidation>
        <x14:dataValidation type="list" allowBlank="1" showInputMessage="1" showErrorMessage="1" xr:uid="{B7EC8904-5DD0-4A0D-9768-8A31054A9034}">
          <x14:formula1>
            <xm:f>'kt,ks,kj'!$D$3:$D$6</xm:f>
          </x14:formula1>
          <xm:sqref>E3:F3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E4390-352D-47BC-8B72-A3A253A87778}">
  <dimension ref="A1:AW177"/>
  <sheetViews>
    <sheetView zoomScale="85" zoomScaleNormal="85" workbookViewId="0">
      <selection activeCell="J94" sqref="J94"/>
    </sheetView>
  </sheetViews>
  <sheetFormatPr defaultRowHeight="14.4"/>
  <cols>
    <col min="4" max="4" width="12.6640625" customWidth="1"/>
    <col min="12" max="12" width="11.44140625" customWidth="1"/>
    <col min="13" max="13" width="11" customWidth="1"/>
  </cols>
  <sheetData>
    <row r="1" spans="1:32" ht="15" thickBot="1">
      <c r="A1" t="s">
        <v>116</v>
      </c>
    </row>
    <row r="2" spans="1:32" ht="15" customHeight="1" thickBot="1">
      <c r="A2" s="5" t="s">
        <v>0</v>
      </c>
      <c r="B2" s="6" t="s">
        <v>1</v>
      </c>
      <c r="D2" t="s">
        <v>37</v>
      </c>
      <c r="J2" t="s">
        <v>115</v>
      </c>
    </row>
    <row r="3" spans="1:32">
      <c r="A3" s="1">
        <v>1</v>
      </c>
      <c r="B3" s="2" t="s">
        <v>2</v>
      </c>
      <c r="D3" s="12" t="s">
        <v>138</v>
      </c>
      <c r="J3" t="s">
        <v>116</v>
      </c>
    </row>
    <row r="4" spans="1:32">
      <c r="A4" s="1">
        <v>2</v>
      </c>
      <c r="B4" s="2" t="s">
        <v>3</v>
      </c>
      <c r="D4" s="12" t="s">
        <v>140</v>
      </c>
      <c r="AF4">
        <v>1</v>
      </c>
    </row>
    <row r="5" spans="1:32">
      <c r="A5" s="1">
        <v>3</v>
      </c>
      <c r="B5" s="2" t="s">
        <v>2</v>
      </c>
      <c r="D5" s="12" t="s">
        <v>139</v>
      </c>
      <c r="AF5">
        <v>2</v>
      </c>
    </row>
    <row r="6" spans="1:32">
      <c r="A6" s="1">
        <v>4</v>
      </c>
      <c r="B6" s="2" t="s">
        <v>4</v>
      </c>
      <c r="D6" s="12" t="s">
        <v>141</v>
      </c>
      <c r="AF6">
        <v>3</v>
      </c>
    </row>
    <row r="7" spans="1:32">
      <c r="A7" s="1">
        <v>5</v>
      </c>
      <c r="B7" s="2" t="s">
        <v>5</v>
      </c>
      <c r="D7" s="12" t="s">
        <v>40</v>
      </c>
      <c r="AF7">
        <v>4</v>
      </c>
    </row>
    <row r="8" spans="1:32">
      <c r="A8" s="1">
        <v>6</v>
      </c>
      <c r="B8" s="2" t="s">
        <v>4</v>
      </c>
      <c r="D8" s="12" t="s">
        <v>158</v>
      </c>
      <c r="AF8">
        <v>5</v>
      </c>
    </row>
    <row r="9" spans="1:32">
      <c r="A9" s="1">
        <v>7</v>
      </c>
      <c r="B9" s="2" t="s">
        <v>4</v>
      </c>
      <c r="D9" s="13" t="s">
        <v>38</v>
      </c>
      <c r="AF9">
        <v>6</v>
      </c>
    </row>
    <row r="10" spans="1:32">
      <c r="A10" s="1">
        <v>8</v>
      </c>
      <c r="B10" s="2" t="s">
        <v>5</v>
      </c>
      <c r="D10" s="13" t="s">
        <v>39</v>
      </c>
      <c r="AF10">
        <v>7</v>
      </c>
    </row>
    <row r="11" spans="1:32">
      <c r="A11" s="1">
        <v>9</v>
      </c>
      <c r="B11" s="2" t="s">
        <v>5</v>
      </c>
      <c r="AF11">
        <v>8</v>
      </c>
    </row>
    <row r="12" spans="1:32">
      <c r="A12" s="1">
        <v>10</v>
      </c>
      <c r="B12" s="2" t="s">
        <v>4</v>
      </c>
      <c r="D12" s="11" t="s">
        <v>76</v>
      </c>
      <c r="R12" t="s">
        <v>88</v>
      </c>
      <c r="Y12" t="s">
        <v>90</v>
      </c>
      <c r="AF12">
        <v>9</v>
      </c>
    </row>
    <row r="13" spans="1:32" ht="15" thickBot="1">
      <c r="A13" s="1">
        <v>11</v>
      </c>
      <c r="B13" s="2" t="s">
        <v>5</v>
      </c>
      <c r="D13" t="s">
        <v>78</v>
      </c>
      <c r="E13" s="12" t="s">
        <v>40</v>
      </c>
      <c r="F13" s="12" t="s">
        <v>158</v>
      </c>
      <c r="G13" s="13" t="s">
        <v>38</v>
      </c>
      <c r="H13" s="24" t="s">
        <v>39</v>
      </c>
      <c r="K13" t="s">
        <v>86</v>
      </c>
      <c r="R13" s="21" t="s">
        <v>87</v>
      </c>
      <c r="S13" s="11"/>
      <c r="T13" s="11"/>
      <c r="U13" s="11"/>
      <c r="Y13" t="s">
        <v>89</v>
      </c>
      <c r="AF13">
        <v>10</v>
      </c>
    </row>
    <row r="14" spans="1:32">
      <c r="A14" s="1">
        <v>12</v>
      </c>
      <c r="B14" s="2" t="s">
        <v>2</v>
      </c>
      <c r="D14" s="17" t="s">
        <v>56</v>
      </c>
      <c r="E14" s="18">
        <v>1.22</v>
      </c>
      <c r="F14" s="18">
        <v>1.1499999999999999</v>
      </c>
      <c r="G14" s="18">
        <v>1.26</v>
      </c>
      <c r="H14" s="18">
        <v>1.1399999999999999</v>
      </c>
      <c r="K14" s="14" t="s">
        <v>34</v>
      </c>
      <c r="L14" s="34" t="s">
        <v>80</v>
      </c>
      <c r="M14" s="34" t="s">
        <v>81</v>
      </c>
      <c r="N14" s="34" t="s">
        <v>82</v>
      </c>
      <c r="O14" s="34" t="s">
        <v>83</v>
      </c>
      <c r="P14" s="35" t="s">
        <v>84</v>
      </c>
      <c r="Q14" s="27" t="s">
        <v>34</v>
      </c>
      <c r="R14" s="41" t="s">
        <v>35</v>
      </c>
      <c r="S14" s="41" t="s">
        <v>92</v>
      </c>
      <c r="T14" s="41" t="s">
        <v>93</v>
      </c>
      <c r="U14" s="41" t="s">
        <v>94</v>
      </c>
      <c r="V14" s="41" t="s">
        <v>95</v>
      </c>
      <c r="W14" s="41" t="s">
        <v>91</v>
      </c>
      <c r="X14" s="14" t="s">
        <v>34</v>
      </c>
      <c r="Y14" s="40" t="s">
        <v>35</v>
      </c>
      <c r="Z14" s="40" t="s">
        <v>94</v>
      </c>
      <c r="AA14" s="40" t="s">
        <v>95</v>
      </c>
      <c r="AB14" s="40" t="s">
        <v>96</v>
      </c>
      <c r="AC14" s="40" t="s">
        <v>36</v>
      </c>
      <c r="AF14">
        <v>11</v>
      </c>
    </row>
    <row r="15" spans="1:32">
      <c r="A15" s="1">
        <v>13</v>
      </c>
      <c r="B15" s="2" t="s">
        <v>77</v>
      </c>
      <c r="D15" s="17" t="s">
        <v>57</v>
      </c>
      <c r="E15" s="18">
        <v>1.17</v>
      </c>
      <c r="F15" s="18">
        <v>1.1200000000000001</v>
      </c>
      <c r="G15" s="18">
        <v>1.2</v>
      </c>
      <c r="H15" s="18">
        <v>1.1100000000000001</v>
      </c>
      <c r="J15" s="40" t="s">
        <v>35</v>
      </c>
      <c r="K15" s="1">
        <v>1</v>
      </c>
      <c r="L15" s="33">
        <v>1</v>
      </c>
      <c r="M15" s="33">
        <v>1</v>
      </c>
      <c r="N15" s="33">
        <v>0.95</v>
      </c>
      <c r="O15" s="33">
        <v>1</v>
      </c>
      <c r="P15" s="36">
        <v>1</v>
      </c>
      <c r="Q15" s="25">
        <v>1</v>
      </c>
      <c r="R15" s="22">
        <v>1</v>
      </c>
      <c r="S15" s="22">
        <v>1</v>
      </c>
      <c r="T15" s="22">
        <v>1</v>
      </c>
      <c r="U15" s="22">
        <v>1</v>
      </c>
      <c r="V15" s="22">
        <v>1</v>
      </c>
      <c r="W15" s="22">
        <v>1</v>
      </c>
      <c r="X15" s="1">
        <v>1</v>
      </c>
      <c r="Y15" s="22">
        <v>1</v>
      </c>
      <c r="Z15" s="22">
        <v>1</v>
      </c>
      <c r="AA15" s="22">
        <v>1</v>
      </c>
      <c r="AB15" s="22">
        <v>1</v>
      </c>
      <c r="AC15" s="28">
        <v>1</v>
      </c>
      <c r="AF15">
        <v>12</v>
      </c>
    </row>
    <row r="16" spans="1:32">
      <c r="A16" s="1">
        <v>14</v>
      </c>
      <c r="B16" s="2" t="s">
        <v>77</v>
      </c>
      <c r="D16" s="17" t="s">
        <v>58</v>
      </c>
      <c r="E16" s="18">
        <v>1.1200000000000001</v>
      </c>
      <c r="F16" s="18">
        <v>1.08</v>
      </c>
      <c r="G16" s="18">
        <v>1.1399999999999999</v>
      </c>
      <c r="H16" s="18">
        <v>1.07</v>
      </c>
      <c r="J16" s="40" t="s">
        <v>92</v>
      </c>
      <c r="K16" s="1">
        <v>2</v>
      </c>
      <c r="L16" s="33">
        <v>0.8</v>
      </c>
      <c r="M16" s="33">
        <v>0.85</v>
      </c>
      <c r="N16" s="33">
        <v>0.81</v>
      </c>
      <c r="O16" s="33">
        <v>0.88</v>
      </c>
      <c r="P16" s="36">
        <v>0.87</v>
      </c>
      <c r="Q16" s="25">
        <v>2</v>
      </c>
      <c r="R16" s="26">
        <v>0.75</v>
      </c>
      <c r="S16" s="26">
        <v>0.8</v>
      </c>
      <c r="T16" s="26">
        <v>0.85</v>
      </c>
      <c r="U16" s="26">
        <v>0.9</v>
      </c>
      <c r="V16" s="26">
        <v>0.9</v>
      </c>
      <c r="W16" s="23">
        <v>1</v>
      </c>
      <c r="X16" s="1">
        <v>2</v>
      </c>
      <c r="Y16" s="26">
        <v>0.85</v>
      </c>
      <c r="Z16" s="26">
        <v>0.9</v>
      </c>
      <c r="AA16" s="26">
        <v>0.95</v>
      </c>
      <c r="AB16" s="26">
        <v>0.95</v>
      </c>
      <c r="AC16" s="29">
        <v>1</v>
      </c>
      <c r="AF16">
        <v>13</v>
      </c>
    </row>
    <row r="17" spans="1:32">
      <c r="A17" s="1">
        <v>15</v>
      </c>
      <c r="B17" s="2" t="s">
        <v>2</v>
      </c>
      <c r="D17" s="17" t="s">
        <v>42</v>
      </c>
      <c r="E17" s="18">
        <v>1.06</v>
      </c>
      <c r="F17" s="18">
        <v>1.04</v>
      </c>
      <c r="G17" s="18">
        <v>1.07</v>
      </c>
      <c r="H17" s="18">
        <v>1.04</v>
      </c>
      <c r="J17" s="40" t="s">
        <v>120</v>
      </c>
      <c r="K17" s="1">
        <v>3</v>
      </c>
      <c r="L17" s="33">
        <v>0.7</v>
      </c>
      <c r="M17" s="33">
        <v>0.79</v>
      </c>
      <c r="N17" s="33">
        <v>0.72</v>
      </c>
      <c r="O17" s="33">
        <v>0.82</v>
      </c>
      <c r="P17" s="36">
        <v>0.82</v>
      </c>
      <c r="Q17" s="25">
        <v>3</v>
      </c>
      <c r="R17" s="26">
        <v>0.65</v>
      </c>
      <c r="S17" s="26">
        <v>0.7</v>
      </c>
      <c r="T17" s="26">
        <v>0.75</v>
      </c>
      <c r="U17" s="26">
        <v>0.8</v>
      </c>
      <c r="V17" s="26">
        <v>0.85</v>
      </c>
      <c r="W17" s="23">
        <v>1</v>
      </c>
      <c r="X17" s="1">
        <v>3</v>
      </c>
      <c r="Y17" s="26">
        <v>0.75</v>
      </c>
      <c r="Z17" s="26">
        <v>0.85</v>
      </c>
      <c r="AA17" s="26">
        <v>0.9</v>
      </c>
      <c r="AB17" s="26">
        <v>0.95</v>
      </c>
      <c r="AC17" s="29">
        <v>1</v>
      </c>
      <c r="AF17">
        <v>14</v>
      </c>
    </row>
    <row r="18" spans="1:32">
      <c r="A18" s="1">
        <v>16</v>
      </c>
      <c r="B18" s="2" t="s">
        <v>2</v>
      </c>
      <c r="D18" s="17" t="s">
        <v>33</v>
      </c>
      <c r="E18" s="18">
        <v>1</v>
      </c>
      <c r="F18" s="18">
        <v>1</v>
      </c>
      <c r="G18" s="18">
        <v>1</v>
      </c>
      <c r="H18" s="18">
        <v>1</v>
      </c>
      <c r="J18" s="40" t="s">
        <v>93</v>
      </c>
      <c r="K18" s="1">
        <v>4</v>
      </c>
      <c r="L18" s="33">
        <v>0.65</v>
      </c>
      <c r="M18" s="33">
        <v>0.75</v>
      </c>
      <c r="N18" s="33">
        <v>0.68</v>
      </c>
      <c r="O18" s="33">
        <v>0.77</v>
      </c>
      <c r="P18" s="36">
        <v>0.8</v>
      </c>
      <c r="Q18" s="25">
        <v>4</v>
      </c>
      <c r="R18" s="26">
        <v>0.6</v>
      </c>
      <c r="S18" s="26">
        <v>0.6</v>
      </c>
      <c r="T18" s="26">
        <v>0.7</v>
      </c>
      <c r="U18" s="26">
        <v>0.75</v>
      </c>
      <c r="V18" s="26">
        <v>0.8</v>
      </c>
      <c r="W18" s="23">
        <v>1</v>
      </c>
      <c r="X18" s="1">
        <v>4</v>
      </c>
      <c r="Y18" s="26">
        <v>0.7</v>
      </c>
      <c r="Z18" s="26">
        <v>0.8</v>
      </c>
      <c r="AA18" s="26">
        <v>0.85</v>
      </c>
      <c r="AB18" s="26">
        <v>0.9</v>
      </c>
      <c r="AC18" s="29">
        <v>1</v>
      </c>
      <c r="AF18">
        <v>15</v>
      </c>
    </row>
    <row r="19" spans="1:32">
      <c r="A19" s="1">
        <v>17</v>
      </c>
      <c r="B19" s="2" t="s">
        <v>77</v>
      </c>
      <c r="D19" s="17" t="s">
        <v>59</v>
      </c>
      <c r="E19" s="18">
        <v>0.94</v>
      </c>
      <c r="F19" s="18">
        <v>0.96</v>
      </c>
      <c r="G19" s="18">
        <v>0.93</v>
      </c>
      <c r="H19" s="18">
        <v>0.96</v>
      </c>
      <c r="J19" s="40" t="s">
        <v>94</v>
      </c>
      <c r="K19" s="1">
        <v>5</v>
      </c>
      <c r="L19" s="33">
        <v>0.6</v>
      </c>
      <c r="M19" s="33">
        <v>0.73</v>
      </c>
      <c r="N19" s="33">
        <v>0.66</v>
      </c>
      <c r="O19" s="33">
        <v>0.75</v>
      </c>
      <c r="P19" s="36">
        <v>0.8</v>
      </c>
      <c r="Q19" s="25">
        <v>5</v>
      </c>
      <c r="R19" s="26">
        <v>0.55000000000000004</v>
      </c>
      <c r="S19" s="26">
        <v>0.55000000000000004</v>
      </c>
      <c r="T19" s="26">
        <v>0.65</v>
      </c>
      <c r="U19" s="26">
        <v>0.7</v>
      </c>
      <c r="V19" s="26">
        <v>0.8</v>
      </c>
      <c r="W19" s="22">
        <v>1</v>
      </c>
      <c r="X19" s="1">
        <v>5</v>
      </c>
      <c r="Y19" s="26">
        <v>0.65</v>
      </c>
      <c r="Z19" s="26">
        <v>0.8</v>
      </c>
      <c r="AA19" s="26">
        <v>0.85</v>
      </c>
      <c r="AB19" s="26">
        <v>0.9</v>
      </c>
      <c r="AC19" s="28">
        <v>1</v>
      </c>
      <c r="AF19">
        <v>16</v>
      </c>
    </row>
    <row r="20" spans="1:32">
      <c r="A20" s="1">
        <v>18</v>
      </c>
      <c r="B20" s="2" t="s">
        <v>77</v>
      </c>
      <c r="D20" s="17" t="s">
        <v>60</v>
      </c>
      <c r="E20" s="18">
        <v>0.87</v>
      </c>
      <c r="F20" s="18">
        <v>0.91</v>
      </c>
      <c r="G20" s="18">
        <v>0.85</v>
      </c>
      <c r="H20" s="18">
        <v>0.92</v>
      </c>
      <c r="J20" s="40" t="s">
        <v>95</v>
      </c>
      <c r="K20" s="1">
        <v>6</v>
      </c>
      <c r="L20" s="33">
        <v>0.56999999999999995</v>
      </c>
      <c r="M20" s="33">
        <v>0.72</v>
      </c>
      <c r="N20" s="33">
        <v>0.64</v>
      </c>
      <c r="O20" s="33">
        <v>0.73</v>
      </c>
      <c r="P20" s="36">
        <v>0.79</v>
      </c>
      <c r="Q20" s="25">
        <v>6</v>
      </c>
      <c r="R20" s="26">
        <v>0.5</v>
      </c>
      <c r="S20" s="26">
        <v>0.55000000000000004</v>
      </c>
      <c r="T20" s="26">
        <v>0.6</v>
      </c>
      <c r="U20" s="26">
        <v>0.7</v>
      </c>
      <c r="V20" s="26">
        <v>0.8</v>
      </c>
      <c r="W20" s="23">
        <v>1</v>
      </c>
      <c r="X20" s="1">
        <v>6</v>
      </c>
      <c r="Y20" s="26">
        <v>0.6</v>
      </c>
      <c r="Z20" s="26">
        <v>0.8</v>
      </c>
      <c r="AA20" s="26">
        <v>0.8</v>
      </c>
      <c r="AB20" s="26">
        <v>0.9</v>
      </c>
      <c r="AC20" s="29">
        <v>1</v>
      </c>
    </row>
    <row r="21" spans="1:32">
      <c r="A21" s="1">
        <v>19</v>
      </c>
      <c r="B21" s="2" t="s">
        <v>77</v>
      </c>
      <c r="D21" s="17" t="s">
        <v>61</v>
      </c>
      <c r="E21" s="18">
        <v>0.79</v>
      </c>
      <c r="F21" s="18">
        <v>0.87</v>
      </c>
      <c r="G21" s="18">
        <v>0.78</v>
      </c>
      <c r="H21" s="18">
        <v>0.88</v>
      </c>
      <c r="J21" s="40" t="s">
        <v>91</v>
      </c>
      <c r="K21" s="1">
        <v>7</v>
      </c>
      <c r="L21" s="33">
        <v>0.54</v>
      </c>
      <c r="M21" s="33">
        <v>0.72</v>
      </c>
      <c r="N21" s="33">
        <v>0.63</v>
      </c>
      <c r="O21" s="33">
        <v>0.73</v>
      </c>
      <c r="P21" s="36">
        <v>0.79</v>
      </c>
      <c r="Q21" s="25">
        <v>7</v>
      </c>
      <c r="R21" s="26">
        <v>0.45</v>
      </c>
      <c r="S21" s="26">
        <v>0.51</v>
      </c>
      <c r="T21" s="26">
        <v>0.59</v>
      </c>
      <c r="U21" s="26">
        <v>0.67</v>
      </c>
      <c r="V21" s="26">
        <v>0.76</v>
      </c>
      <c r="W21" s="23">
        <v>1</v>
      </c>
      <c r="X21" s="1">
        <v>7</v>
      </c>
      <c r="Y21" s="26">
        <v>0.56999999999999995</v>
      </c>
      <c r="Z21" s="26">
        <v>0.76</v>
      </c>
      <c r="AA21" s="26">
        <v>0.8</v>
      </c>
      <c r="AB21" s="26">
        <v>0.88</v>
      </c>
      <c r="AC21" s="29">
        <v>1</v>
      </c>
    </row>
    <row r="22" spans="1:32">
      <c r="A22" s="1">
        <v>20</v>
      </c>
      <c r="B22" s="2" t="s">
        <v>6</v>
      </c>
      <c r="D22" s="17" t="s">
        <v>62</v>
      </c>
      <c r="E22" s="18">
        <v>0.71</v>
      </c>
      <c r="F22" s="18">
        <v>0.82</v>
      </c>
      <c r="G22" s="18">
        <v>0.67</v>
      </c>
      <c r="H22" s="18">
        <v>0.84</v>
      </c>
      <c r="J22" s="40" t="s">
        <v>96</v>
      </c>
      <c r="K22" s="1">
        <v>8</v>
      </c>
      <c r="L22" s="33">
        <v>0.52</v>
      </c>
      <c r="M22" s="33">
        <v>0.71</v>
      </c>
      <c r="N22" s="33">
        <v>0.62</v>
      </c>
      <c r="O22" s="33">
        <v>0.72</v>
      </c>
      <c r="P22" s="36">
        <v>0.78</v>
      </c>
      <c r="Q22" s="25">
        <v>8</v>
      </c>
      <c r="R22" s="26">
        <v>0.43</v>
      </c>
      <c r="S22" s="26">
        <v>0.48</v>
      </c>
      <c r="T22" s="26">
        <v>0.56999999999999995</v>
      </c>
      <c r="U22" s="26">
        <v>0.65</v>
      </c>
      <c r="V22" s="26">
        <v>0.75</v>
      </c>
      <c r="W22" s="23">
        <v>1</v>
      </c>
      <c r="X22" s="1">
        <v>8</v>
      </c>
      <c r="Y22" s="26">
        <v>0.54</v>
      </c>
      <c r="Z22" s="26">
        <v>0.74</v>
      </c>
      <c r="AA22" s="26">
        <v>0.78</v>
      </c>
      <c r="AB22" s="26">
        <v>0.88</v>
      </c>
      <c r="AC22" s="29">
        <v>1</v>
      </c>
    </row>
    <row r="23" spans="1:32">
      <c r="A23" s="1">
        <v>21</v>
      </c>
      <c r="B23" s="2" t="s">
        <v>6</v>
      </c>
      <c r="D23" s="17" t="s">
        <v>63</v>
      </c>
      <c r="E23" s="18">
        <v>0.61</v>
      </c>
      <c r="F23" s="18">
        <v>0.76</v>
      </c>
      <c r="G23" s="18">
        <v>0.56999999999999995</v>
      </c>
      <c r="H23" s="18">
        <v>0.8</v>
      </c>
      <c r="J23" s="40" t="s">
        <v>36</v>
      </c>
      <c r="K23" s="1">
        <v>9</v>
      </c>
      <c r="L23" s="33">
        <v>0.5</v>
      </c>
      <c r="M23" s="33">
        <v>0.7</v>
      </c>
      <c r="N23" s="33">
        <v>0.61</v>
      </c>
      <c r="O23" s="33">
        <v>0.72</v>
      </c>
      <c r="P23" s="36">
        <v>0.78</v>
      </c>
      <c r="Q23" s="25">
        <v>9</v>
      </c>
      <c r="R23" s="26">
        <v>0.41</v>
      </c>
      <c r="S23" s="26">
        <v>0.46</v>
      </c>
      <c r="T23" s="26">
        <v>0.55000000000000004</v>
      </c>
      <c r="U23" s="26">
        <v>0.63</v>
      </c>
      <c r="V23" s="26">
        <v>0.74</v>
      </c>
      <c r="W23" s="22">
        <v>1</v>
      </c>
      <c r="X23" s="1">
        <v>9</v>
      </c>
      <c r="Y23" s="26">
        <v>0.52</v>
      </c>
      <c r="Z23" s="26">
        <v>0.73</v>
      </c>
      <c r="AA23" s="26">
        <v>0.77</v>
      </c>
      <c r="AB23" s="26">
        <v>0.87</v>
      </c>
      <c r="AC23" s="28">
        <v>1</v>
      </c>
    </row>
    <row r="24" spans="1:32">
      <c r="A24" s="1">
        <v>22</v>
      </c>
      <c r="B24" s="2" t="s">
        <v>7</v>
      </c>
      <c r="D24" s="17" t="s">
        <v>64</v>
      </c>
      <c r="E24" s="18">
        <v>0.5</v>
      </c>
      <c r="F24" s="18">
        <v>0.71</v>
      </c>
      <c r="G24" s="18">
        <v>0.45</v>
      </c>
      <c r="H24" s="18">
        <v>0.75</v>
      </c>
      <c r="K24" s="1">
        <v>10</v>
      </c>
      <c r="L24" s="33">
        <v>0.45</v>
      </c>
      <c r="M24" s="33">
        <v>0.7</v>
      </c>
      <c r="N24" s="33">
        <v>0.61</v>
      </c>
      <c r="O24" s="33">
        <v>0.72</v>
      </c>
      <c r="P24" s="36">
        <v>0.78</v>
      </c>
      <c r="Q24" s="25">
        <v>10</v>
      </c>
      <c r="R24" s="26">
        <v>0.36</v>
      </c>
      <c r="S24" s="26">
        <v>0.42</v>
      </c>
      <c r="T24" s="26">
        <v>0.51</v>
      </c>
      <c r="U24" s="26">
        <v>0.59</v>
      </c>
      <c r="V24" s="26">
        <v>0.71</v>
      </c>
      <c r="W24" s="23">
        <v>1</v>
      </c>
      <c r="X24" s="1">
        <v>10</v>
      </c>
      <c r="Y24" s="26">
        <v>0.49</v>
      </c>
      <c r="Z24" s="26">
        <v>0.72</v>
      </c>
      <c r="AA24" s="26">
        <v>0.76</v>
      </c>
      <c r="AB24" s="26">
        <v>0.86</v>
      </c>
      <c r="AC24" s="29">
        <v>1</v>
      </c>
    </row>
    <row r="25" spans="1:32">
      <c r="A25" s="1">
        <v>23</v>
      </c>
      <c r="B25" s="2" t="s">
        <v>6</v>
      </c>
      <c r="D25" s="17" t="s">
        <v>65</v>
      </c>
      <c r="E25" s="18">
        <v>0.5</v>
      </c>
      <c r="F25" s="18">
        <v>0.65</v>
      </c>
      <c r="G25" s="18">
        <v>0.45</v>
      </c>
      <c r="H25" s="18">
        <v>0.7</v>
      </c>
      <c r="K25" s="1">
        <v>11</v>
      </c>
      <c r="L25" s="33">
        <v>0.45</v>
      </c>
      <c r="M25" s="33">
        <v>0.7</v>
      </c>
      <c r="N25" s="33">
        <v>0.61</v>
      </c>
      <c r="O25" s="33">
        <v>0.72</v>
      </c>
      <c r="P25" s="36">
        <v>0.78</v>
      </c>
      <c r="Q25" s="25">
        <v>11</v>
      </c>
      <c r="R25" s="26">
        <v>0.36</v>
      </c>
      <c r="S25" s="26">
        <v>0.42</v>
      </c>
      <c r="T25" s="26">
        <v>0.51</v>
      </c>
      <c r="U25" s="26">
        <v>0.59</v>
      </c>
      <c r="V25" s="26">
        <v>0.71</v>
      </c>
      <c r="W25" s="23">
        <v>1</v>
      </c>
      <c r="X25" s="1">
        <v>11</v>
      </c>
      <c r="Y25" s="26">
        <v>0.47</v>
      </c>
      <c r="Z25" s="26">
        <v>0.7</v>
      </c>
      <c r="AA25" s="26">
        <v>0.75</v>
      </c>
      <c r="AB25" s="26">
        <v>0.86</v>
      </c>
      <c r="AC25" s="29">
        <v>1</v>
      </c>
    </row>
    <row r="26" spans="1:32">
      <c r="A26" s="1">
        <v>24</v>
      </c>
      <c r="B26" s="2" t="s">
        <v>77</v>
      </c>
      <c r="D26" s="17" t="s">
        <v>66</v>
      </c>
      <c r="E26" s="18">
        <v>0.5</v>
      </c>
      <c r="F26" s="18">
        <v>0.57999999999999996</v>
      </c>
      <c r="G26" s="18">
        <v>0.45</v>
      </c>
      <c r="H26" s="18">
        <v>0.65</v>
      </c>
      <c r="K26" s="1">
        <v>12</v>
      </c>
      <c r="L26" s="33">
        <v>0.45</v>
      </c>
      <c r="M26" s="33">
        <v>0.7</v>
      </c>
      <c r="N26" s="33">
        <v>0.61</v>
      </c>
      <c r="O26" s="33">
        <v>0.72</v>
      </c>
      <c r="P26" s="36">
        <v>0.78</v>
      </c>
      <c r="Q26" s="25">
        <v>12</v>
      </c>
      <c r="R26" s="26">
        <v>0.36</v>
      </c>
      <c r="S26" s="26">
        <v>0.42</v>
      </c>
      <c r="T26" s="26">
        <v>0.51</v>
      </c>
      <c r="U26" s="26">
        <v>0.59</v>
      </c>
      <c r="V26" s="26">
        <v>0.71</v>
      </c>
      <c r="W26" s="23">
        <v>1</v>
      </c>
      <c r="X26" s="1">
        <v>12</v>
      </c>
      <c r="Y26" s="26">
        <v>0.45</v>
      </c>
      <c r="Z26" s="26">
        <v>0.69</v>
      </c>
      <c r="AA26" s="26">
        <v>0.74</v>
      </c>
      <c r="AB26" s="26">
        <v>0.85</v>
      </c>
      <c r="AC26" s="29">
        <v>1</v>
      </c>
    </row>
    <row r="27" spans="1:32">
      <c r="A27" s="1">
        <v>25</v>
      </c>
      <c r="B27" s="2" t="s">
        <v>77</v>
      </c>
      <c r="D27" s="17" t="s">
        <v>67</v>
      </c>
      <c r="E27" s="18">
        <v>0.5</v>
      </c>
      <c r="F27" s="18">
        <v>0.5</v>
      </c>
      <c r="G27" s="18">
        <v>0.45</v>
      </c>
      <c r="H27" s="18">
        <v>0.6</v>
      </c>
      <c r="K27" s="1">
        <v>13</v>
      </c>
      <c r="L27" s="33">
        <v>0.41</v>
      </c>
      <c r="M27" s="33">
        <v>0.7</v>
      </c>
      <c r="N27" s="33">
        <v>0.61</v>
      </c>
      <c r="O27" s="33">
        <v>0.72</v>
      </c>
      <c r="P27" s="36">
        <v>0.78</v>
      </c>
      <c r="Q27" s="25">
        <v>13</v>
      </c>
      <c r="R27" s="26">
        <v>0.32</v>
      </c>
      <c r="S27" s="26">
        <v>0.38</v>
      </c>
      <c r="T27" s="26">
        <v>0.47</v>
      </c>
      <c r="U27" s="26">
        <v>0.56000000000000005</v>
      </c>
      <c r="V27" s="26">
        <v>0.68</v>
      </c>
      <c r="W27" s="22">
        <v>1</v>
      </c>
      <c r="X27" s="1">
        <v>13</v>
      </c>
      <c r="Y27" s="26">
        <v>0.44</v>
      </c>
      <c r="Z27" s="26">
        <v>0.68</v>
      </c>
      <c r="AA27" s="26">
        <v>0.73</v>
      </c>
      <c r="AB27" s="26">
        <v>0.85</v>
      </c>
      <c r="AC27" s="28">
        <v>1</v>
      </c>
    </row>
    <row r="28" spans="1:32">
      <c r="A28" s="1">
        <v>26</v>
      </c>
      <c r="B28" s="2" t="s">
        <v>77</v>
      </c>
      <c r="D28" s="17" t="s">
        <v>68</v>
      </c>
      <c r="E28" s="18">
        <v>0.5</v>
      </c>
      <c r="F28" s="18">
        <v>0.41</v>
      </c>
      <c r="G28" s="18">
        <v>0.45</v>
      </c>
      <c r="H28" s="18">
        <v>0.54</v>
      </c>
      <c r="K28" s="1">
        <v>14</v>
      </c>
      <c r="L28" s="33">
        <v>0.41</v>
      </c>
      <c r="M28" s="33">
        <v>0.7</v>
      </c>
      <c r="N28" s="33">
        <v>0.61</v>
      </c>
      <c r="O28" s="33">
        <v>0.72</v>
      </c>
      <c r="P28" s="36">
        <v>0.78</v>
      </c>
      <c r="Q28" s="25">
        <v>14</v>
      </c>
      <c r="R28" s="26">
        <v>0.32</v>
      </c>
      <c r="S28" s="26">
        <v>0.38</v>
      </c>
      <c r="T28" s="26">
        <v>0.47</v>
      </c>
      <c r="U28" s="26">
        <v>0.56000000000000005</v>
      </c>
      <c r="V28" s="26">
        <v>0.68</v>
      </c>
      <c r="W28" s="23">
        <v>1</v>
      </c>
      <c r="X28" s="1">
        <v>14</v>
      </c>
      <c r="Y28" s="26">
        <v>0.42</v>
      </c>
      <c r="Z28" s="26">
        <v>0.68</v>
      </c>
      <c r="AA28" s="26">
        <v>0.72</v>
      </c>
      <c r="AB28" s="26">
        <v>0.84</v>
      </c>
      <c r="AC28" s="29">
        <v>1</v>
      </c>
    </row>
    <row r="29" spans="1:32">
      <c r="A29" s="1">
        <v>27</v>
      </c>
      <c r="B29" s="2" t="s">
        <v>77</v>
      </c>
      <c r="D29" s="17" t="s">
        <v>69</v>
      </c>
      <c r="E29" s="18">
        <v>0.5</v>
      </c>
      <c r="F29" s="18">
        <v>0.41</v>
      </c>
      <c r="G29" s="18">
        <v>0.45</v>
      </c>
      <c r="H29" s="18">
        <v>0.47</v>
      </c>
      <c r="K29" s="1">
        <v>15</v>
      </c>
      <c r="L29" s="33">
        <v>0.41</v>
      </c>
      <c r="M29" s="33">
        <v>0.7</v>
      </c>
      <c r="N29" s="33">
        <v>0.61</v>
      </c>
      <c r="O29" s="33">
        <v>0.72</v>
      </c>
      <c r="P29" s="36">
        <v>0.78</v>
      </c>
      <c r="Q29" s="25">
        <v>15</v>
      </c>
      <c r="R29" s="26">
        <v>0.32</v>
      </c>
      <c r="S29" s="26">
        <v>0.38</v>
      </c>
      <c r="T29" s="26">
        <v>0.47</v>
      </c>
      <c r="U29" s="26">
        <v>0.56000000000000005</v>
      </c>
      <c r="V29" s="26">
        <v>0.68</v>
      </c>
      <c r="W29" s="23">
        <v>1</v>
      </c>
      <c r="X29" s="1">
        <v>15</v>
      </c>
      <c r="Y29" s="26">
        <v>0.41</v>
      </c>
      <c r="Z29" s="26">
        <v>0.67</v>
      </c>
      <c r="AA29" s="26">
        <v>0.72</v>
      </c>
      <c r="AB29" s="26">
        <v>0.84</v>
      </c>
      <c r="AC29" s="29">
        <v>1</v>
      </c>
    </row>
    <row r="30" spans="1:32">
      <c r="A30" s="1">
        <v>28</v>
      </c>
      <c r="B30" s="2" t="s">
        <v>77</v>
      </c>
      <c r="D30" s="17" t="s">
        <v>70</v>
      </c>
      <c r="E30" s="18">
        <v>0.5</v>
      </c>
      <c r="F30" s="18">
        <v>0.41</v>
      </c>
      <c r="G30" s="18">
        <v>0.45</v>
      </c>
      <c r="H30" s="18">
        <v>0.4</v>
      </c>
      <c r="K30" s="1">
        <v>16</v>
      </c>
      <c r="L30" s="33">
        <v>0.41</v>
      </c>
      <c r="M30" s="33">
        <v>0.7</v>
      </c>
      <c r="N30" s="33">
        <v>0.61</v>
      </c>
      <c r="O30" s="33">
        <v>0.72</v>
      </c>
      <c r="P30" s="36">
        <v>0.78</v>
      </c>
      <c r="Q30" s="25">
        <v>16</v>
      </c>
      <c r="R30" s="26">
        <v>0.32</v>
      </c>
      <c r="S30" s="26">
        <v>0.38</v>
      </c>
      <c r="T30" s="26">
        <v>0.47</v>
      </c>
      <c r="U30" s="26">
        <v>0.56000000000000005</v>
      </c>
      <c r="V30" s="26">
        <v>0.68</v>
      </c>
      <c r="W30" s="23">
        <v>1</v>
      </c>
      <c r="X30" s="1">
        <v>16</v>
      </c>
      <c r="Y30" s="26">
        <v>0.39</v>
      </c>
      <c r="Z30" s="26">
        <v>0.66</v>
      </c>
      <c r="AA30" s="26">
        <v>0.71</v>
      </c>
      <c r="AB30" s="26">
        <v>0.83</v>
      </c>
      <c r="AC30" s="29">
        <v>1</v>
      </c>
    </row>
    <row r="31" spans="1:32">
      <c r="A31" s="1">
        <v>29</v>
      </c>
      <c r="B31" s="2" t="s">
        <v>77</v>
      </c>
      <c r="D31" s="17" t="s">
        <v>71</v>
      </c>
      <c r="E31" s="18">
        <v>0.5</v>
      </c>
      <c r="F31" s="18">
        <v>0.41</v>
      </c>
      <c r="G31" s="18">
        <v>0.45</v>
      </c>
      <c r="H31" s="18">
        <v>0.32</v>
      </c>
      <c r="K31" s="1">
        <v>17</v>
      </c>
      <c r="L31" s="33">
        <v>0.38</v>
      </c>
      <c r="M31" s="33">
        <v>0.7</v>
      </c>
      <c r="N31" s="33">
        <v>0.61</v>
      </c>
      <c r="O31" s="33">
        <v>0.72</v>
      </c>
      <c r="P31" s="36">
        <v>0.78</v>
      </c>
      <c r="Q31" s="25">
        <v>17</v>
      </c>
      <c r="R31" s="26">
        <v>0.28999999999999998</v>
      </c>
      <c r="S31" s="26">
        <v>0.35</v>
      </c>
      <c r="T31" s="26">
        <v>0.44</v>
      </c>
      <c r="U31" s="26">
        <v>0.53</v>
      </c>
      <c r="V31" s="26">
        <v>0.66</v>
      </c>
      <c r="W31" s="22">
        <v>1</v>
      </c>
      <c r="X31" s="1">
        <v>17</v>
      </c>
      <c r="Y31" s="26">
        <v>0.38</v>
      </c>
      <c r="Z31" s="26">
        <v>0.65</v>
      </c>
      <c r="AA31" s="26">
        <v>0.7</v>
      </c>
      <c r="AB31" s="26">
        <v>0.83</v>
      </c>
      <c r="AC31" s="28">
        <v>1</v>
      </c>
    </row>
    <row r="32" spans="1:32">
      <c r="A32" s="1">
        <v>30</v>
      </c>
      <c r="B32" s="2" t="s">
        <v>6</v>
      </c>
      <c r="K32" s="1">
        <v>18</v>
      </c>
      <c r="L32" s="33">
        <v>0.38</v>
      </c>
      <c r="M32" s="33">
        <v>0.7</v>
      </c>
      <c r="N32" s="33">
        <v>0.61</v>
      </c>
      <c r="O32" s="33">
        <v>0.72</v>
      </c>
      <c r="P32" s="36">
        <v>0.78</v>
      </c>
      <c r="Q32" s="25">
        <v>18</v>
      </c>
      <c r="R32" s="26">
        <v>0.28999999999999998</v>
      </c>
      <c r="S32" s="26">
        <v>0.35</v>
      </c>
      <c r="T32" s="26">
        <v>0.44</v>
      </c>
      <c r="U32" s="26">
        <v>0.53</v>
      </c>
      <c r="V32" s="26">
        <v>0.66</v>
      </c>
      <c r="W32" s="23">
        <v>1</v>
      </c>
      <c r="X32" s="1">
        <v>18</v>
      </c>
      <c r="Y32" s="26">
        <v>0.37</v>
      </c>
      <c r="Z32" s="26">
        <v>0.65</v>
      </c>
      <c r="AA32" s="26">
        <v>0.7</v>
      </c>
      <c r="AB32" s="26">
        <v>0.83</v>
      </c>
      <c r="AC32" s="29">
        <v>1</v>
      </c>
    </row>
    <row r="33" spans="1:41">
      <c r="A33" s="1">
        <v>31</v>
      </c>
      <c r="B33" s="2" t="s">
        <v>7</v>
      </c>
      <c r="D33" s="19" t="s">
        <v>75</v>
      </c>
      <c r="K33" s="1">
        <v>19</v>
      </c>
      <c r="L33" s="33">
        <v>0.38</v>
      </c>
      <c r="M33" s="33">
        <v>0.7</v>
      </c>
      <c r="N33" s="33">
        <v>0.61</v>
      </c>
      <c r="O33" s="33">
        <v>0.72</v>
      </c>
      <c r="P33" s="36">
        <v>0.78</v>
      </c>
      <c r="Q33" s="25">
        <v>19</v>
      </c>
      <c r="R33" s="26">
        <v>0.28999999999999998</v>
      </c>
      <c r="S33" s="26">
        <v>0.35</v>
      </c>
      <c r="T33" s="26">
        <v>0.44</v>
      </c>
      <c r="U33" s="26">
        <v>0.53</v>
      </c>
      <c r="V33" s="26">
        <v>0.66</v>
      </c>
      <c r="W33" s="23">
        <v>1</v>
      </c>
      <c r="X33" s="1">
        <v>19</v>
      </c>
      <c r="Y33" s="26">
        <v>0.35</v>
      </c>
      <c r="Z33" s="26">
        <v>0.64</v>
      </c>
      <c r="AA33" s="26">
        <v>0.69</v>
      </c>
      <c r="AB33" s="26">
        <v>0.82</v>
      </c>
      <c r="AC33" s="29">
        <v>1</v>
      </c>
    </row>
    <row r="34" spans="1:41">
      <c r="A34" s="1">
        <v>32</v>
      </c>
      <c r="B34" s="2" t="s">
        <v>7</v>
      </c>
      <c r="D34" s="20" t="s">
        <v>79</v>
      </c>
      <c r="E34" s="12" t="s">
        <v>40</v>
      </c>
      <c r="F34" s="12" t="s">
        <v>158</v>
      </c>
      <c r="K34" s="1">
        <v>20</v>
      </c>
      <c r="L34" s="33">
        <v>0.38</v>
      </c>
      <c r="M34" s="33">
        <v>0.7</v>
      </c>
      <c r="N34" s="33">
        <v>0.61</v>
      </c>
      <c r="O34" s="33">
        <v>0.72</v>
      </c>
      <c r="P34" s="36">
        <v>0.78</v>
      </c>
      <c r="Q34" s="25">
        <v>20</v>
      </c>
      <c r="R34" s="26">
        <v>0.28999999999999998</v>
      </c>
      <c r="S34" s="26">
        <v>0.35</v>
      </c>
      <c r="T34" s="26">
        <v>0.44</v>
      </c>
      <c r="U34" s="26">
        <v>0.53</v>
      </c>
      <c r="V34" s="26">
        <v>0.66</v>
      </c>
      <c r="W34" s="23">
        <v>1</v>
      </c>
      <c r="X34" s="1">
        <v>20</v>
      </c>
      <c r="Y34" s="26">
        <v>0.34</v>
      </c>
      <c r="Z34" s="26">
        <v>0.63</v>
      </c>
      <c r="AA34" s="26">
        <v>0.68</v>
      </c>
      <c r="AB34" s="26">
        <v>0.82</v>
      </c>
      <c r="AC34" s="29">
        <v>1</v>
      </c>
    </row>
    <row r="35" spans="1:41" ht="15" thickBot="1">
      <c r="A35" s="1">
        <v>33</v>
      </c>
      <c r="B35" s="2" t="s">
        <v>7</v>
      </c>
      <c r="D35" s="17" t="s">
        <v>72</v>
      </c>
      <c r="E35" s="18">
        <v>1.1000000000000001</v>
      </c>
      <c r="F35" s="18">
        <v>1.07</v>
      </c>
      <c r="K35" s="3" t="s">
        <v>85</v>
      </c>
      <c r="L35" s="37">
        <v>0.38</v>
      </c>
      <c r="M35" s="37">
        <v>0.7</v>
      </c>
      <c r="N35" s="37">
        <v>0.61</v>
      </c>
      <c r="O35" s="37">
        <v>0.72</v>
      </c>
      <c r="P35" s="38">
        <v>0.78</v>
      </c>
      <c r="Q35" s="32" t="s">
        <v>85</v>
      </c>
      <c r="R35" s="30">
        <v>0.28999999999999998</v>
      </c>
      <c r="S35" s="30">
        <v>0.35</v>
      </c>
      <c r="T35" s="30">
        <v>0.44</v>
      </c>
      <c r="U35" s="30">
        <v>0.53</v>
      </c>
      <c r="V35" s="30">
        <v>0.66</v>
      </c>
      <c r="W35" s="39">
        <v>1</v>
      </c>
      <c r="X35" s="3" t="s">
        <v>85</v>
      </c>
      <c r="Y35" s="30">
        <v>0.34</v>
      </c>
      <c r="Z35" s="30">
        <v>0.63</v>
      </c>
      <c r="AA35" s="30">
        <v>0.68</v>
      </c>
      <c r="AB35" s="30">
        <v>0.82</v>
      </c>
      <c r="AC35" s="31">
        <v>1</v>
      </c>
    </row>
    <row r="36" spans="1:41">
      <c r="A36" s="1">
        <v>34</v>
      </c>
      <c r="B36" s="2" t="s">
        <v>7</v>
      </c>
      <c r="D36" s="17" t="s">
        <v>73</v>
      </c>
      <c r="E36" s="18">
        <v>1.05</v>
      </c>
      <c r="F36" s="18">
        <v>1.04</v>
      </c>
    </row>
    <row r="37" spans="1:41">
      <c r="A37" s="1">
        <v>35</v>
      </c>
      <c r="B37" s="2" t="s">
        <v>7</v>
      </c>
      <c r="D37" s="17" t="s">
        <v>74</v>
      </c>
      <c r="E37" s="18">
        <v>1</v>
      </c>
      <c r="F37" s="18">
        <v>1</v>
      </c>
    </row>
    <row r="38" spans="1:41">
      <c r="A38" s="1">
        <v>36</v>
      </c>
      <c r="B38" s="2" t="s">
        <v>9</v>
      </c>
      <c r="D38" s="17" t="s">
        <v>42</v>
      </c>
      <c r="E38" s="18">
        <v>0.95</v>
      </c>
      <c r="F38" s="18">
        <v>0.96</v>
      </c>
    </row>
    <row r="39" spans="1:41" ht="15" thickBot="1">
      <c r="A39" s="1">
        <v>37</v>
      </c>
      <c r="B39" s="2" t="s">
        <v>77</v>
      </c>
      <c r="D39" s="17" t="s">
        <v>33</v>
      </c>
      <c r="E39" s="18">
        <v>0.89</v>
      </c>
      <c r="F39" s="18">
        <v>0.93</v>
      </c>
      <c r="K39" t="s">
        <v>122</v>
      </c>
      <c r="O39">
        <v>31</v>
      </c>
      <c r="Z39">
        <v>30</v>
      </c>
      <c r="AD39" t="s">
        <v>117</v>
      </c>
    </row>
    <row r="40" spans="1:41">
      <c r="A40" s="1">
        <v>38</v>
      </c>
      <c r="B40" s="2" t="s">
        <v>77</v>
      </c>
      <c r="D40" s="17" t="s">
        <v>59</v>
      </c>
      <c r="E40" s="18">
        <v>0.84</v>
      </c>
      <c r="F40" s="18">
        <v>0.89</v>
      </c>
      <c r="I40" t="s">
        <v>108</v>
      </c>
      <c r="K40" s="14"/>
      <c r="L40" s="205" t="s">
        <v>100</v>
      </c>
      <c r="M40" s="205"/>
      <c r="N40" s="205"/>
      <c r="O40" s="206"/>
      <c r="P40" s="59" t="s">
        <v>102</v>
      </c>
      <c r="Q40" s="61"/>
      <c r="R40" s="59" t="s">
        <v>101</v>
      </c>
      <c r="S40" s="60"/>
      <c r="T40" s="60"/>
      <c r="U40" s="61"/>
      <c r="V40" s="59" t="s">
        <v>103</v>
      </c>
      <c r="W40" s="61"/>
      <c r="X40" s="59" t="s">
        <v>104</v>
      </c>
      <c r="Y40" s="60"/>
      <c r="Z40" s="60"/>
      <c r="AA40" s="61"/>
      <c r="AB40" s="59" t="s">
        <v>102</v>
      </c>
      <c r="AC40" s="61"/>
      <c r="AD40" s="59" t="s">
        <v>105</v>
      </c>
      <c r="AE40" s="60"/>
      <c r="AF40" s="60"/>
      <c r="AG40" s="61"/>
      <c r="AH40" s="59" t="s">
        <v>102</v>
      </c>
      <c r="AI40" s="61"/>
      <c r="AJ40" s="59" t="s">
        <v>106</v>
      </c>
      <c r="AK40" s="60"/>
      <c r="AL40" s="60"/>
      <c r="AM40" s="61"/>
      <c r="AN40" s="59" t="s">
        <v>103</v>
      </c>
      <c r="AO40" s="61"/>
    </row>
    <row r="41" spans="1:41" ht="15" thickBot="1">
      <c r="A41" s="1">
        <v>39</v>
      </c>
      <c r="B41" s="2" t="s">
        <v>77</v>
      </c>
      <c r="D41" s="17" t="s">
        <v>60</v>
      </c>
      <c r="E41" s="18">
        <v>0.77</v>
      </c>
      <c r="F41" s="18">
        <v>0.85</v>
      </c>
      <c r="I41" t="s">
        <v>109</v>
      </c>
      <c r="K41" s="1"/>
      <c r="L41" s="207" t="s">
        <v>107</v>
      </c>
      <c r="M41" s="207"/>
      <c r="N41" s="207"/>
      <c r="O41" s="208"/>
      <c r="P41" s="62"/>
      <c r="Q41" s="64"/>
      <c r="R41" s="62"/>
      <c r="S41" s="63"/>
      <c r="T41" s="63"/>
      <c r="U41" s="64"/>
      <c r="V41" s="62"/>
      <c r="W41" s="64"/>
      <c r="X41" s="62"/>
      <c r="Y41" s="63"/>
      <c r="Z41" s="63"/>
      <c r="AA41" s="64"/>
      <c r="AB41" s="62"/>
      <c r="AC41" s="64"/>
      <c r="AD41" s="62"/>
      <c r="AE41" s="63"/>
      <c r="AF41" s="63"/>
      <c r="AG41" s="64"/>
      <c r="AH41" s="62"/>
      <c r="AI41" s="64"/>
      <c r="AJ41" s="62"/>
      <c r="AK41" s="63"/>
      <c r="AL41" s="63"/>
      <c r="AM41" s="64"/>
      <c r="AN41" s="62"/>
      <c r="AO41" s="64"/>
    </row>
    <row r="42" spans="1:41" ht="15" thickBot="1">
      <c r="A42" s="1" t="s">
        <v>10</v>
      </c>
      <c r="B42" s="2" t="s">
        <v>5</v>
      </c>
      <c r="D42" s="17" t="s">
        <v>61</v>
      </c>
      <c r="E42" s="18">
        <v>0.71</v>
      </c>
      <c r="F42" s="18">
        <v>0.8</v>
      </c>
      <c r="I42" t="s">
        <v>110</v>
      </c>
      <c r="K42" s="42"/>
      <c r="L42" s="43" t="s">
        <v>108</v>
      </c>
      <c r="M42" s="44" t="s">
        <v>109</v>
      </c>
      <c r="N42" s="44" t="s">
        <v>110</v>
      </c>
      <c r="O42" s="45" t="s">
        <v>111</v>
      </c>
      <c r="P42" s="43" t="s">
        <v>112</v>
      </c>
      <c r="Q42" s="45" t="s">
        <v>113</v>
      </c>
      <c r="R42" s="43" t="s">
        <v>108</v>
      </c>
      <c r="S42" s="44" t="s">
        <v>109</v>
      </c>
      <c r="T42" s="44" t="s">
        <v>110</v>
      </c>
      <c r="U42" s="45" t="s">
        <v>111</v>
      </c>
      <c r="V42" s="43" t="s">
        <v>112</v>
      </c>
      <c r="W42" s="45" t="s">
        <v>113</v>
      </c>
      <c r="X42" s="43" t="s">
        <v>108</v>
      </c>
      <c r="Y42" s="44" t="s">
        <v>109</v>
      </c>
      <c r="Z42" s="44" t="s">
        <v>110</v>
      </c>
      <c r="AA42" s="45" t="s">
        <v>111</v>
      </c>
      <c r="AB42" s="43" t="s">
        <v>112</v>
      </c>
      <c r="AC42" s="45" t="s">
        <v>113</v>
      </c>
      <c r="AD42" s="43" t="s">
        <v>108</v>
      </c>
      <c r="AE42" s="44" t="s">
        <v>109</v>
      </c>
      <c r="AF42" s="44" t="s">
        <v>110</v>
      </c>
      <c r="AG42" s="45" t="s">
        <v>111</v>
      </c>
      <c r="AH42" s="43" t="s">
        <v>112</v>
      </c>
      <c r="AI42" s="45" t="s">
        <v>113</v>
      </c>
      <c r="AJ42" s="43" t="s">
        <v>108</v>
      </c>
      <c r="AK42" s="44" t="s">
        <v>109</v>
      </c>
      <c r="AL42" s="44" t="s">
        <v>110</v>
      </c>
      <c r="AM42" s="45" t="s">
        <v>111</v>
      </c>
      <c r="AN42" s="43" t="s">
        <v>112</v>
      </c>
      <c r="AO42" s="45" t="s">
        <v>113</v>
      </c>
    </row>
    <row r="43" spans="1:41">
      <c r="A43" s="1" t="s">
        <v>11</v>
      </c>
      <c r="B43" s="2" t="s">
        <v>4</v>
      </c>
      <c r="D43" s="17" t="s">
        <v>62</v>
      </c>
      <c r="E43" s="18">
        <v>0.63</v>
      </c>
      <c r="F43" s="18">
        <v>0.76</v>
      </c>
      <c r="I43" t="s">
        <v>111</v>
      </c>
      <c r="K43" s="1">
        <v>1</v>
      </c>
      <c r="L43" s="7">
        <v>1</v>
      </c>
      <c r="M43" s="46">
        <v>1</v>
      </c>
      <c r="N43" s="46">
        <v>1</v>
      </c>
      <c r="O43" s="10">
        <v>1</v>
      </c>
      <c r="P43" s="47">
        <v>1</v>
      </c>
      <c r="Q43" s="49">
        <v>1</v>
      </c>
      <c r="R43" s="47">
        <v>1</v>
      </c>
      <c r="S43" s="48">
        <v>1</v>
      </c>
      <c r="T43" s="48">
        <v>1</v>
      </c>
      <c r="U43" s="49">
        <v>1</v>
      </c>
      <c r="V43" s="50">
        <v>1</v>
      </c>
      <c r="W43" s="49">
        <v>1</v>
      </c>
      <c r="X43" s="47">
        <v>0.97</v>
      </c>
      <c r="Y43" s="48">
        <v>0.97</v>
      </c>
      <c r="Z43" s="48">
        <v>0.97</v>
      </c>
      <c r="AA43" s="49">
        <v>0.97</v>
      </c>
      <c r="AB43" s="47">
        <v>0.97</v>
      </c>
      <c r="AC43" s="48">
        <v>0.97</v>
      </c>
      <c r="AD43" s="47">
        <v>1</v>
      </c>
      <c r="AE43" s="48">
        <v>1</v>
      </c>
      <c r="AF43" s="48">
        <v>1</v>
      </c>
      <c r="AG43" s="49">
        <v>1</v>
      </c>
      <c r="AH43" s="47">
        <v>1</v>
      </c>
      <c r="AI43" s="48">
        <v>1</v>
      </c>
      <c r="AJ43" s="47">
        <v>1</v>
      </c>
      <c r="AK43" s="48">
        <v>1</v>
      </c>
      <c r="AL43" s="48">
        <v>1</v>
      </c>
      <c r="AM43" s="49">
        <v>1</v>
      </c>
      <c r="AN43" s="47">
        <v>1</v>
      </c>
      <c r="AO43" s="48">
        <v>1</v>
      </c>
    </row>
    <row r="44" spans="1:41">
      <c r="A44" s="1" t="s">
        <v>12</v>
      </c>
      <c r="B44" s="2" t="s">
        <v>5</v>
      </c>
      <c r="D44" s="17" t="s">
        <v>63</v>
      </c>
      <c r="E44" s="18">
        <v>0.55000000000000004</v>
      </c>
      <c r="F44" s="18">
        <v>0.71</v>
      </c>
      <c r="I44" t="s">
        <v>112</v>
      </c>
      <c r="K44" s="1">
        <v>2</v>
      </c>
      <c r="L44" s="15">
        <v>0.88</v>
      </c>
      <c r="M44" s="51">
        <v>0.87</v>
      </c>
      <c r="N44" s="51">
        <v>0.86</v>
      </c>
      <c r="O44" s="16">
        <v>0.84</v>
      </c>
      <c r="P44" s="52">
        <v>0.88</v>
      </c>
      <c r="Q44" s="54">
        <v>0.8</v>
      </c>
      <c r="R44" s="52">
        <v>1</v>
      </c>
      <c r="S44" s="53">
        <v>0.99</v>
      </c>
      <c r="T44" s="53">
        <v>0.98</v>
      </c>
      <c r="U44" s="54">
        <v>0.98</v>
      </c>
      <c r="V44" s="55">
        <v>0.91</v>
      </c>
      <c r="W44" s="54">
        <v>0.91</v>
      </c>
      <c r="X44" s="52">
        <v>0.84</v>
      </c>
      <c r="Y44" s="53">
        <v>0.83</v>
      </c>
      <c r="Z44" s="53">
        <v>0.82</v>
      </c>
      <c r="AA44" s="54">
        <v>0.81</v>
      </c>
      <c r="AB44" s="52">
        <v>0.84</v>
      </c>
      <c r="AC44" s="53">
        <v>0.83</v>
      </c>
      <c r="AD44" s="52">
        <v>0.87</v>
      </c>
      <c r="AE44" s="56">
        <v>0.86</v>
      </c>
      <c r="AF44" s="56">
        <v>0.85</v>
      </c>
      <c r="AG44" s="57">
        <v>0.84</v>
      </c>
      <c r="AH44" s="52">
        <v>0.87</v>
      </c>
      <c r="AI44" s="56">
        <v>0.86</v>
      </c>
      <c r="AJ44" s="58">
        <v>1</v>
      </c>
      <c r="AK44" s="56">
        <v>0.99</v>
      </c>
      <c r="AL44" s="56">
        <v>0.98</v>
      </c>
      <c r="AM44" s="57">
        <v>0.98</v>
      </c>
      <c r="AN44" s="58">
        <v>1</v>
      </c>
      <c r="AO44" s="56">
        <v>0.99</v>
      </c>
    </row>
    <row r="45" spans="1:41">
      <c r="A45" s="1" t="s">
        <v>13</v>
      </c>
      <c r="B45" s="2" t="s">
        <v>4</v>
      </c>
      <c r="D45" s="17" t="s">
        <v>64</v>
      </c>
      <c r="E45" s="18">
        <v>0.45</v>
      </c>
      <c r="F45" s="18">
        <v>0.65</v>
      </c>
      <c r="I45" t="s">
        <v>113</v>
      </c>
      <c r="K45" s="1">
        <v>3</v>
      </c>
      <c r="L45" s="15">
        <v>0.82</v>
      </c>
      <c r="M45" s="51">
        <v>0.8</v>
      </c>
      <c r="N45" s="51">
        <v>0.79</v>
      </c>
      <c r="O45" s="16">
        <v>0.77</v>
      </c>
      <c r="P45" s="52">
        <v>0.82</v>
      </c>
      <c r="Q45" s="54">
        <v>0.81</v>
      </c>
      <c r="R45" s="52">
        <v>0.98</v>
      </c>
      <c r="S45" s="53">
        <v>0.96</v>
      </c>
      <c r="T45" s="53">
        <v>0.95</v>
      </c>
      <c r="U45" s="54">
        <v>0.95</v>
      </c>
      <c r="V45" s="55">
        <v>0.89</v>
      </c>
      <c r="W45" s="54">
        <v>0.88</v>
      </c>
      <c r="X45" s="52">
        <v>0.78</v>
      </c>
      <c r="Y45" s="53">
        <v>0.76</v>
      </c>
      <c r="Z45" s="53">
        <v>0.75</v>
      </c>
      <c r="AA45" s="54">
        <v>0.73</v>
      </c>
      <c r="AB45" s="52">
        <v>0.78</v>
      </c>
      <c r="AC45" s="53">
        <v>0.76</v>
      </c>
      <c r="AD45" s="52">
        <v>0.82</v>
      </c>
      <c r="AE45" s="56">
        <v>0.8</v>
      </c>
      <c r="AF45" s="56">
        <v>0.79</v>
      </c>
      <c r="AG45" s="57">
        <v>0.77</v>
      </c>
      <c r="AH45" s="52">
        <v>0.82</v>
      </c>
      <c r="AI45" s="56">
        <v>0.8</v>
      </c>
      <c r="AJ45" s="58">
        <v>1</v>
      </c>
      <c r="AK45" s="56">
        <v>0.98</v>
      </c>
      <c r="AL45" s="56">
        <v>0.97</v>
      </c>
      <c r="AM45" s="57">
        <v>0.97</v>
      </c>
      <c r="AN45" s="58">
        <v>1</v>
      </c>
      <c r="AO45" s="56">
        <v>0.98</v>
      </c>
    </row>
    <row r="46" spans="1:41">
      <c r="A46" s="1" t="s">
        <v>14</v>
      </c>
      <c r="B46" s="2" t="s">
        <v>5</v>
      </c>
      <c r="D46" s="17" t="s">
        <v>65</v>
      </c>
      <c r="E46" s="18">
        <v>0.45</v>
      </c>
      <c r="F46" s="18">
        <v>0.6</v>
      </c>
      <c r="K46" s="1">
        <v>4</v>
      </c>
      <c r="L46" s="15">
        <v>0.79</v>
      </c>
      <c r="M46" s="51">
        <v>0.77</v>
      </c>
      <c r="N46" s="51">
        <v>0.76</v>
      </c>
      <c r="O46" s="16">
        <v>0.73</v>
      </c>
      <c r="P46" s="52">
        <v>0.78</v>
      </c>
      <c r="Q46" s="54">
        <v>0.76</v>
      </c>
      <c r="R46" s="52">
        <v>0.95</v>
      </c>
      <c r="S46" s="53">
        <v>0.92</v>
      </c>
      <c r="T46" s="53">
        <v>0.91</v>
      </c>
      <c r="U46" s="54">
        <v>0.91</v>
      </c>
      <c r="V46" s="55">
        <v>0.88</v>
      </c>
      <c r="W46" s="54">
        <v>0.87</v>
      </c>
      <c r="X46" s="52">
        <v>0.75</v>
      </c>
      <c r="Y46" s="53">
        <v>0.72</v>
      </c>
      <c r="Z46" s="53">
        <v>0.71</v>
      </c>
      <c r="AA46" s="54">
        <v>0.69</v>
      </c>
      <c r="AB46" s="52">
        <v>0.75</v>
      </c>
      <c r="AC46" s="53">
        <v>0.72</v>
      </c>
      <c r="AD46" s="52">
        <v>0.8</v>
      </c>
      <c r="AE46" s="56">
        <v>0.78</v>
      </c>
      <c r="AF46" s="56">
        <v>0.76</v>
      </c>
      <c r="AG46" s="57">
        <v>0.73</v>
      </c>
      <c r="AH46" s="52">
        <v>0.8</v>
      </c>
      <c r="AI46" s="56">
        <v>0.78</v>
      </c>
      <c r="AJ46" s="58">
        <v>1</v>
      </c>
      <c r="AK46" s="56">
        <v>0.97</v>
      </c>
      <c r="AL46" s="56">
        <v>0.96</v>
      </c>
      <c r="AM46" s="57">
        <v>0.96</v>
      </c>
      <c r="AN46" s="58">
        <v>1</v>
      </c>
      <c r="AO46" s="56">
        <v>0.97</v>
      </c>
    </row>
    <row r="47" spans="1:41">
      <c r="A47" s="1" t="s">
        <v>15</v>
      </c>
      <c r="B47" s="2" t="s">
        <v>4</v>
      </c>
      <c r="D47" s="17" t="s">
        <v>66</v>
      </c>
      <c r="E47" s="18">
        <v>0.45</v>
      </c>
      <c r="F47" s="18">
        <v>0.53</v>
      </c>
      <c r="K47" s="1">
        <v>5</v>
      </c>
      <c r="L47" s="15">
        <v>0.76</v>
      </c>
      <c r="M47" s="51">
        <v>0.73</v>
      </c>
      <c r="N47" s="51">
        <v>0.71</v>
      </c>
      <c r="O47" s="16">
        <v>0.68</v>
      </c>
      <c r="P47" s="52">
        <v>0.78</v>
      </c>
      <c r="Q47" s="54">
        <v>0.76</v>
      </c>
      <c r="R47" s="52">
        <v>0.95</v>
      </c>
      <c r="S47" s="53">
        <v>0.92</v>
      </c>
      <c r="T47" s="53">
        <v>0.91</v>
      </c>
      <c r="U47" s="54">
        <v>0.91</v>
      </c>
      <c r="V47" s="55">
        <v>0.88</v>
      </c>
      <c r="W47" s="54">
        <v>0.87</v>
      </c>
      <c r="X47" s="52">
        <v>0.75</v>
      </c>
      <c r="Y47" s="53">
        <v>0.72</v>
      </c>
      <c r="Z47" s="53">
        <v>0.71</v>
      </c>
      <c r="AA47" s="54">
        <v>0.69</v>
      </c>
      <c r="AB47" s="52">
        <v>0.75</v>
      </c>
      <c r="AC47" s="53">
        <v>0.72</v>
      </c>
      <c r="AD47" s="52">
        <v>0.8</v>
      </c>
      <c r="AE47" s="56">
        <v>0.78</v>
      </c>
      <c r="AF47" s="56">
        <v>0.76</v>
      </c>
      <c r="AG47" s="57">
        <v>0.73</v>
      </c>
      <c r="AH47" s="52">
        <v>0.8</v>
      </c>
      <c r="AI47" s="56">
        <v>0.78</v>
      </c>
      <c r="AJ47" s="58">
        <v>1</v>
      </c>
      <c r="AK47" s="56">
        <v>0.97</v>
      </c>
      <c r="AL47" s="56">
        <v>0.96</v>
      </c>
      <c r="AM47" s="57">
        <v>0.96</v>
      </c>
      <c r="AN47" s="58">
        <v>1</v>
      </c>
      <c r="AO47" s="56">
        <v>0.97</v>
      </c>
    </row>
    <row r="48" spans="1:41">
      <c r="A48" s="1" t="s">
        <v>16</v>
      </c>
      <c r="B48" s="2" t="s">
        <v>5</v>
      </c>
      <c r="D48" s="17" t="s">
        <v>67</v>
      </c>
      <c r="E48" s="18">
        <v>0.45</v>
      </c>
      <c r="F48" s="18">
        <v>0.46</v>
      </c>
      <c r="K48" s="1">
        <v>6</v>
      </c>
      <c r="L48" s="15">
        <v>0.76</v>
      </c>
      <c r="M48" s="51">
        <v>0.73</v>
      </c>
      <c r="N48" s="51">
        <v>0.71</v>
      </c>
      <c r="O48" s="16">
        <v>0.68</v>
      </c>
      <c r="P48" s="52">
        <v>0.73</v>
      </c>
      <c r="Q48" s="54">
        <v>0.71</v>
      </c>
      <c r="R48" s="52">
        <v>0.91</v>
      </c>
      <c r="S48" s="53">
        <v>0.87</v>
      </c>
      <c r="T48" s="53">
        <v>0.85</v>
      </c>
      <c r="U48" s="54">
        <v>0.85</v>
      </c>
      <c r="V48" s="55">
        <v>0.87</v>
      </c>
      <c r="W48" s="54">
        <v>0.85</v>
      </c>
      <c r="X48" s="52">
        <v>0.71</v>
      </c>
      <c r="Y48" s="53">
        <v>0.68</v>
      </c>
      <c r="Z48" s="53">
        <v>0.66</v>
      </c>
      <c r="AA48" s="54">
        <v>0.63</v>
      </c>
      <c r="AB48" s="52">
        <v>0.71</v>
      </c>
      <c r="AC48" s="53">
        <v>0.68</v>
      </c>
      <c r="AD48" s="52">
        <v>0.79</v>
      </c>
      <c r="AE48" s="56">
        <v>0.76</v>
      </c>
      <c r="AF48" s="56">
        <v>0.73</v>
      </c>
      <c r="AG48" s="57">
        <v>0.68</v>
      </c>
      <c r="AH48" s="52">
        <v>0.79</v>
      </c>
      <c r="AI48" s="56">
        <v>0.76</v>
      </c>
      <c r="AJ48" s="58">
        <v>1</v>
      </c>
      <c r="AK48" s="56">
        <v>0.96</v>
      </c>
      <c r="AL48" s="56">
        <v>0.93</v>
      </c>
      <c r="AM48" s="57">
        <v>0.93</v>
      </c>
      <c r="AN48" s="58">
        <v>1</v>
      </c>
      <c r="AO48" s="56">
        <v>0.96</v>
      </c>
    </row>
    <row r="49" spans="1:41">
      <c r="A49" s="1" t="s">
        <v>17</v>
      </c>
      <c r="B49" s="2" t="s">
        <v>4</v>
      </c>
      <c r="D49" s="17" t="s">
        <v>68</v>
      </c>
      <c r="E49" s="18">
        <v>0.45</v>
      </c>
      <c r="F49" s="18">
        <v>0.38</v>
      </c>
      <c r="K49" s="1">
        <v>7</v>
      </c>
      <c r="L49" s="15">
        <v>0.76</v>
      </c>
      <c r="M49" s="51">
        <v>0.73</v>
      </c>
      <c r="N49" s="51">
        <v>0.71</v>
      </c>
      <c r="O49" s="16">
        <v>0.68</v>
      </c>
      <c r="P49" s="52">
        <v>0.73</v>
      </c>
      <c r="Q49" s="54">
        <v>0.71</v>
      </c>
      <c r="R49" s="52">
        <v>0.91</v>
      </c>
      <c r="S49" s="53">
        <v>0.87</v>
      </c>
      <c r="T49" s="53">
        <v>0.85</v>
      </c>
      <c r="U49" s="54">
        <v>0.85</v>
      </c>
      <c r="V49" s="55">
        <v>0.87</v>
      </c>
      <c r="W49" s="54">
        <v>0.85</v>
      </c>
      <c r="X49" s="52">
        <v>0.71</v>
      </c>
      <c r="Y49" s="53">
        <v>0.68</v>
      </c>
      <c r="Z49" s="53">
        <v>0.66</v>
      </c>
      <c r="AA49" s="54">
        <v>0.63</v>
      </c>
      <c r="AB49" s="52">
        <v>0.71</v>
      </c>
      <c r="AC49" s="53">
        <v>0.68</v>
      </c>
      <c r="AD49" s="52">
        <v>0.79</v>
      </c>
      <c r="AE49" s="56">
        <v>0.76</v>
      </c>
      <c r="AF49" s="56">
        <v>0.73</v>
      </c>
      <c r="AG49" s="57">
        <v>0.68</v>
      </c>
      <c r="AH49" s="52">
        <v>0.79</v>
      </c>
      <c r="AI49" s="56">
        <v>0.76</v>
      </c>
      <c r="AJ49" s="58">
        <v>1</v>
      </c>
      <c r="AK49" s="56">
        <v>0.96</v>
      </c>
      <c r="AL49" s="56">
        <v>0.93</v>
      </c>
      <c r="AM49" s="57">
        <v>0.93</v>
      </c>
      <c r="AN49" s="58">
        <v>1</v>
      </c>
      <c r="AO49" s="56">
        <v>0.96</v>
      </c>
    </row>
    <row r="50" spans="1:41">
      <c r="A50" s="1" t="s">
        <v>18</v>
      </c>
      <c r="B50" s="2" t="s">
        <v>5</v>
      </c>
      <c r="K50" s="1">
        <v>8</v>
      </c>
      <c r="L50" s="15">
        <v>0.76</v>
      </c>
      <c r="M50" s="51">
        <v>0.73</v>
      </c>
      <c r="N50" s="51">
        <v>0.71</v>
      </c>
      <c r="O50" s="16">
        <v>0.68</v>
      </c>
      <c r="P50" s="52">
        <v>0.73</v>
      </c>
      <c r="Q50" s="54">
        <v>0.71</v>
      </c>
      <c r="R50" s="52">
        <v>0.91</v>
      </c>
      <c r="S50" s="53">
        <v>0.87</v>
      </c>
      <c r="T50" s="53">
        <v>0.85</v>
      </c>
      <c r="U50" s="54">
        <v>0.85</v>
      </c>
      <c r="V50" s="55">
        <v>0.87</v>
      </c>
      <c r="W50" s="54">
        <v>0.85</v>
      </c>
      <c r="X50" s="52">
        <v>0.71</v>
      </c>
      <c r="Y50" s="53">
        <v>0.68</v>
      </c>
      <c r="Z50" s="53">
        <v>0.66</v>
      </c>
      <c r="AA50" s="54">
        <v>0.63</v>
      </c>
      <c r="AB50" s="52">
        <v>0.71</v>
      </c>
      <c r="AC50" s="53">
        <v>0.68</v>
      </c>
      <c r="AD50" s="52">
        <v>0.79</v>
      </c>
      <c r="AE50" s="56">
        <v>0.76</v>
      </c>
      <c r="AF50" s="56">
        <v>0.73</v>
      </c>
      <c r="AG50" s="57">
        <v>0.68</v>
      </c>
      <c r="AH50" s="52">
        <v>0.79</v>
      </c>
      <c r="AI50" s="56">
        <v>0.76</v>
      </c>
      <c r="AJ50" s="58">
        <v>1</v>
      </c>
      <c r="AK50" s="56">
        <v>0.96</v>
      </c>
      <c r="AL50" s="56">
        <v>0.93</v>
      </c>
      <c r="AM50" s="57">
        <v>0.93</v>
      </c>
      <c r="AN50" s="58">
        <v>1</v>
      </c>
      <c r="AO50" s="56">
        <v>0.96</v>
      </c>
    </row>
    <row r="51" spans="1:41">
      <c r="A51" s="1" t="s">
        <v>19</v>
      </c>
      <c r="B51" s="2" t="s">
        <v>4</v>
      </c>
      <c r="K51" s="1">
        <v>9</v>
      </c>
      <c r="L51" s="15">
        <v>0.73</v>
      </c>
      <c r="M51" s="51">
        <v>0.68</v>
      </c>
      <c r="N51" s="51">
        <v>0.66</v>
      </c>
      <c r="O51" s="16">
        <v>0.64</v>
      </c>
      <c r="P51" s="52">
        <v>0.72</v>
      </c>
      <c r="Q51" s="54">
        <v>0.7</v>
      </c>
      <c r="R51" s="52">
        <v>0.91</v>
      </c>
      <c r="S51" s="53">
        <v>0.87</v>
      </c>
      <c r="T51" s="53">
        <v>0.85</v>
      </c>
      <c r="U51" s="54">
        <v>0.85</v>
      </c>
      <c r="V51" s="55">
        <v>0.87</v>
      </c>
      <c r="W51" s="54">
        <v>0.85</v>
      </c>
      <c r="X51" s="52">
        <v>0.68</v>
      </c>
      <c r="Y51" s="53">
        <v>0.63</v>
      </c>
      <c r="Z51" s="53">
        <v>0.61</v>
      </c>
      <c r="AA51" s="54">
        <v>0.57999999999999996</v>
      </c>
      <c r="AB51" s="52">
        <v>0.68</v>
      </c>
      <c r="AC51" s="53">
        <v>0.63</v>
      </c>
      <c r="AD51" s="52">
        <v>0.78</v>
      </c>
      <c r="AE51" s="56">
        <v>0.73</v>
      </c>
      <c r="AF51" s="56">
        <v>0.7</v>
      </c>
      <c r="AG51" s="57">
        <v>0.64</v>
      </c>
      <c r="AH51" s="52">
        <v>0.78</v>
      </c>
      <c r="AI51" s="56">
        <v>0.73</v>
      </c>
      <c r="AJ51" s="58">
        <v>1</v>
      </c>
      <c r="AK51" s="56">
        <v>0.96</v>
      </c>
      <c r="AL51" s="56">
        <v>0.93</v>
      </c>
      <c r="AM51" s="57">
        <v>0.93</v>
      </c>
      <c r="AN51" s="58">
        <v>1</v>
      </c>
      <c r="AO51" s="56">
        <v>0.96</v>
      </c>
    </row>
    <row r="52" spans="1:41">
      <c r="A52" s="1" t="s">
        <v>20</v>
      </c>
      <c r="B52" s="2" t="s">
        <v>5</v>
      </c>
      <c r="D52" s="19" t="s">
        <v>126</v>
      </c>
      <c r="K52" s="1">
        <v>10</v>
      </c>
      <c r="L52" s="15">
        <v>0.73</v>
      </c>
      <c r="M52" s="51">
        <v>0.68</v>
      </c>
      <c r="N52" s="51">
        <v>0.66</v>
      </c>
      <c r="O52" s="16">
        <v>0.64</v>
      </c>
      <c r="P52" s="52">
        <v>0.72</v>
      </c>
      <c r="Q52" s="54">
        <v>0.7</v>
      </c>
      <c r="R52" s="52">
        <v>0.91</v>
      </c>
      <c r="S52" s="53">
        <v>0.87</v>
      </c>
      <c r="T52" s="53">
        <v>0.85</v>
      </c>
      <c r="U52" s="54">
        <v>0.85</v>
      </c>
      <c r="V52" s="55">
        <v>0.87</v>
      </c>
      <c r="W52" s="54">
        <v>0.85</v>
      </c>
      <c r="X52" s="52">
        <v>0.68</v>
      </c>
      <c r="Y52" s="53">
        <v>0.63</v>
      </c>
      <c r="Z52" s="53">
        <v>0.61</v>
      </c>
      <c r="AA52" s="54">
        <v>0.57999999999999996</v>
      </c>
      <c r="AB52" s="52">
        <v>0.68</v>
      </c>
      <c r="AC52" s="53">
        <v>0.63</v>
      </c>
      <c r="AD52" s="52">
        <v>0.78</v>
      </c>
      <c r="AE52" s="56">
        <v>0.73</v>
      </c>
      <c r="AF52" s="56">
        <v>0.7</v>
      </c>
      <c r="AG52" s="57">
        <v>0.64</v>
      </c>
      <c r="AH52" s="52">
        <v>0.78</v>
      </c>
      <c r="AI52" s="56">
        <v>0.73</v>
      </c>
      <c r="AJ52" s="58">
        <v>1</v>
      </c>
      <c r="AK52" s="56">
        <v>0.96</v>
      </c>
      <c r="AL52" s="56">
        <v>0.93</v>
      </c>
      <c r="AM52" s="57">
        <v>0.93</v>
      </c>
      <c r="AN52" s="58">
        <v>1</v>
      </c>
      <c r="AO52" s="56">
        <v>0.96</v>
      </c>
    </row>
    <row r="53" spans="1:41">
      <c r="A53" s="1" t="s">
        <v>21</v>
      </c>
      <c r="B53" s="2" t="s">
        <v>4</v>
      </c>
      <c r="D53" s="77" t="s">
        <v>123</v>
      </c>
      <c r="E53" s="77" t="s">
        <v>124</v>
      </c>
      <c r="F53" s="77" t="s">
        <v>125</v>
      </c>
      <c r="K53" s="1">
        <v>11</v>
      </c>
      <c r="L53" s="15">
        <v>0.73</v>
      </c>
      <c r="M53" s="51">
        <v>0.68</v>
      </c>
      <c r="N53" s="51">
        <v>0.66</v>
      </c>
      <c r="O53" s="16">
        <v>0.64</v>
      </c>
      <c r="P53" s="52">
        <v>0.72</v>
      </c>
      <c r="Q53" s="54">
        <v>0.7</v>
      </c>
      <c r="R53" s="52">
        <v>0.91</v>
      </c>
      <c r="S53" s="53">
        <v>0.87</v>
      </c>
      <c r="T53" s="53">
        <v>0.85</v>
      </c>
      <c r="U53" s="54">
        <v>0.85</v>
      </c>
      <c r="V53" s="55">
        <v>0.87</v>
      </c>
      <c r="W53" s="54">
        <v>0.85</v>
      </c>
      <c r="X53" s="52">
        <v>0.68</v>
      </c>
      <c r="Y53" s="53">
        <v>0.63</v>
      </c>
      <c r="Z53" s="53">
        <v>0.61</v>
      </c>
      <c r="AA53" s="54">
        <v>0.57999999999999996</v>
      </c>
      <c r="AB53" s="52">
        <v>0.68</v>
      </c>
      <c r="AC53" s="53">
        <v>0.63</v>
      </c>
      <c r="AD53" s="52">
        <v>0.78</v>
      </c>
      <c r="AE53" s="56">
        <v>0.73</v>
      </c>
      <c r="AF53" s="56">
        <v>0.7</v>
      </c>
      <c r="AG53" s="57">
        <v>0.64</v>
      </c>
      <c r="AH53" s="52">
        <v>0.78</v>
      </c>
      <c r="AI53" s="56">
        <v>0.73</v>
      </c>
      <c r="AJ53" s="58">
        <v>1</v>
      </c>
      <c r="AK53" s="56">
        <v>0.96</v>
      </c>
      <c r="AL53" s="56">
        <v>0.93</v>
      </c>
      <c r="AM53" s="57">
        <v>0.93</v>
      </c>
      <c r="AN53" s="58">
        <v>1</v>
      </c>
      <c r="AO53" s="56">
        <v>0.96</v>
      </c>
    </row>
    <row r="54" spans="1:41">
      <c r="A54" s="1" t="s">
        <v>22</v>
      </c>
      <c r="B54" s="2" t="s">
        <v>5</v>
      </c>
      <c r="K54" s="1">
        <v>12</v>
      </c>
      <c r="L54" s="15">
        <v>0.73</v>
      </c>
      <c r="M54" s="51">
        <v>0.68</v>
      </c>
      <c r="N54" s="51">
        <v>0.66</v>
      </c>
      <c r="O54" s="16">
        <v>0.64</v>
      </c>
      <c r="P54" s="52">
        <v>0.72</v>
      </c>
      <c r="Q54" s="54">
        <v>0.7</v>
      </c>
      <c r="R54" s="52">
        <v>0.91</v>
      </c>
      <c r="S54" s="53">
        <v>0.87</v>
      </c>
      <c r="T54" s="53">
        <v>0.85</v>
      </c>
      <c r="U54" s="54">
        <v>0.85</v>
      </c>
      <c r="V54" s="55">
        <v>0.87</v>
      </c>
      <c r="W54" s="54">
        <v>0.85</v>
      </c>
      <c r="X54" s="52">
        <v>0.68</v>
      </c>
      <c r="Y54" s="53">
        <v>0.63</v>
      </c>
      <c r="Z54" s="53">
        <v>0.61</v>
      </c>
      <c r="AA54" s="54">
        <v>0.57999999999999996</v>
      </c>
      <c r="AB54" s="52">
        <v>0.68</v>
      </c>
      <c r="AC54" s="53">
        <v>0.63</v>
      </c>
      <c r="AD54" s="52">
        <v>0.78</v>
      </c>
      <c r="AE54" s="56">
        <v>0.73</v>
      </c>
      <c r="AF54" s="56">
        <v>0.7</v>
      </c>
      <c r="AG54" s="57">
        <v>0.64</v>
      </c>
      <c r="AH54" s="52">
        <v>0.78</v>
      </c>
      <c r="AI54" s="56">
        <v>0.73</v>
      </c>
      <c r="AJ54" s="58">
        <v>1</v>
      </c>
      <c r="AK54" s="56">
        <v>0.96</v>
      </c>
      <c r="AL54" s="56">
        <v>0.93</v>
      </c>
      <c r="AM54" s="57">
        <v>0.93</v>
      </c>
      <c r="AN54" s="58">
        <v>1</v>
      </c>
      <c r="AO54" s="56">
        <v>0.96</v>
      </c>
    </row>
    <row r="55" spans="1:41">
      <c r="A55" s="1" t="s">
        <v>23</v>
      </c>
      <c r="B55" s="2" t="s">
        <v>4</v>
      </c>
      <c r="D55" s="78" t="s">
        <v>162</v>
      </c>
      <c r="E55" s="78">
        <v>1.28</v>
      </c>
      <c r="F55" s="18">
        <v>1.88</v>
      </c>
      <c r="K55" s="1">
        <v>13</v>
      </c>
      <c r="L55" s="15">
        <v>0.73</v>
      </c>
      <c r="M55" s="51">
        <v>0.68</v>
      </c>
      <c r="N55" s="51">
        <v>0.66</v>
      </c>
      <c r="O55" s="16">
        <v>0.64</v>
      </c>
      <c r="P55" s="52">
        <v>0.72</v>
      </c>
      <c r="Q55" s="54">
        <v>0.7</v>
      </c>
      <c r="R55" s="52">
        <v>0.91</v>
      </c>
      <c r="S55" s="53">
        <v>0.87</v>
      </c>
      <c r="T55" s="53">
        <v>0.85</v>
      </c>
      <c r="U55" s="54">
        <v>0.85</v>
      </c>
      <c r="V55" s="55">
        <v>0.87</v>
      </c>
      <c r="W55" s="54">
        <v>0.85</v>
      </c>
      <c r="X55" s="52">
        <v>0.68</v>
      </c>
      <c r="Y55" s="53">
        <v>0.63</v>
      </c>
      <c r="Z55" s="53">
        <v>0.61</v>
      </c>
      <c r="AA55" s="54">
        <v>0.57999999999999996</v>
      </c>
      <c r="AB55" s="52">
        <v>0.68</v>
      </c>
      <c r="AC55" s="53">
        <v>0.63</v>
      </c>
      <c r="AD55" s="52">
        <v>0.78</v>
      </c>
      <c r="AE55" s="56">
        <v>0.73</v>
      </c>
      <c r="AF55" s="56">
        <v>0.7</v>
      </c>
      <c r="AG55" s="57">
        <v>0.64</v>
      </c>
      <c r="AH55" s="52">
        <v>0.78</v>
      </c>
      <c r="AI55" s="56">
        <v>0.73</v>
      </c>
      <c r="AJ55" s="58">
        <v>1</v>
      </c>
      <c r="AK55" s="56">
        <v>0.96</v>
      </c>
      <c r="AL55" s="56">
        <v>0.93</v>
      </c>
      <c r="AM55" s="57">
        <v>0.93</v>
      </c>
      <c r="AN55" s="58">
        <v>1</v>
      </c>
      <c r="AO55" s="56">
        <v>0.96</v>
      </c>
    </row>
    <row r="56" spans="1:41">
      <c r="A56" s="1" t="s">
        <v>24</v>
      </c>
      <c r="B56" s="2" t="s">
        <v>5</v>
      </c>
      <c r="D56" s="78" t="s">
        <v>163</v>
      </c>
      <c r="E56" s="78">
        <v>1.2</v>
      </c>
      <c r="F56" s="18">
        <v>1.62</v>
      </c>
      <c r="K56" s="1">
        <v>14</v>
      </c>
      <c r="L56" s="15">
        <v>0.73</v>
      </c>
      <c r="M56" s="51">
        <v>0.68</v>
      </c>
      <c r="N56" s="51">
        <v>0.66</v>
      </c>
      <c r="O56" s="16">
        <v>0.64</v>
      </c>
      <c r="P56" s="52">
        <v>0.72</v>
      </c>
      <c r="Q56" s="54">
        <v>0.7</v>
      </c>
      <c r="R56" s="52">
        <v>0.91</v>
      </c>
      <c r="S56" s="53">
        <v>0.87</v>
      </c>
      <c r="T56" s="53">
        <v>0.85</v>
      </c>
      <c r="U56" s="54">
        <v>0.85</v>
      </c>
      <c r="V56" s="55">
        <v>0.87</v>
      </c>
      <c r="W56" s="54">
        <v>0.85</v>
      </c>
      <c r="X56" s="52">
        <v>0.68</v>
      </c>
      <c r="Y56" s="53">
        <v>0.63</v>
      </c>
      <c r="Z56" s="53">
        <v>0.61</v>
      </c>
      <c r="AA56" s="54">
        <v>0.57999999999999996</v>
      </c>
      <c r="AB56" s="52">
        <v>0.68</v>
      </c>
      <c r="AC56" s="53">
        <v>0.63</v>
      </c>
      <c r="AD56" s="52">
        <v>0.78</v>
      </c>
      <c r="AE56" s="56">
        <v>0.73</v>
      </c>
      <c r="AF56" s="56">
        <v>0.7</v>
      </c>
      <c r="AG56" s="57">
        <v>0.64</v>
      </c>
      <c r="AH56" s="52">
        <v>0.78</v>
      </c>
      <c r="AI56" s="56">
        <v>0.73</v>
      </c>
      <c r="AJ56" s="58">
        <v>1</v>
      </c>
      <c r="AK56" s="56">
        <v>0.96</v>
      </c>
      <c r="AL56" s="56">
        <v>0.93</v>
      </c>
      <c r="AM56" s="57">
        <v>0.93</v>
      </c>
      <c r="AN56" s="58">
        <v>1</v>
      </c>
      <c r="AO56" s="56">
        <v>0.96</v>
      </c>
    </row>
    <row r="57" spans="1:41">
      <c r="A57" s="1" t="s">
        <v>25</v>
      </c>
      <c r="B57" s="2" t="s">
        <v>4</v>
      </c>
      <c r="D57" s="76" t="s">
        <v>168</v>
      </c>
      <c r="E57" s="78">
        <v>1.18</v>
      </c>
      <c r="F57" s="18">
        <v>1.5</v>
      </c>
      <c r="K57" s="1">
        <v>15</v>
      </c>
      <c r="L57" s="15">
        <v>0.73</v>
      </c>
      <c r="M57" s="51">
        <v>0.68</v>
      </c>
      <c r="N57" s="51">
        <v>0.66</v>
      </c>
      <c r="O57" s="16">
        <v>0.64</v>
      </c>
      <c r="P57" s="52">
        <v>0.72</v>
      </c>
      <c r="Q57" s="54">
        <v>0.7</v>
      </c>
      <c r="R57" s="52">
        <v>0.91</v>
      </c>
      <c r="S57" s="53">
        <v>0.87</v>
      </c>
      <c r="T57" s="53">
        <v>0.85</v>
      </c>
      <c r="U57" s="54">
        <v>0.85</v>
      </c>
      <c r="V57" s="55">
        <v>0.87</v>
      </c>
      <c r="W57" s="54">
        <v>0.85</v>
      </c>
      <c r="X57" s="52">
        <v>0.68</v>
      </c>
      <c r="Y57" s="53">
        <v>0.63</v>
      </c>
      <c r="Z57" s="53">
        <v>0.61</v>
      </c>
      <c r="AA57" s="54">
        <v>0.57999999999999996</v>
      </c>
      <c r="AB57" s="52">
        <v>0.68</v>
      </c>
      <c r="AC57" s="53">
        <v>0.63</v>
      </c>
      <c r="AD57" s="52">
        <v>0.78</v>
      </c>
      <c r="AE57" s="56">
        <v>0.73</v>
      </c>
      <c r="AF57" s="56">
        <v>0.7</v>
      </c>
      <c r="AG57" s="57">
        <v>0.64</v>
      </c>
      <c r="AH57" s="52">
        <v>0.78</v>
      </c>
      <c r="AI57" s="56">
        <v>0.73</v>
      </c>
      <c r="AJ57" s="58">
        <v>1</v>
      </c>
      <c r="AK57" s="56">
        <v>0.96</v>
      </c>
      <c r="AL57" s="56">
        <v>0.93</v>
      </c>
      <c r="AM57" s="57">
        <v>0.93</v>
      </c>
      <c r="AN57" s="58">
        <v>1</v>
      </c>
      <c r="AO57" s="56">
        <v>0.96</v>
      </c>
    </row>
    <row r="58" spans="1:41">
      <c r="A58" s="1">
        <v>48</v>
      </c>
      <c r="B58" s="2" t="s">
        <v>77</v>
      </c>
      <c r="D58" s="78" t="s">
        <v>164</v>
      </c>
      <c r="E58" s="78">
        <v>1.1000000000000001</v>
      </c>
      <c r="F58" s="18">
        <v>1.28</v>
      </c>
      <c r="K58" s="1">
        <v>16</v>
      </c>
      <c r="L58" s="15">
        <v>0.73</v>
      </c>
      <c r="M58" s="51">
        <v>0.68</v>
      </c>
      <c r="N58" s="51">
        <v>0.66</v>
      </c>
      <c r="O58" s="16">
        <v>0.64</v>
      </c>
      <c r="P58" s="52">
        <v>0.72</v>
      </c>
      <c r="Q58" s="54">
        <v>0.7</v>
      </c>
      <c r="R58" s="52">
        <v>0.91</v>
      </c>
      <c r="S58" s="53">
        <v>0.87</v>
      </c>
      <c r="T58" s="53">
        <v>0.85</v>
      </c>
      <c r="U58" s="54">
        <v>0.85</v>
      </c>
      <c r="V58" s="55">
        <v>0.87</v>
      </c>
      <c r="W58" s="54">
        <v>0.85</v>
      </c>
      <c r="X58" s="52">
        <v>0.68</v>
      </c>
      <c r="Y58" s="53">
        <v>0.63</v>
      </c>
      <c r="Z58" s="53">
        <v>0.61</v>
      </c>
      <c r="AA58" s="54">
        <v>0.57999999999999996</v>
      </c>
      <c r="AB58" s="52">
        <v>0.68</v>
      </c>
      <c r="AC58" s="53">
        <v>0.63</v>
      </c>
      <c r="AD58" s="52">
        <v>0.78</v>
      </c>
      <c r="AE58" s="56">
        <v>0.73</v>
      </c>
      <c r="AF58" s="56">
        <v>0.7</v>
      </c>
      <c r="AG58" s="57">
        <v>0.64</v>
      </c>
      <c r="AH58" s="52">
        <v>0.78</v>
      </c>
      <c r="AI58" s="56">
        <v>0.73</v>
      </c>
      <c r="AJ58" s="58">
        <v>1</v>
      </c>
      <c r="AK58" s="56">
        <v>0.96</v>
      </c>
      <c r="AL58" s="56">
        <v>0.93</v>
      </c>
      <c r="AM58" s="57">
        <v>0.93</v>
      </c>
      <c r="AN58" s="58">
        <v>1</v>
      </c>
      <c r="AO58" s="56">
        <v>0.96</v>
      </c>
    </row>
    <row r="59" spans="1:41">
      <c r="A59" s="1">
        <v>49</v>
      </c>
      <c r="B59" s="2" t="s">
        <v>77</v>
      </c>
      <c r="D59" s="76" t="s">
        <v>165</v>
      </c>
      <c r="E59" s="78">
        <v>1.05</v>
      </c>
      <c r="F59" s="18">
        <v>1.1200000000000001</v>
      </c>
      <c r="K59" s="1">
        <v>17</v>
      </c>
      <c r="L59" s="15">
        <v>0.73</v>
      </c>
      <c r="M59" s="51">
        <v>0.68</v>
      </c>
      <c r="N59" s="51">
        <v>0.66</v>
      </c>
      <c r="O59" s="16">
        <v>0.64</v>
      </c>
      <c r="P59" s="52">
        <v>0.72</v>
      </c>
      <c r="Q59" s="54">
        <v>0.7</v>
      </c>
      <c r="R59" s="52">
        <v>0.91</v>
      </c>
      <c r="S59" s="53">
        <v>0.87</v>
      </c>
      <c r="T59" s="53">
        <v>0.85</v>
      </c>
      <c r="U59" s="54">
        <v>0.85</v>
      </c>
      <c r="V59" s="55">
        <v>0.87</v>
      </c>
      <c r="W59" s="54">
        <v>0.85</v>
      </c>
      <c r="X59" s="52">
        <v>0.68</v>
      </c>
      <c r="Y59" s="53">
        <v>0.63</v>
      </c>
      <c r="Z59" s="53">
        <v>0.61</v>
      </c>
      <c r="AA59" s="54">
        <v>0.57999999999999996</v>
      </c>
      <c r="AB59" s="52">
        <v>0.68</v>
      </c>
      <c r="AC59" s="53">
        <v>0.63</v>
      </c>
      <c r="AD59" s="52">
        <v>0.78</v>
      </c>
      <c r="AE59" s="56">
        <v>0.73</v>
      </c>
      <c r="AF59" s="56">
        <v>0.7</v>
      </c>
      <c r="AG59" s="57">
        <v>0.64</v>
      </c>
      <c r="AH59" s="52">
        <v>0.78</v>
      </c>
      <c r="AI59" s="56">
        <v>0.73</v>
      </c>
      <c r="AJ59" s="58">
        <v>1</v>
      </c>
      <c r="AK59" s="56">
        <v>0.96</v>
      </c>
      <c r="AL59" s="56">
        <v>0.93</v>
      </c>
      <c r="AM59" s="57">
        <v>0.93</v>
      </c>
      <c r="AN59" s="58">
        <v>1</v>
      </c>
      <c r="AO59" s="56">
        <v>0.96</v>
      </c>
    </row>
    <row r="60" spans="1:41">
      <c r="A60" s="1">
        <v>50</v>
      </c>
      <c r="B60" s="2" t="s">
        <v>4</v>
      </c>
      <c r="D60" s="78" t="s">
        <v>166</v>
      </c>
      <c r="E60" s="76">
        <v>1</v>
      </c>
      <c r="F60" s="17">
        <v>1</v>
      </c>
      <c r="K60" s="1">
        <v>18</v>
      </c>
      <c r="L60" s="15">
        <v>0.73</v>
      </c>
      <c r="M60" s="51">
        <v>0.68</v>
      </c>
      <c r="N60" s="51">
        <v>0.66</v>
      </c>
      <c r="O60" s="16">
        <v>0.64</v>
      </c>
      <c r="P60" s="52">
        <v>0.72</v>
      </c>
      <c r="Q60" s="54">
        <v>0.7</v>
      </c>
      <c r="R60" s="52">
        <v>0.91</v>
      </c>
      <c r="S60" s="53">
        <v>0.87</v>
      </c>
      <c r="T60" s="53">
        <v>0.85</v>
      </c>
      <c r="U60" s="54">
        <v>0.85</v>
      </c>
      <c r="V60" s="55">
        <v>0.87</v>
      </c>
      <c r="W60" s="54">
        <v>0.85</v>
      </c>
      <c r="X60" s="52">
        <v>0.68</v>
      </c>
      <c r="Y60" s="53">
        <v>0.63</v>
      </c>
      <c r="Z60" s="53">
        <v>0.61</v>
      </c>
      <c r="AA60" s="54">
        <v>0.57999999999999996</v>
      </c>
      <c r="AB60" s="52">
        <v>0.68</v>
      </c>
      <c r="AC60" s="53">
        <v>0.63</v>
      </c>
      <c r="AD60" s="52">
        <v>0.78</v>
      </c>
      <c r="AE60" s="56">
        <v>0.73</v>
      </c>
      <c r="AF60" s="56">
        <v>0.7</v>
      </c>
      <c r="AG60" s="57">
        <v>0.64</v>
      </c>
      <c r="AH60" s="52">
        <v>0.78</v>
      </c>
      <c r="AI60" s="56">
        <v>0.73</v>
      </c>
      <c r="AJ60" s="58">
        <v>1</v>
      </c>
      <c r="AK60" s="56">
        <v>0.96</v>
      </c>
      <c r="AL60" s="56">
        <v>0.93</v>
      </c>
      <c r="AM60" s="57">
        <v>0.93</v>
      </c>
      <c r="AN60" s="58">
        <v>1</v>
      </c>
      <c r="AO60" s="56">
        <v>0.96</v>
      </c>
    </row>
    <row r="61" spans="1:41">
      <c r="A61" s="1">
        <v>51</v>
      </c>
      <c r="B61" s="2" t="s">
        <v>5</v>
      </c>
      <c r="D61" s="76" t="s">
        <v>167</v>
      </c>
      <c r="E61" s="78">
        <v>0.96</v>
      </c>
      <c r="F61" s="18">
        <v>0.9</v>
      </c>
      <c r="K61" s="1">
        <v>19</v>
      </c>
      <c r="L61" s="15">
        <v>0.73</v>
      </c>
      <c r="M61" s="51">
        <v>0.68</v>
      </c>
      <c r="N61" s="51">
        <v>0.66</v>
      </c>
      <c r="O61" s="16">
        <v>0.64</v>
      </c>
      <c r="P61" s="52">
        <v>0.72</v>
      </c>
      <c r="Q61" s="54">
        <v>0.7</v>
      </c>
      <c r="R61" s="52">
        <v>0.91</v>
      </c>
      <c r="S61" s="53">
        <v>0.87</v>
      </c>
      <c r="T61" s="53">
        <v>0.85</v>
      </c>
      <c r="U61" s="54">
        <v>0.85</v>
      </c>
      <c r="V61" s="55">
        <v>0.87</v>
      </c>
      <c r="W61" s="54">
        <v>0.85</v>
      </c>
      <c r="X61" s="52">
        <v>0.68</v>
      </c>
      <c r="Y61" s="53">
        <v>0.63</v>
      </c>
      <c r="Z61" s="53">
        <v>0.61</v>
      </c>
      <c r="AA61" s="54">
        <v>0.57999999999999996</v>
      </c>
      <c r="AB61" s="52">
        <v>0.68</v>
      </c>
      <c r="AC61" s="53">
        <v>0.63</v>
      </c>
      <c r="AD61" s="52">
        <v>0.78</v>
      </c>
      <c r="AE61" s="56">
        <v>0.73</v>
      </c>
      <c r="AF61" s="56">
        <v>0.7</v>
      </c>
      <c r="AG61" s="57">
        <v>0.64</v>
      </c>
      <c r="AH61" s="52">
        <v>0.78</v>
      </c>
      <c r="AI61" s="56">
        <v>0.73</v>
      </c>
      <c r="AJ61" s="58">
        <v>1</v>
      </c>
      <c r="AK61" s="56">
        <v>0.96</v>
      </c>
      <c r="AL61" s="56">
        <v>0.93</v>
      </c>
      <c r="AM61" s="57">
        <v>0.93</v>
      </c>
      <c r="AN61" s="58">
        <v>1</v>
      </c>
      <c r="AO61" s="56">
        <v>0.96</v>
      </c>
    </row>
    <row r="62" spans="1:41">
      <c r="A62" s="1">
        <v>52</v>
      </c>
      <c r="B62" s="2" t="s">
        <v>5</v>
      </c>
      <c r="K62" s="1">
        <v>20</v>
      </c>
      <c r="L62" s="15">
        <v>0.73</v>
      </c>
      <c r="M62" s="51">
        <v>0.68</v>
      </c>
      <c r="N62" s="51">
        <v>0.66</v>
      </c>
      <c r="O62" s="16">
        <v>0.64</v>
      </c>
      <c r="P62" s="52">
        <v>0.72</v>
      </c>
      <c r="Q62" s="54">
        <v>0.7</v>
      </c>
      <c r="R62" s="52">
        <v>0.91</v>
      </c>
      <c r="S62" s="53">
        <v>0.87</v>
      </c>
      <c r="T62" s="53">
        <v>0.85</v>
      </c>
      <c r="U62" s="54">
        <v>0.85</v>
      </c>
      <c r="V62" s="55">
        <v>0.87</v>
      </c>
      <c r="W62" s="54">
        <v>0.85</v>
      </c>
      <c r="X62" s="52">
        <v>0.68</v>
      </c>
      <c r="Y62" s="53">
        <v>0.63</v>
      </c>
      <c r="Z62" s="53">
        <v>0.61</v>
      </c>
      <c r="AA62" s="54">
        <v>0.57999999999999996</v>
      </c>
      <c r="AB62" s="52">
        <v>0.68</v>
      </c>
      <c r="AC62" s="53">
        <v>0.63</v>
      </c>
      <c r="AD62" s="52">
        <v>0.78</v>
      </c>
      <c r="AE62" s="56">
        <v>0.73</v>
      </c>
      <c r="AF62" s="56">
        <v>0.7</v>
      </c>
      <c r="AG62" s="57">
        <v>0.64</v>
      </c>
      <c r="AH62" s="52">
        <v>0.78</v>
      </c>
      <c r="AI62" s="56">
        <v>0.73</v>
      </c>
      <c r="AJ62" s="58">
        <v>1</v>
      </c>
      <c r="AK62" s="56">
        <v>0.96</v>
      </c>
      <c r="AL62" s="56">
        <v>0.93</v>
      </c>
      <c r="AM62" s="57">
        <v>0.93</v>
      </c>
      <c r="AN62" s="58">
        <v>1</v>
      </c>
      <c r="AO62" s="56">
        <v>0.96</v>
      </c>
    </row>
    <row r="63" spans="1:41" ht="15" thickBot="1">
      <c r="A63" s="1">
        <v>53</v>
      </c>
      <c r="B63" s="2" t="s">
        <v>5</v>
      </c>
      <c r="K63" s="65" t="s">
        <v>85</v>
      </c>
      <c r="L63" s="66">
        <v>0.73</v>
      </c>
      <c r="M63" s="67">
        <v>0.68</v>
      </c>
      <c r="N63" s="67">
        <v>0.66</v>
      </c>
      <c r="O63" s="68">
        <v>0.64</v>
      </c>
      <c r="P63" s="69">
        <v>0.72</v>
      </c>
      <c r="Q63" s="71">
        <v>0.7</v>
      </c>
      <c r="R63" s="69">
        <v>0.91</v>
      </c>
      <c r="S63" s="70">
        <v>0.87</v>
      </c>
      <c r="T63" s="70">
        <v>0.85</v>
      </c>
      <c r="U63" s="71">
        <v>0.85</v>
      </c>
      <c r="V63" s="72">
        <v>0.87</v>
      </c>
      <c r="W63" s="71">
        <v>0.85</v>
      </c>
      <c r="X63" s="69">
        <v>0.68</v>
      </c>
      <c r="Y63" s="70">
        <v>0.63</v>
      </c>
      <c r="Z63" s="70">
        <v>0.61</v>
      </c>
      <c r="AA63" s="71">
        <v>0.57999999999999996</v>
      </c>
      <c r="AB63" s="69">
        <v>0.68</v>
      </c>
      <c r="AC63" s="70">
        <v>0.63</v>
      </c>
      <c r="AD63" s="69">
        <v>0.78</v>
      </c>
      <c r="AE63" s="73">
        <v>0.73</v>
      </c>
      <c r="AF63" s="73">
        <v>0.7</v>
      </c>
      <c r="AG63" s="74">
        <v>0.64</v>
      </c>
      <c r="AH63" s="69">
        <v>0.78</v>
      </c>
      <c r="AI63" s="73">
        <v>0.73</v>
      </c>
      <c r="AJ63" s="75">
        <v>1</v>
      </c>
      <c r="AK63" s="73">
        <v>0.96</v>
      </c>
      <c r="AL63" s="73">
        <v>0.93</v>
      </c>
      <c r="AM63" s="74">
        <v>0.93</v>
      </c>
      <c r="AN63" s="75">
        <v>1</v>
      </c>
      <c r="AO63" s="73">
        <v>0.96</v>
      </c>
    </row>
    <row r="64" spans="1:41">
      <c r="A64" s="1" t="s">
        <v>26</v>
      </c>
      <c r="B64" s="2" t="s">
        <v>5</v>
      </c>
    </row>
    <row r="65" spans="1:49">
      <c r="A65" s="1" t="s">
        <v>27</v>
      </c>
      <c r="B65" s="2" t="s">
        <v>4</v>
      </c>
    </row>
    <row r="66" spans="1:49">
      <c r="A66" s="1">
        <v>55</v>
      </c>
      <c r="B66" s="2" t="s">
        <v>4</v>
      </c>
      <c r="N66" t="s">
        <v>118</v>
      </c>
    </row>
    <row r="67" spans="1:49" ht="15" thickBot="1">
      <c r="A67" s="1">
        <v>56</v>
      </c>
      <c r="B67" s="2" t="s">
        <v>4</v>
      </c>
      <c r="K67" t="s">
        <v>121</v>
      </c>
      <c r="M67">
        <v>31</v>
      </c>
      <c r="Y67" t="s">
        <v>117</v>
      </c>
      <c r="AG67">
        <v>31</v>
      </c>
      <c r="AH67" t="s">
        <v>119</v>
      </c>
      <c r="AS67" t="s">
        <v>117</v>
      </c>
    </row>
    <row r="68" spans="1:49">
      <c r="A68" s="1">
        <v>57</v>
      </c>
      <c r="B68" s="2" t="s">
        <v>6</v>
      </c>
      <c r="K68" s="14"/>
      <c r="L68" s="205" t="s">
        <v>100</v>
      </c>
      <c r="M68" s="205"/>
      <c r="N68" s="205"/>
      <c r="O68" s="206"/>
      <c r="P68" s="59" t="s">
        <v>102</v>
      </c>
      <c r="Q68" s="61"/>
      <c r="R68" s="59" t="s">
        <v>101</v>
      </c>
      <c r="S68" s="60"/>
      <c r="T68" s="60"/>
      <c r="U68" s="61"/>
      <c r="V68" s="59" t="s">
        <v>103</v>
      </c>
      <c r="W68" s="61"/>
      <c r="X68" s="59" t="s">
        <v>105</v>
      </c>
      <c r="Y68" s="60"/>
      <c r="Z68" s="60"/>
      <c r="AA68" s="61"/>
      <c r="AB68" s="59" t="s">
        <v>102</v>
      </c>
      <c r="AC68" s="61"/>
      <c r="AF68" s="205" t="s">
        <v>100</v>
      </c>
      <c r="AG68" s="205"/>
      <c r="AH68" s="205"/>
      <c r="AI68" s="206"/>
      <c r="AJ68" s="59" t="s">
        <v>102</v>
      </c>
      <c r="AK68" s="61"/>
      <c r="AL68" s="59" t="s">
        <v>101</v>
      </c>
      <c r="AM68" s="60"/>
      <c r="AN68" s="60"/>
      <c r="AO68" s="61"/>
      <c r="AP68" s="59" t="s">
        <v>103</v>
      </c>
      <c r="AQ68" s="61"/>
      <c r="AR68" s="59" t="s">
        <v>105</v>
      </c>
      <c r="AS68" s="60"/>
      <c r="AT68" s="60"/>
      <c r="AU68" s="61"/>
      <c r="AV68" s="59" t="s">
        <v>102</v>
      </c>
      <c r="AW68" s="61"/>
    </row>
    <row r="69" spans="1:49" ht="15" thickBot="1">
      <c r="A69" s="1">
        <v>58</v>
      </c>
      <c r="B69" s="2" t="s">
        <v>6</v>
      </c>
      <c r="K69" s="1"/>
      <c r="L69" s="207" t="s">
        <v>107</v>
      </c>
      <c r="M69" s="207"/>
      <c r="N69" s="207"/>
      <c r="O69" s="208"/>
      <c r="P69" s="62"/>
      <c r="Q69" s="64"/>
      <c r="R69" s="62"/>
      <c r="S69" s="63"/>
      <c r="T69" s="63"/>
      <c r="U69" s="64"/>
      <c r="V69" s="62"/>
      <c r="W69" s="64"/>
      <c r="X69" s="62"/>
      <c r="Y69" s="63"/>
      <c r="Z69" s="63"/>
      <c r="AA69" s="64"/>
      <c r="AB69" s="62"/>
      <c r="AC69" s="64"/>
      <c r="AF69" s="207" t="s">
        <v>107</v>
      </c>
      <c r="AG69" s="207"/>
      <c r="AH69" s="207"/>
      <c r="AI69" s="208"/>
      <c r="AJ69" s="62"/>
      <c r="AK69" s="64"/>
      <c r="AL69" s="62"/>
      <c r="AM69" s="63"/>
      <c r="AN69" s="63"/>
      <c r="AO69" s="64"/>
      <c r="AP69" s="62"/>
      <c r="AQ69" s="64"/>
      <c r="AR69" s="62"/>
      <c r="AS69" s="63"/>
      <c r="AT69" s="63"/>
      <c r="AU69" s="64"/>
      <c r="AV69" s="62"/>
      <c r="AW69" s="64"/>
    </row>
    <row r="70" spans="1:49" ht="15" thickBot="1">
      <c r="A70" s="1">
        <v>59</v>
      </c>
      <c r="B70" s="2" t="s">
        <v>4</v>
      </c>
      <c r="K70" s="42"/>
      <c r="L70" s="43" t="s">
        <v>108</v>
      </c>
      <c r="M70" s="44" t="s">
        <v>109</v>
      </c>
      <c r="N70" s="44" t="s">
        <v>110</v>
      </c>
      <c r="O70" s="45" t="s">
        <v>111</v>
      </c>
      <c r="P70" s="43" t="s">
        <v>112</v>
      </c>
      <c r="Q70" s="45" t="s">
        <v>113</v>
      </c>
      <c r="R70" s="43" t="s">
        <v>108</v>
      </c>
      <c r="S70" s="44" t="s">
        <v>109</v>
      </c>
      <c r="T70" s="44" t="s">
        <v>110</v>
      </c>
      <c r="U70" s="45" t="s">
        <v>111</v>
      </c>
      <c r="V70" s="43" t="s">
        <v>112</v>
      </c>
      <c r="W70" s="45" t="s">
        <v>113</v>
      </c>
      <c r="X70" s="43" t="s">
        <v>108</v>
      </c>
      <c r="Y70" s="44" t="s">
        <v>109</v>
      </c>
      <c r="Z70" s="44" t="s">
        <v>110</v>
      </c>
      <c r="AA70" s="45" t="s">
        <v>111</v>
      </c>
      <c r="AB70" s="43" t="s">
        <v>112</v>
      </c>
      <c r="AC70" s="45" t="s">
        <v>113</v>
      </c>
      <c r="AF70" s="43" t="s">
        <v>108</v>
      </c>
      <c r="AG70" s="44" t="s">
        <v>109</v>
      </c>
      <c r="AH70" s="44" t="s">
        <v>110</v>
      </c>
      <c r="AI70" s="45" t="s">
        <v>111</v>
      </c>
      <c r="AJ70" s="43" t="s">
        <v>112</v>
      </c>
      <c r="AK70" s="45" t="s">
        <v>113</v>
      </c>
      <c r="AL70" s="43" t="s">
        <v>108</v>
      </c>
      <c r="AM70" s="44" t="s">
        <v>109</v>
      </c>
      <c r="AN70" s="44" t="s">
        <v>110</v>
      </c>
      <c r="AO70" s="45" t="s">
        <v>111</v>
      </c>
      <c r="AP70" s="43" t="s">
        <v>112</v>
      </c>
      <c r="AQ70" s="45" t="s">
        <v>113</v>
      </c>
      <c r="AR70" s="43" t="s">
        <v>108</v>
      </c>
      <c r="AS70" s="44" t="s">
        <v>109</v>
      </c>
      <c r="AT70" s="44" t="s">
        <v>110</v>
      </c>
      <c r="AU70" s="45" t="s">
        <v>111</v>
      </c>
      <c r="AV70" s="43" t="s">
        <v>112</v>
      </c>
      <c r="AW70" s="45" t="s">
        <v>113</v>
      </c>
    </row>
    <row r="71" spans="1:49">
      <c r="A71" s="1">
        <v>60</v>
      </c>
      <c r="B71" s="2" t="s">
        <v>5</v>
      </c>
      <c r="K71" s="1">
        <v>1</v>
      </c>
      <c r="L71" s="7">
        <v>0.98</v>
      </c>
      <c r="M71" s="46">
        <v>0.96</v>
      </c>
      <c r="N71" s="46">
        <v>0.95</v>
      </c>
      <c r="O71" s="46">
        <v>0.95</v>
      </c>
      <c r="P71" s="47">
        <v>0.96</v>
      </c>
      <c r="Q71" s="49">
        <v>0.95</v>
      </c>
      <c r="R71" s="47"/>
      <c r="S71" s="48"/>
      <c r="T71" s="48"/>
      <c r="U71" s="49"/>
      <c r="V71" s="50"/>
      <c r="W71" s="49"/>
      <c r="X71" s="47">
        <v>1</v>
      </c>
      <c r="Y71" s="48">
        <v>0.98</v>
      </c>
      <c r="Z71" s="48">
        <v>0.97</v>
      </c>
      <c r="AA71" s="48">
        <v>0.97</v>
      </c>
      <c r="AB71" s="47">
        <v>1</v>
      </c>
      <c r="AC71" s="48">
        <v>0.98</v>
      </c>
      <c r="AF71" s="7"/>
      <c r="AG71" s="46"/>
      <c r="AH71" s="46"/>
      <c r="AI71" s="10"/>
      <c r="AJ71" s="47"/>
      <c r="AK71" s="49"/>
      <c r="AL71" s="7">
        <v>1</v>
      </c>
      <c r="AM71" s="46">
        <v>0.97</v>
      </c>
      <c r="AN71" s="46">
        <v>0.96</v>
      </c>
      <c r="AO71" s="46">
        <v>0.96</v>
      </c>
      <c r="AP71" s="47">
        <v>1</v>
      </c>
      <c r="AQ71" s="49">
        <v>1</v>
      </c>
      <c r="AR71" s="47">
        <v>1</v>
      </c>
      <c r="AS71" s="48">
        <v>0.97</v>
      </c>
      <c r="AT71" s="48">
        <v>0.96</v>
      </c>
      <c r="AU71" s="48">
        <v>0.96</v>
      </c>
      <c r="AV71" s="47">
        <v>1</v>
      </c>
      <c r="AW71" s="48">
        <v>0.97</v>
      </c>
    </row>
    <row r="72" spans="1:49">
      <c r="A72" s="1">
        <v>61</v>
      </c>
      <c r="B72" s="2" t="s">
        <v>77</v>
      </c>
      <c r="K72" s="1">
        <v>2</v>
      </c>
      <c r="L72" s="15">
        <v>0.91</v>
      </c>
      <c r="M72" s="51">
        <v>0.87</v>
      </c>
      <c r="N72" s="51">
        <v>0.85</v>
      </c>
      <c r="O72" s="51">
        <v>0.85</v>
      </c>
      <c r="P72" s="52">
        <v>0.86</v>
      </c>
      <c r="Q72" s="54">
        <v>0.84</v>
      </c>
      <c r="R72" s="52"/>
      <c r="S72" s="53"/>
      <c r="T72" s="53"/>
      <c r="U72" s="54"/>
      <c r="V72" s="55"/>
      <c r="W72" s="54"/>
      <c r="X72" s="52">
        <v>0.97</v>
      </c>
      <c r="Y72" s="56">
        <v>0.93</v>
      </c>
      <c r="Z72" s="56">
        <v>0.9</v>
      </c>
      <c r="AA72" s="56">
        <v>0.9</v>
      </c>
      <c r="AB72" s="52">
        <v>0.97</v>
      </c>
      <c r="AC72" s="56">
        <v>0.93</v>
      </c>
      <c r="AF72" s="15"/>
      <c r="AG72" s="51"/>
      <c r="AH72" s="51"/>
      <c r="AI72" s="16"/>
      <c r="AJ72" s="52"/>
      <c r="AK72" s="54"/>
      <c r="AL72" s="15">
        <v>0.98</v>
      </c>
      <c r="AM72" s="51">
        <v>0.93</v>
      </c>
      <c r="AN72" s="51">
        <v>0.92</v>
      </c>
      <c r="AO72" s="51">
        <v>0.92</v>
      </c>
      <c r="AP72" s="52">
        <v>0.91</v>
      </c>
      <c r="AQ72" s="54">
        <v>0.9</v>
      </c>
      <c r="AR72" s="52">
        <v>1</v>
      </c>
      <c r="AS72" s="56">
        <v>0.95</v>
      </c>
      <c r="AT72" s="56">
        <v>0.94</v>
      </c>
      <c r="AU72" s="56">
        <v>0.94</v>
      </c>
      <c r="AV72" s="52">
        <v>1</v>
      </c>
      <c r="AW72" s="56">
        <v>0.95</v>
      </c>
    </row>
    <row r="73" spans="1:49">
      <c r="A73" s="1">
        <v>62</v>
      </c>
      <c r="B73" s="2" t="s">
        <v>77</v>
      </c>
      <c r="K73" s="1">
        <v>3</v>
      </c>
      <c r="L73" s="15">
        <v>0.87</v>
      </c>
      <c r="M73" s="51">
        <v>0.85</v>
      </c>
      <c r="N73" s="51">
        <v>0.78</v>
      </c>
      <c r="O73" s="51">
        <v>0.78</v>
      </c>
      <c r="P73" s="52">
        <v>0.86</v>
      </c>
      <c r="Q73" s="54">
        <v>0.84</v>
      </c>
      <c r="R73" s="52"/>
      <c r="S73" s="53"/>
      <c r="T73" s="53"/>
      <c r="U73" s="54"/>
      <c r="V73" s="55"/>
      <c r="W73" s="54"/>
      <c r="X73" s="52">
        <v>0.96</v>
      </c>
      <c r="Y73" s="56">
        <v>0.89</v>
      </c>
      <c r="Z73" s="56">
        <v>0.86</v>
      </c>
      <c r="AA73" s="56">
        <v>0.86</v>
      </c>
      <c r="AB73" s="52">
        <v>0.96</v>
      </c>
      <c r="AC73" s="56">
        <v>0.89</v>
      </c>
      <c r="AF73" s="15"/>
      <c r="AG73" s="51"/>
      <c r="AH73" s="51"/>
      <c r="AI73" s="16"/>
      <c r="AJ73" s="52"/>
      <c r="AK73" s="54"/>
      <c r="AL73" s="15">
        <v>0.96</v>
      </c>
      <c r="AM73" s="51">
        <v>0.89</v>
      </c>
      <c r="AN73" s="51">
        <v>0.86</v>
      </c>
      <c r="AO73" s="51">
        <v>0.86</v>
      </c>
      <c r="AP73" s="52">
        <v>0.89</v>
      </c>
      <c r="AQ73" s="54">
        <v>0.86</v>
      </c>
      <c r="AR73" s="52">
        <v>1</v>
      </c>
      <c r="AS73" s="56">
        <v>0.93</v>
      </c>
      <c r="AT73" s="56">
        <v>0.9</v>
      </c>
      <c r="AU73" s="56">
        <v>0.9</v>
      </c>
      <c r="AV73" s="52">
        <v>1</v>
      </c>
      <c r="AW73" s="56">
        <v>0.93</v>
      </c>
    </row>
    <row r="74" spans="1:49">
      <c r="A74" s="1">
        <v>63</v>
      </c>
      <c r="B74" s="2" t="s">
        <v>77</v>
      </c>
      <c r="K74" s="1">
        <v>4</v>
      </c>
      <c r="L74" s="15">
        <v>0.87</v>
      </c>
      <c r="M74" s="51">
        <v>0.85</v>
      </c>
      <c r="N74" s="51">
        <v>0.78</v>
      </c>
      <c r="O74" s="51">
        <v>0.78</v>
      </c>
      <c r="P74" s="52">
        <v>0.86</v>
      </c>
      <c r="Q74" s="54">
        <v>0.84</v>
      </c>
      <c r="R74" s="52"/>
      <c r="S74" s="53"/>
      <c r="T74" s="53"/>
      <c r="U74" s="54"/>
      <c r="V74" s="55"/>
      <c r="W74" s="54"/>
      <c r="X74" s="52">
        <v>0.96</v>
      </c>
      <c r="Y74" s="56">
        <v>0.89</v>
      </c>
      <c r="Z74" s="56">
        <v>0.86</v>
      </c>
      <c r="AA74" s="56">
        <v>0.86</v>
      </c>
      <c r="AB74" s="52">
        <v>0.96</v>
      </c>
      <c r="AC74" s="56">
        <v>0.89</v>
      </c>
      <c r="AF74" s="15"/>
      <c r="AG74" s="51"/>
      <c r="AH74" s="51"/>
      <c r="AI74" s="16"/>
      <c r="AJ74" s="52"/>
      <c r="AK74" s="54"/>
      <c r="AL74" s="15">
        <v>0.96</v>
      </c>
      <c r="AM74" s="51">
        <v>0.89</v>
      </c>
      <c r="AN74" s="51">
        <v>0.86</v>
      </c>
      <c r="AO74" s="51">
        <v>0.86</v>
      </c>
      <c r="AP74" s="52">
        <v>0.89</v>
      </c>
      <c r="AQ74" s="54">
        <v>0.86</v>
      </c>
      <c r="AR74" s="52">
        <v>1</v>
      </c>
      <c r="AS74" s="56">
        <v>0.93</v>
      </c>
      <c r="AT74" s="56">
        <v>0.9</v>
      </c>
      <c r="AU74" s="56">
        <v>0.9</v>
      </c>
      <c r="AV74" s="52">
        <v>1</v>
      </c>
      <c r="AW74" s="56">
        <v>0.93</v>
      </c>
    </row>
    <row r="75" spans="1:49">
      <c r="A75" s="1">
        <v>64</v>
      </c>
      <c r="B75" s="2" t="s">
        <v>77</v>
      </c>
      <c r="K75" s="1">
        <v>5</v>
      </c>
      <c r="L75" s="15">
        <v>0.87</v>
      </c>
      <c r="M75" s="51">
        <v>0.85</v>
      </c>
      <c r="N75" s="51">
        <v>0.78</v>
      </c>
      <c r="O75" s="51">
        <v>0.78</v>
      </c>
      <c r="P75" s="52">
        <v>0.86</v>
      </c>
      <c r="Q75" s="54">
        <v>0.84</v>
      </c>
      <c r="R75" s="52"/>
      <c r="S75" s="53"/>
      <c r="T75" s="53"/>
      <c r="U75" s="54"/>
      <c r="V75" s="55"/>
      <c r="W75" s="54"/>
      <c r="X75" s="52">
        <v>0.96</v>
      </c>
      <c r="Y75" s="56">
        <v>0.89</v>
      </c>
      <c r="Z75" s="56">
        <v>0.86</v>
      </c>
      <c r="AA75" s="56">
        <v>0.86</v>
      </c>
      <c r="AB75" s="52">
        <v>0.96</v>
      </c>
      <c r="AC75" s="56">
        <v>0.89</v>
      </c>
      <c r="AF75" s="15"/>
      <c r="AG75" s="51"/>
      <c r="AH75" s="51"/>
      <c r="AI75" s="16"/>
      <c r="AJ75" s="52"/>
      <c r="AK75" s="54"/>
      <c r="AL75" s="15">
        <v>0.96</v>
      </c>
      <c r="AM75" s="51">
        <v>0.89</v>
      </c>
      <c r="AN75" s="51">
        <v>0.86</v>
      </c>
      <c r="AO75" s="51">
        <v>0.86</v>
      </c>
      <c r="AP75" s="52">
        <v>0.89</v>
      </c>
      <c r="AQ75" s="54">
        <v>0.86</v>
      </c>
      <c r="AR75" s="52">
        <v>1</v>
      </c>
      <c r="AS75" s="56">
        <v>0.93</v>
      </c>
      <c r="AT75" s="56">
        <v>0.9</v>
      </c>
      <c r="AU75" s="56">
        <v>0.9</v>
      </c>
      <c r="AV75" s="52">
        <v>1</v>
      </c>
      <c r="AW75" s="56">
        <v>0.93</v>
      </c>
    </row>
    <row r="76" spans="1:49">
      <c r="A76" s="1">
        <v>65</v>
      </c>
      <c r="B76" s="2" t="s">
        <v>77</v>
      </c>
      <c r="K76" s="1">
        <v>6</v>
      </c>
      <c r="L76" s="15">
        <v>0.87</v>
      </c>
      <c r="M76" s="51">
        <v>0.85</v>
      </c>
      <c r="N76" s="51">
        <v>0.78</v>
      </c>
      <c r="O76" s="51">
        <v>0.78</v>
      </c>
      <c r="P76" s="52">
        <v>0.86</v>
      </c>
      <c r="Q76" s="54">
        <v>0.84</v>
      </c>
      <c r="R76" s="52"/>
      <c r="S76" s="53"/>
      <c r="T76" s="53"/>
      <c r="U76" s="54"/>
      <c r="V76" s="55"/>
      <c r="W76" s="54"/>
      <c r="X76" s="52">
        <v>0.96</v>
      </c>
      <c r="Y76" s="56">
        <v>0.89</v>
      </c>
      <c r="Z76" s="56">
        <v>0.86</v>
      </c>
      <c r="AA76" s="56">
        <v>0.86</v>
      </c>
      <c r="AB76" s="52">
        <v>0.96</v>
      </c>
      <c r="AC76" s="56">
        <v>0.89</v>
      </c>
      <c r="AF76" s="15"/>
      <c r="AG76" s="51"/>
      <c r="AH76" s="51"/>
      <c r="AI76" s="16"/>
      <c r="AJ76" s="52"/>
      <c r="AK76" s="54"/>
      <c r="AL76" s="15">
        <v>0.96</v>
      </c>
      <c r="AM76" s="51">
        <v>0.89</v>
      </c>
      <c r="AN76" s="51">
        <v>0.86</v>
      </c>
      <c r="AO76" s="51">
        <v>0.86</v>
      </c>
      <c r="AP76" s="52">
        <v>0.89</v>
      </c>
      <c r="AQ76" s="54">
        <v>0.86</v>
      </c>
      <c r="AR76" s="52">
        <v>1</v>
      </c>
      <c r="AS76" s="56">
        <v>0.93</v>
      </c>
      <c r="AT76" s="56">
        <v>0.9</v>
      </c>
      <c r="AU76" s="56">
        <v>0.9</v>
      </c>
      <c r="AV76" s="52">
        <v>1</v>
      </c>
      <c r="AW76" s="56">
        <v>0.93</v>
      </c>
    </row>
    <row r="77" spans="1:49">
      <c r="A77" s="1">
        <v>66</v>
      </c>
      <c r="B77" s="2" t="s">
        <v>77</v>
      </c>
      <c r="K77" s="1">
        <v>7</v>
      </c>
      <c r="L77" s="15">
        <v>0.87</v>
      </c>
      <c r="M77" s="51">
        <v>0.85</v>
      </c>
      <c r="N77" s="51">
        <v>0.78</v>
      </c>
      <c r="O77" s="51">
        <v>0.78</v>
      </c>
      <c r="P77" s="52">
        <v>0.86</v>
      </c>
      <c r="Q77" s="54">
        <v>0.84</v>
      </c>
      <c r="R77" s="52"/>
      <c r="S77" s="53"/>
      <c r="T77" s="53"/>
      <c r="U77" s="54"/>
      <c r="V77" s="55"/>
      <c r="W77" s="54"/>
      <c r="X77" s="52">
        <v>0.96</v>
      </c>
      <c r="Y77" s="56">
        <v>0.89</v>
      </c>
      <c r="Z77" s="56">
        <v>0.86</v>
      </c>
      <c r="AA77" s="56">
        <v>0.86</v>
      </c>
      <c r="AB77" s="52">
        <v>0.96</v>
      </c>
      <c r="AC77" s="56">
        <v>0.89</v>
      </c>
      <c r="AF77" s="15"/>
      <c r="AG77" s="51"/>
      <c r="AH77" s="51"/>
      <c r="AI77" s="16"/>
      <c r="AJ77" s="52"/>
      <c r="AK77" s="54"/>
      <c r="AL77" s="15">
        <v>0.96</v>
      </c>
      <c r="AM77" s="51">
        <v>0.89</v>
      </c>
      <c r="AN77" s="51">
        <v>0.86</v>
      </c>
      <c r="AO77" s="51">
        <v>0.86</v>
      </c>
      <c r="AP77" s="52">
        <v>0.89</v>
      </c>
      <c r="AQ77" s="54">
        <v>0.86</v>
      </c>
      <c r="AR77" s="52">
        <v>1</v>
      </c>
      <c r="AS77" s="56">
        <v>0.93</v>
      </c>
      <c r="AT77" s="56">
        <v>0.9</v>
      </c>
      <c r="AU77" s="56">
        <v>0.9</v>
      </c>
      <c r="AV77" s="52">
        <v>1</v>
      </c>
      <c r="AW77" s="56">
        <v>0.93</v>
      </c>
    </row>
    <row r="78" spans="1:49">
      <c r="A78" s="1">
        <v>67</v>
      </c>
      <c r="B78" s="2" t="s">
        <v>77</v>
      </c>
      <c r="K78" s="1">
        <v>8</v>
      </c>
      <c r="L78" s="15">
        <v>0.87</v>
      </c>
      <c r="M78" s="51">
        <v>0.85</v>
      </c>
      <c r="N78" s="51">
        <v>0.78</v>
      </c>
      <c r="O78" s="51">
        <v>0.78</v>
      </c>
      <c r="P78" s="52">
        <v>0.86</v>
      </c>
      <c r="Q78" s="54">
        <v>0.84</v>
      </c>
      <c r="R78" s="52"/>
      <c r="S78" s="53"/>
      <c r="T78" s="53"/>
      <c r="U78" s="54"/>
      <c r="V78" s="55"/>
      <c r="W78" s="54"/>
      <c r="X78" s="52">
        <v>0.96</v>
      </c>
      <c r="Y78" s="56">
        <v>0.89</v>
      </c>
      <c r="Z78" s="56">
        <v>0.86</v>
      </c>
      <c r="AA78" s="56">
        <v>0.86</v>
      </c>
      <c r="AB78" s="52">
        <v>0.96</v>
      </c>
      <c r="AC78" s="56">
        <v>0.89</v>
      </c>
      <c r="AF78" s="15"/>
      <c r="AG78" s="51"/>
      <c r="AH78" s="51"/>
      <c r="AI78" s="16"/>
      <c r="AJ78" s="52"/>
      <c r="AK78" s="54"/>
      <c r="AL78" s="15">
        <v>0.96</v>
      </c>
      <c r="AM78" s="51">
        <v>0.89</v>
      </c>
      <c r="AN78" s="51">
        <v>0.86</v>
      </c>
      <c r="AO78" s="51">
        <v>0.86</v>
      </c>
      <c r="AP78" s="52">
        <v>0.89</v>
      </c>
      <c r="AQ78" s="54">
        <v>0.86</v>
      </c>
      <c r="AR78" s="52">
        <v>1</v>
      </c>
      <c r="AS78" s="56">
        <v>0.93</v>
      </c>
      <c r="AT78" s="56">
        <v>0.9</v>
      </c>
      <c r="AU78" s="56">
        <v>0.9</v>
      </c>
      <c r="AV78" s="52">
        <v>1</v>
      </c>
      <c r="AW78" s="56">
        <v>0.93</v>
      </c>
    </row>
    <row r="79" spans="1:49">
      <c r="A79" s="1">
        <v>68</v>
      </c>
      <c r="B79" s="2" t="s">
        <v>77</v>
      </c>
      <c r="K79" s="1">
        <v>9</v>
      </c>
      <c r="L79" s="15">
        <v>0.87</v>
      </c>
      <c r="M79" s="51">
        <v>0.85</v>
      </c>
      <c r="N79" s="51">
        <v>0.78</v>
      </c>
      <c r="O79" s="51">
        <v>0.78</v>
      </c>
      <c r="P79" s="52">
        <v>0.86</v>
      </c>
      <c r="Q79" s="54">
        <v>0.84</v>
      </c>
      <c r="R79" s="52"/>
      <c r="S79" s="53"/>
      <c r="T79" s="53"/>
      <c r="U79" s="54"/>
      <c r="V79" s="55"/>
      <c r="W79" s="54"/>
      <c r="X79" s="52">
        <v>0.96</v>
      </c>
      <c r="Y79" s="56">
        <v>0.89</v>
      </c>
      <c r="Z79" s="56">
        <v>0.86</v>
      </c>
      <c r="AA79" s="56">
        <v>0.86</v>
      </c>
      <c r="AB79" s="52">
        <v>0.96</v>
      </c>
      <c r="AC79" s="56">
        <v>0.89</v>
      </c>
      <c r="AF79" s="15"/>
      <c r="AG79" s="51"/>
      <c r="AH79" s="51"/>
      <c r="AI79" s="16"/>
      <c r="AJ79" s="52"/>
      <c r="AK79" s="54"/>
      <c r="AL79" s="15">
        <v>0.96</v>
      </c>
      <c r="AM79" s="51">
        <v>0.89</v>
      </c>
      <c r="AN79" s="51">
        <v>0.86</v>
      </c>
      <c r="AO79" s="51">
        <v>0.86</v>
      </c>
      <c r="AP79" s="52">
        <v>0.89</v>
      </c>
      <c r="AQ79" s="54">
        <v>0.86</v>
      </c>
      <c r="AR79" s="52">
        <v>1</v>
      </c>
      <c r="AS79" s="56">
        <v>0.93</v>
      </c>
      <c r="AT79" s="56">
        <v>0.9</v>
      </c>
      <c r="AU79" s="56">
        <v>0.9</v>
      </c>
      <c r="AV79" s="52">
        <v>1</v>
      </c>
      <c r="AW79" s="56">
        <v>0.93</v>
      </c>
    </row>
    <row r="80" spans="1:49">
      <c r="A80" s="1">
        <v>69</v>
      </c>
      <c r="B80" s="2" t="s">
        <v>77</v>
      </c>
      <c r="K80" s="1">
        <v>10</v>
      </c>
      <c r="L80" s="15">
        <v>0.87</v>
      </c>
      <c r="M80" s="51">
        <v>0.85</v>
      </c>
      <c r="N80" s="51">
        <v>0.78</v>
      </c>
      <c r="O80" s="51">
        <v>0.78</v>
      </c>
      <c r="P80" s="52">
        <v>0.86</v>
      </c>
      <c r="Q80" s="54">
        <v>0.84</v>
      </c>
      <c r="R80" s="52"/>
      <c r="S80" s="53"/>
      <c r="T80" s="53"/>
      <c r="U80" s="54"/>
      <c r="V80" s="55"/>
      <c r="W80" s="54"/>
      <c r="X80" s="52">
        <v>0.96</v>
      </c>
      <c r="Y80" s="56">
        <v>0.89</v>
      </c>
      <c r="Z80" s="56">
        <v>0.86</v>
      </c>
      <c r="AA80" s="56">
        <v>0.86</v>
      </c>
      <c r="AB80" s="52">
        <v>0.96</v>
      </c>
      <c r="AC80" s="56">
        <v>0.89</v>
      </c>
      <c r="AF80" s="15"/>
      <c r="AG80" s="51"/>
      <c r="AH80" s="51"/>
      <c r="AI80" s="16"/>
      <c r="AJ80" s="52"/>
      <c r="AK80" s="54"/>
      <c r="AL80" s="15">
        <v>0.96</v>
      </c>
      <c r="AM80" s="51">
        <v>0.89</v>
      </c>
      <c r="AN80" s="51">
        <v>0.86</v>
      </c>
      <c r="AO80" s="51">
        <v>0.86</v>
      </c>
      <c r="AP80" s="52">
        <v>0.89</v>
      </c>
      <c r="AQ80" s="54">
        <v>0.86</v>
      </c>
      <c r="AR80" s="52">
        <v>1</v>
      </c>
      <c r="AS80" s="56">
        <v>0.93</v>
      </c>
      <c r="AT80" s="56">
        <v>0.9</v>
      </c>
      <c r="AU80" s="56">
        <v>0.9</v>
      </c>
      <c r="AV80" s="52">
        <v>1</v>
      </c>
      <c r="AW80" s="56">
        <v>0.93</v>
      </c>
    </row>
    <row r="81" spans="1:49">
      <c r="A81" s="1">
        <v>70</v>
      </c>
      <c r="B81" s="2" t="s">
        <v>28</v>
      </c>
      <c r="K81" s="1">
        <v>11</v>
      </c>
      <c r="L81" s="15">
        <v>0.87</v>
      </c>
      <c r="M81" s="51">
        <v>0.85</v>
      </c>
      <c r="N81" s="51">
        <v>0.78</v>
      </c>
      <c r="O81" s="51">
        <v>0.78</v>
      </c>
      <c r="P81" s="52">
        <v>0.86</v>
      </c>
      <c r="Q81" s="54">
        <v>0.84</v>
      </c>
      <c r="R81" s="52"/>
      <c r="S81" s="53"/>
      <c r="T81" s="53"/>
      <c r="U81" s="54"/>
      <c r="V81" s="55"/>
      <c r="W81" s="54"/>
      <c r="X81" s="52">
        <v>0.96</v>
      </c>
      <c r="Y81" s="56">
        <v>0.89</v>
      </c>
      <c r="Z81" s="56">
        <v>0.86</v>
      </c>
      <c r="AA81" s="56">
        <v>0.86</v>
      </c>
      <c r="AB81" s="52">
        <v>0.96</v>
      </c>
      <c r="AC81" s="56">
        <v>0.89</v>
      </c>
      <c r="AF81" s="15"/>
      <c r="AG81" s="51"/>
      <c r="AH81" s="51"/>
      <c r="AI81" s="16"/>
      <c r="AJ81" s="52"/>
      <c r="AK81" s="54"/>
      <c r="AL81" s="15">
        <v>0.96</v>
      </c>
      <c r="AM81" s="51">
        <v>0.89</v>
      </c>
      <c r="AN81" s="51">
        <v>0.86</v>
      </c>
      <c r="AO81" s="51">
        <v>0.86</v>
      </c>
      <c r="AP81" s="52">
        <v>0.89</v>
      </c>
      <c r="AQ81" s="54">
        <v>0.86</v>
      </c>
      <c r="AR81" s="52">
        <v>1</v>
      </c>
      <c r="AS81" s="56">
        <v>0.93</v>
      </c>
      <c r="AT81" s="56">
        <v>0.9</v>
      </c>
      <c r="AU81" s="56">
        <v>0.9</v>
      </c>
      <c r="AV81" s="52">
        <v>1</v>
      </c>
      <c r="AW81" s="56">
        <v>0.93</v>
      </c>
    </row>
    <row r="82" spans="1:49">
      <c r="A82" s="1">
        <v>71</v>
      </c>
      <c r="B82" s="2" t="s">
        <v>28</v>
      </c>
      <c r="K82" s="1">
        <v>12</v>
      </c>
      <c r="L82" s="15">
        <v>0.87</v>
      </c>
      <c r="M82" s="51">
        <v>0.85</v>
      </c>
      <c r="N82" s="51">
        <v>0.78</v>
      </c>
      <c r="O82" s="51">
        <v>0.78</v>
      </c>
      <c r="P82" s="52">
        <v>0.86</v>
      </c>
      <c r="Q82" s="54">
        <v>0.84</v>
      </c>
      <c r="R82" s="52"/>
      <c r="S82" s="53"/>
      <c r="T82" s="53"/>
      <c r="U82" s="54"/>
      <c r="V82" s="55"/>
      <c r="W82" s="54"/>
      <c r="X82" s="52">
        <v>0.96</v>
      </c>
      <c r="Y82" s="56">
        <v>0.89</v>
      </c>
      <c r="Z82" s="56">
        <v>0.86</v>
      </c>
      <c r="AA82" s="56">
        <v>0.86</v>
      </c>
      <c r="AB82" s="52">
        <v>0.96</v>
      </c>
      <c r="AC82" s="56">
        <v>0.89</v>
      </c>
      <c r="AF82" s="15"/>
      <c r="AG82" s="51"/>
      <c r="AH82" s="51"/>
      <c r="AI82" s="16"/>
      <c r="AJ82" s="52"/>
      <c r="AK82" s="54"/>
      <c r="AL82" s="15">
        <v>0.96</v>
      </c>
      <c r="AM82" s="51">
        <v>0.89</v>
      </c>
      <c r="AN82" s="51">
        <v>0.86</v>
      </c>
      <c r="AO82" s="51">
        <v>0.86</v>
      </c>
      <c r="AP82" s="52">
        <v>0.89</v>
      </c>
      <c r="AQ82" s="54">
        <v>0.86</v>
      </c>
      <c r="AR82" s="52">
        <v>1</v>
      </c>
      <c r="AS82" s="56">
        <v>0.93</v>
      </c>
      <c r="AT82" s="56">
        <v>0.9</v>
      </c>
      <c r="AU82" s="56">
        <v>0.9</v>
      </c>
      <c r="AV82" s="52">
        <v>1</v>
      </c>
      <c r="AW82" s="56">
        <v>0.93</v>
      </c>
    </row>
    <row r="83" spans="1:49">
      <c r="A83" s="1">
        <v>72</v>
      </c>
      <c r="B83" s="2" t="s">
        <v>29</v>
      </c>
      <c r="K83" s="1">
        <v>13</v>
      </c>
      <c r="L83" s="15">
        <v>0.87</v>
      </c>
      <c r="M83" s="51">
        <v>0.85</v>
      </c>
      <c r="N83" s="51">
        <v>0.78</v>
      </c>
      <c r="O83" s="51">
        <v>0.78</v>
      </c>
      <c r="P83" s="52">
        <v>0.86</v>
      </c>
      <c r="Q83" s="54">
        <v>0.84</v>
      </c>
      <c r="R83" s="52"/>
      <c r="S83" s="53"/>
      <c r="T83" s="53"/>
      <c r="U83" s="54"/>
      <c r="V83" s="55"/>
      <c r="W83" s="54"/>
      <c r="X83" s="52">
        <v>0.96</v>
      </c>
      <c r="Y83" s="56">
        <v>0.89</v>
      </c>
      <c r="Z83" s="56">
        <v>0.86</v>
      </c>
      <c r="AA83" s="56">
        <v>0.86</v>
      </c>
      <c r="AB83" s="52">
        <v>0.96</v>
      </c>
      <c r="AC83" s="56">
        <v>0.89</v>
      </c>
      <c r="AF83" s="15"/>
      <c r="AG83" s="51"/>
      <c r="AH83" s="51"/>
      <c r="AI83" s="16"/>
      <c r="AJ83" s="52"/>
      <c r="AK83" s="54"/>
      <c r="AL83" s="15">
        <v>0.96</v>
      </c>
      <c r="AM83" s="51">
        <v>0.89</v>
      </c>
      <c r="AN83" s="51">
        <v>0.86</v>
      </c>
      <c r="AO83" s="51">
        <v>0.86</v>
      </c>
      <c r="AP83" s="52">
        <v>0.89</v>
      </c>
      <c r="AQ83" s="54">
        <v>0.86</v>
      </c>
      <c r="AR83" s="52">
        <v>1</v>
      </c>
      <c r="AS83" s="56">
        <v>0.93</v>
      </c>
      <c r="AT83" s="56">
        <v>0.9</v>
      </c>
      <c r="AU83" s="56">
        <v>0.9</v>
      </c>
      <c r="AV83" s="52">
        <v>1</v>
      </c>
      <c r="AW83" s="56">
        <v>0.93</v>
      </c>
    </row>
    <row r="84" spans="1:49" ht="15" thickBot="1">
      <c r="A84" s="3">
        <v>73</v>
      </c>
      <c r="B84" s="4" t="s">
        <v>29</v>
      </c>
      <c r="K84" s="1">
        <v>14</v>
      </c>
      <c r="L84" s="15">
        <v>0.87</v>
      </c>
      <c r="M84" s="51">
        <v>0.85</v>
      </c>
      <c r="N84" s="51">
        <v>0.78</v>
      </c>
      <c r="O84" s="51">
        <v>0.78</v>
      </c>
      <c r="P84" s="52">
        <v>0.86</v>
      </c>
      <c r="Q84" s="54">
        <v>0.84</v>
      </c>
      <c r="R84" s="52"/>
      <c r="S84" s="53"/>
      <c r="T84" s="53"/>
      <c r="U84" s="54"/>
      <c r="V84" s="55"/>
      <c r="W84" s="54"/>
      <c r="X84" s="52">
        <v>0.96</v>
      </c>
      <c r="Y84" s="56">
        <v>0.89</v>
      </c>
      <c r="Z84" s="56">
        <v>0.86</v>
      </c>
      <c r="AA84" s="56">
        <v>0.86</v>
      </c>
      <c r="AB84" s="52">
        <v>0.96</v>
      </c>
      <c r="AC84" s="56">
        <v>0.89</v>
      </c>
      <c r="AF84" s="15"/>
      <c r="AG84" s="51"/>
      <c r="AH84" s="51"/>
      <c r="AI84" s="16"/>
      <c r="AJ84" s="52"/>
      <c r="AK84" s="54"/>
      <c r="AL84" s="15">
        <v>0.96</v>
      </c>
      <c r="AM84" s="51">
        <v>0.89</v>
      </c>
      <c r="AN84" s="51">
        <v>0.86</v>
      </c>
      <c r="AO84" s="51">
        <v>0.86</v>
      </c>
      <c r="AP84" s="52">
        <v>0.89</v>
      </c>
      <c r="AQ84" s="54">
        <v>0.86</v>
      </c>
      <c r="AR84" s="52">
        <v>1</v>
      </c>
      <c r="AS84" s="56">
        <v>0.93</v>
      </c>
      <c r="AT84" s="56">
        <v>0.9</v>
      </c>
      <c r="AU84" s="56">
        <v>0.9</v>
      </c>
      <c r="AV84" s="52">
        <v>1</v>
      </c>
      <c r="AW84" s="56">
        <v>0.93</v>
      </c>
    </row>
    <row r="85" spans="1:49">
      <c r="K85" s="1">
        <v>15</v>
      </c>
      <c r="L85" s="15">
        <v>0.87</v>
      </c>
      <c r="M85" s="51">
        <v>0.85</v>
      </c>
      <c r="N85" s="51">
        <v>0.78</v>
      </c>
      <c r="O85" s="51">
        <v>0.78</v>
      </c>
      <c r="P85" s="52">
        <v>0.86</v>
      </c>
      <c r="Q85" s="54">
        <v>0.84</v>
      </c>
      <c r="R85" s="52"/>
      <c r="S85" s="53"/>
      <c r="T85" s="53"/>
      <c r="U85" s="54"/>
      <c r="V85" s="55"/>
      <c r="W85" s="54"/>
      <c r="X85" s="52">
        <v>0.96</v>
      </c>
      <c r="Y85" s="56">
        <v>0.89</v>
      </c>
      <c r="Z85" s="56">
        <v>0.86</v>
      </c>
      <c r="AA85" s="56">
        <v>0.86</v>
      </c>
      <c r="AB85" s="52">
        <v>0.96</v>
      </c>
      <c r="AC85" s="56">
        <v>0.89</v>
      </c>
      <c r="AF85" s="15"/>
      <c r="AG85" s="51"/>
      <c r="AH85" s="51"/>
      <c r="AI85" s="16"/>
      <c r="AJ85" s="52"/>
      <c r="AK85" s="54"/>
      <c r="AL85" s="15">
        <v>0.96</v>
      </c>
      <c r="AM85" s="51">
        <v>0.89</v>
      </c>
      <c r="AN85" s="51">
        <v>0.86</v>
      </c>
      <c r="AO85" s="51">
        <v>0.86</v>
      </c>
      <c r="AP85" s="52">
        <v>0.89</v>
      </c>
      <c r="AQ85" s="54">
        <v>0.86</v>
      </c>
      <c r="AR85" s="52">
        <v>1</v>
      </c>
      <c r="AS85" s="56">
        <v>0.93</v>
      </c>
      <c r="AT85" s="56">
        <v>0.9</v>
      </c>
      <c r="AU85" s="56">
        <v>0.9</v>
      </c>
      <c r="AV85" s="52">
        <v>1</v>
      </c>
      <c r="AW85" s="56">
        <v>0.93</v>
      </c>
    </row>
    <row r="86" spans="1:49">
      <c r="K86" s="1">
        <v>16</v>
      </c>
      <c r="L86" s="15">
        <v>0.87</v>
      </c>
      <c r="M86" s="51">
        <v>0.85</v>
      </c>
      <c r="N86" s="51">
        <v>0.78</v>
      </c>
      <c r="O86" s="51">
        <v>0.78</v>
      </c>
      <c r="P86" s="52">
        <v>0.86</v>
      </c>
      <c r="Q86" s="54">
        <v>0.84</v>
      </c>
      <c r="R86" s="52"/>
      <c r="S86" s="53"/>
      <c r="T86" s="53"/>
      <c r="U86" s="54"/>
      <c r="V86" s="55"/>
      <c r="W86" s="54"/>
      <c r="X86" s="52">
        <v>0.96</v>
      </c>
      <c r="Y86" s="56">
        <v>0.89</v>
      </c>
      <c r="Z86" s="56">
        <v>0.86</v>
      </c>
      <c r="AA86" s="56">
        <v>0.86</v>
      </c>
      <c r="AB86" s="52">
        <v>0.96</v>
      </c>
      <c r="AC86" s="56">
        <v>0.89</v>
      </c>
      <c r="AF86" s="15"/>
      <c r="AG86" s="51"/>
      <c r="AH86" s="51"/>
      <c r="AI86" s="16"/>
      <c r="AJ86" s="52"/>
      <c r="AK86" s="54"/>
      <c r="AL86" s="15">
        <v>0.96</v>
      </c>
      <c r="AM86" s="51">
        <v>0.89</v>
      </c>
      <c r="AN86" s="51">
        <v>0.86</v>
      </c>
      <c r="AO86" s="51">
        <v>0.86</v>
      </c>
      <c r="AP86" s="52">
        <v>0.89</v>
      </c>
      <c r="AQ86" s="54">
        <v>0.86</v>
      </c>
      <c r="AR86" s="52">
        <v>1</v>
      </c>
      <c r="AS86" s="56">
        <v>0.93</v>
      </c>
      <c r="AT86" s="56">
        <v>0.9</v>
      </c>
      <c r="AU86" s="56">
        <v>0.9</v>
      </c>
      <c r="AV86" s="52">
        <v>1</v>
      </c>
      <c r="AW86" s="56">
        <v>0.93</v>
      </c>
    </row>
    <row r="87" spans="1:49">
      <c r="K87" s="1">
        <v>17</v>
      </c>
      <c r="L87" s="15">
        <v>0.87</v>
      </c>
      <c r="M87" s="51">
        <v>0.85</v>
      </c>
      <c r="N87" s="51">
        <v>0.78</v>
      </c>
      <c r="O87" s="51">
        <v>0.78</v>
      </c>
      <c r="P87" s="52">
        <v>0.86</v>
      </c>
      <c r="Q87" s="54">
        <v>0.84</v>
      </c>
      <c r="R87" s="52"/>
      <c r="S87" s="53"/>
      <c r="T87" s="53"/>
      <c r="U87" s="54"/>
      <c r="V87" s="55"/>
      <c r="W87" s="54"/>
      <c r="X87" s="52">
        <v>0.96</v>
      </c>
      <c r="Y87" s="56">
        <v>0.89</v>
      </c>
      <c r="Z87" s="56">
        <v>0.86</v>
      </c>
      <c r="AA87" s="56">
        <v>0.86</v>
      </c>
      <c r="AB87" s="52">
        <v>0.96</v>
      </c>
      <c r="AC87" s="56">
        <v>0.89</v>
      </c>
      <c r="AF87" s="15"/>
      <c r="AG87" s="51"/>
      <c r="AH87" s="51"/>
      <c r="AI87" s="16"/>
      <c r="AJ87" s="52"/>
      <c r="AK87" s="54"/>
      <c r="AL87" s="15">
        <v>0.96</v>
      </c>
      <c r="AM87" s="51">
        <v>0.89</v>
      </c>
      <c r="AN87" s="51">
        <v>0.86</v>
      </c>
      <c r="AO87" s="51">
        <v>0.86</v>
      </c>
      <c r="AP87" s="52">
        <v>0.89</v>
      </c>
      <c r="AQ87" s="54">
        <v>0.86</v>
      </c>
      <c r="AR87" s="52">
        <v>1</v>
      </c>
      <c r="AS87" s="56">
        <v>0.93</v>
      </c>
      <c r="AT87" s="56">
        <v>0.9</v>
      </c>
      <c r="AU87" s="56">
        <v>0.9</v>
      </c>
      <c r="AV87" s="52">
        <v>1</v>
      </c>
      <c r="AW87" s="56">
        <v>0.93</v>
      </c>
    </row>
    <row r="88" spans="1:49">
      <c r="K88" s="1">
        <v>18</v>
      </c>
      <c r="L88" s="15">
        <v>0.87</v>
      </c>
      <c r="M88" s="51">
        <v>0.85</v>
      </c>
      <c r="N88" s="51">
        <v>0.78</v>
      </c>
      <c r="O88" s="51">
        <v>0.78</v>
      </c>
      <c r="P88" s="52">
        <v>0.86</v>
      </c>
      <c r="Q88" s="54">
        <v>0.84</v>
      </c>
      <c r="R88" s="52"/>
      <c r="S88" s="53"/>
      <c r="T88" s="53"/>
      <c r="U88" s="54"/>
      <c r="V88" s="55"/>
      <c r="W88" s="54"/>
      <c r="X88" s="52">
        <v>0.96</v>
      </c>
      <c r="Y88" s="56">
        <v>0.89</v>
      </c>
      <c r="Z88" s="56">
        <v>0.86</v>
      </c>
      <c r="AA88" s="56">
        <v>0.86</v>
      </c>
      <c r="AB88" s="52">
        <v>0.96</v>
      </c>
      <c r="AC88" s="56">
        <v>0.89</v>
      </c>
      <c r="AF88" s="15"/>
      <c r="AG88" s="51"/>
      <c r="AH88" s="51"/>
      <c r="AI88" s="16"/>
      <c r="AJ88" s="52"/>
      <c r="AK88" s="54"/>
      <c r="AL88" s="15">
        <v>0.96</v>
      </c>
      <c r="AM88" s="51">
        <v>0.89</v>
      </c>
      <c r="AN88" s="51">
        <v>0.86</v>
      </c>
      <c r="AO88" s="51">
        <v>0.86</v>
      </c>
      <c r="AP88" s="52">
        <v>0.89</v>
      </c>
      <c r="AQ88" s="54">
        <v>0.86</v>
      </c>
      <c r="AR88" s="52">
        <v>1</v>
      </c>
      <c r="AS88" s="56">
        <v>0.93</v>
      </c>
      <c r="AT88" s="56">
        <v>0.9</v>
      </c>
      <c r="AU88" s="56">
        <v>0.9</v>
      </c>
      <c r="AV88" s="52">
        <v>1</v>
      </c>
      <c r="AW88" s="56">
        <v>0.93</v>
      </c>
    </row>
    <row r="89" spans="1:49">
      <c r="K89" s="1">
        <v>19</v>
      </c>
      <c r="L89" s="15">
        <v>0.87</v>
      </c>
      <c r="M89" s="51">
        <v>0.85</v>
      </c>
      <c r="N89" s="51">
        <v>0.78</v>
      </c>
      <c r="O89" s="51">
        <v>0.78</v>
      </c>
      <c r="P89" s="52">
        <v>0.86</v>
      </c>
      <c r="Q89" s="54">
        <v>0.84</v>
      </c>
      <c r="R89" s="52"/>
      <c r="S89" s="53"/>
      <c r="T89" s="53"/>
      <c r="U89" s="54"/>
      <c r="V89" s="55"/>
      <c r="W89" s="54"/>
      <c r="X89" s="52">
        <v>0.96</v>
      </c>
      <c r="Y89" s="56">
        <v>0.89</v>
      </c>
      <c r="Z89" s="56">
        <v>0.86</v>
      </c>
      <c r="AA89" s="56">
        <v>0.86</v>
      </c>
      <c r="AB89" s="52">
        <v>0.96</v>
      </c>
      <c r="AC89" s="56">
        <v>0.89</v>
      </c>
      <c r="AF89" s="15"/>
      <c r="AG89" s="51"/>
      <c r="AH89" s="51"/>
      <c r="AI89" s="16"/>
      <c r="AJ89" s="52"/>
      <c r="AK89" s="54"/>
      <c r="AL89" s="15">
        <v>0.96</v>
      </c>
      <c r="AM89" s="51">
        <v>0.89</v>
      </c>
      <c r="AN89" s="51">
        <v>0.86</v>
      </c>
      <c r="AO89" s="51">
        <v>0.86</v>
      </c>
      <c r="AP89" s="52">
        <v>0.89</v>
      </c>
      <c r="AQ89" s="54">
        <v>0.86</v>
      </c>
      <c r="AR89" s="52">
        <v>1</v>
      </c>
      <c r="AS89" s="56">
        <v>0.93</v>
      </c>
      <c r="AT89" s="56">
        <v>0.9</v>
      </c>
      <c r="AU89" s="56">
        <v>0.9</v>
      </c>
      <c r="AV89" s="52">
        <v>1</v>
      </c>
      <c r="AW89" s="56">
        <v>0.93</v>
      </c>
    </row>
    <row r="90" spans="1:49">
      <c r="K90" s="1">
        <v>20</v>
      </c>
      <c r="L90" s="15">
        <v>0.87</v>
      </c>
      <c r="M90" s="51">
        <v>0.85</v>
      </c>
      <c r="N90" s="51">
        <v>0.78</v>
      </c>
      <c r="O90" s="51">
        <v>0.78</v>
      </c>
      <c r="P90" s="52">
        <v>0.86</v>
      </c>
      <c r="Q90" s="54">
        <v>0.84</v>
      </c>
      <c r="R90" s="52"/>
      <c r="S90" s="53"/>
      <c r="T90" s="53"/>
      <c r="U90" s="54"/>
      <c r="V90" s="55"/>
      <c r="W90" s="54"/>
      <c r="X90" s="52">
        <v>0.96</v>
      </c>
      <c r="Y90" s="56">
        <v>0.89</v>
      </c>
      <c r="Z90" s="56">
        <v>0.86</v>
      </c>
      <c r="AA90" s="56">
        <v>0.86</v>
      </c>
      <c r="AB90" s="52">
        <v>0.96</v>
      </c>
      <c r="AC90" s="56">
        <v>0.89</v>
      </c>
      <c r="AF90" s="15"/>
      <c r="AG90" s="51"/>
      <c r="AH90" s="51"/>
      <c r="AI90" s="16"/>
      <c r="AJ90" s="52"/>
      <c r="AK90" s="54"/>
      <c r="AL90" s="15">
        <v>0.96</v>
      </c>
      <c r="AM90" s="51">
        <v>0.89</v>
      </c>
      <c r="AN90" s="51">
        <v>0.86</v>
      </c>
      <c r="AO90" s="51">
        <v>0.86</v>
      </c>
      <c r="AP90" s="52">
        <v>0.89</v>
      </c>
      <c r="AQ90" s="54">
        <v>0.86</v>
      </c>
      <c r="AR90" s="52">
        <v>1</v>
      </c>
      <c r="AS90" s="56">
        <v>0.93</v>
      </c>
      <c r="AT90" s="56">
        <v>0.9</v>
      </c>
      <c r="AU90" s="56">
        <v>0.9</v>
      </c>
      <c r="AV90" s="52">
        <v>1</v>
      </c>
      <c r="AW90" s="56">
        <v>0.93</v>
      </c>
    </row>
    <row r="91" spans="1:49" ht="15" thickBot="1">
      <c r="K91" s="65" t="s">
        <v>85</v>
      </c>
      <c r="L91" s="15">
        <v>0.87</v>
      </c>
      <c r="M91" s="51">
        <v>0.85</v>
      </c>
      <c r="N91" s="51">
        <v>0.78</v>
      </c>
      <c r="O91" s="51">
        <v>0.78</v>
      </c>
      <c r="P91" s="52">
        <v>0.86</v>
      </c>
      <c r="Q91" s="54">
        <v>0.84</v>
      </c>
      <c r="R91" s="69"/>
      <c r="S91" s="70"/>
      <c r="T91" s="70"/>
      <c r="U91" s="71"/>
      <c r="V91" s="72"/>
      <c r="W91" s="71"/>
      <c r="X91" s="52">
        <v>0.96</v>
      </c>
      <c r="Y91" s="56">
        <v>0.89</v>
      </c>
      <c r="Z91" s="56">
        <v>0.86</v>
      </c>
      <c r="AA91" s="56">
        <v>0.86</v>
      </c>
      <c r="AB91" s="52">
        <v>0.96</v>
      </c>
      <c r="AC91" s="56">
        <v>0.89</v>
      </c>
      <c r="AF91" s="66"/>
      <c r="AG91" s="67"/>
      <c r="AH91" s="67"/>
      <c r="AI91" s="68"/>
      <c r="AJ91" s="69"/>
      <c r="AK91" s="71"/>
      <c r="AL91" s="15">
        <v>0.96</v>
      </c>
      <c r="AM91" s="51">
        <v>0.89</v>
      </c>
      <c r="AN91" s="51">
        <v>0.86</v>
      </c>
      <c r="AO91" s="51">
        <v>0.86</v>
      </c>
      <c r="AP91" s="52">
        <v>0.89</v>
      </c>
      <c r="AQ91" s="54">
        <v>0.86</v>
      </c>
      <c r="AR91" s="52">
        <v>1</v>
      </c>
      <c r="AS91" s="56">
        <v>0.93</v>
      </c>
      <c r="AT91" s="56">
        <v>0.9</v>
      </c>
      <c r="AU91" s="56">
        <v>0.9</v>
      </c>
      <c r="AV91" s="52">
        <v>1</v>
      </c>
      <c r="AW91" s="56">
        <v>0.93</v>
      </c>
    </row>
    <row r="95" spans="1:49">
      <c r="A95" t="s">
        <v>115</v>
      </c>
    </row>
    <row r="96" spans="1:49">
      <c r="A96" s="1">
        <v>1</v>
      </c>
      <c r="B96" s="2" t="s">
        <v>2</v>
      </c>
    </row>
    <row r="97" spans="1:2">
      <c r="A97" s="1">
        <v>2</v>
      </c>
      <c r="B97" s="2" t="s">
        <v>3</v>
      </c>
    </row>
    <row r="98" spans="1:2">
      <c r="A98" s="1">
        <v>3</v>
      </c>
      <c r="B98" s="2" t="s">
        <v>2</v>
      </c>
    </row>
    <row r="99" spans="1:2">
      <c r="A99" s="1">
        <v>4</v>
      </c>
      <c r="B99" s="2" t="s">
        <v>4</v>
      </c>
    </row>
    <row r="100" spans="1:2">
      <c r="A100" s="1">
        <v>5</v>
      </c>
      <c r="B100" s="2" t="s">
        <v>5</v>
      </c>
    </row>
    <row r="101" spans="1:2">
      <c r="A101" s="1">
        <v>6</v>
      </c>
      <c r="B101" s="2" t="s">
        <v>4</v>
      </c>
    </row>
    <row r="102" spans="1:2">
      <c r="A102" s="1">
        <v>7</v>
      </c>
      <c r="B102" s="2" t="s">
        <v>4</v>
      </c>
    </row>
    <row r="103" spans="1:2">
      <c r="A103" s="1">
        <v>8</v>
      </c>
      <c r="B103" s="2" t="s">
        <v>5</v>
      </c>
    </row>
    <row r="104" spans="1:2">
      <c r="A104" s="1">
        <v>9</v>
      </c>
      <c r="B104" s="2" t="s">
        <v>5</v>
      </c>
    </row>
    <row r="105" spans="1:2">
      <c r="A105" s="1">
        <v>10</v>
      </c>
      <c r="B105" s="2" t="s">
        <v>4</v>
      </c>
    </row>
    <row r="106" spans="1:2">
      <c r="A106" s="1">
        <v>11</v>
      </c>
      <c r="B106" s="2" t="s">
        <v>5</v>
      </c>
    </row>
    <row r="107" spans="1:2">
      <c r="A107" s="1">
        <v>12</v>
      </c>
      <c r="B107" s="2" t="s">
        <v>2</v>
      </c>
    </row>
    <row r="108" spans="1:2">
      <c r="A108" s="1">
        <v>13</v>
      </c>
      <c r="B108" s="2" t="s">
        <v>77</v>
      </c>
    </row>
    <row r="109" spans="1:2">
      <c r="A109" s="1">
        <v>14</v>
      </c>
      <c r="B109" s="2" t="s">
        <v>77</v>
      </c>
    </row>
    <row r="110" spans="1:2">
      <c r="A110" s="1">
        <v>15</v>
      </c>
      <c r="B110" s="2" t="s">
        <v>2</v>
      </c>
    </row>
    <row r="111" spans="1:2">
      <c r="A111" s="1">
        <v>16</v>
      </c>
      <c r="B111" s="2" t="s">
        <v>2</v>
      </c>
    </row>
    <row r="112" spans="1:2">
      <c r="A112" s="1">
        <v>17</v>
      </c>
      <c r="B112" s="2" t="s">
        <v>77</v>
      </c>
    </row>
    <row r="113" spans="1:2">
      <c r="A113" s="1">
        <v>18</v>
      </c>
      <c r="B113" s="2" t="s">
        <v>77</v>
      </c>
    </row>
    <row r="114" spans="1:2">
      <c r="A114" s="1">
        <v>19</v>
      </c>
      <c r="B114" s="2" t="s">
        <v>77</v>
      </c>
    </row>
    <row r="115" spans="1:2">
      <c r="A115" s="1">
        <v>20</v>
      </c>
      <c r="B115" s="2" t="s">
        <v>6</v>
      </c>
    </row>
    <row r="116" spans="1:2">
      <c r="A116" s="1">
        <v>21</v>
      </c>
      <c r="B116" s="2" t="s">
        <v>6</v>
      </c>
    </row>
    <row r="117" spans="1:2">
      <c r="A117" s="1">
        <v>22</v>
      </c>
      <c r="B117" s="2" t="s">
        <v>7</v>
      </c>
    </row>
    <row r="118" spans="1:2">
      <c r="A118" s="1">
        <v>23</v>
      </c>
      <c r="B118" s="2" t="s">
        <v>6</v>
      </c>
    </row>
    <row r="119" spans="1:2">
      <c r="A119" s="1">
        <v>24</v>
      </c>
      <c r="B119" s="2" t="s">
        <v>77</v>
      </c>
    </row>
    <row r="120" spans="1:2">
      <c r="A120" s="1">
        <v>25</v>
      </c>
      <c r="B120" s="2" t="s">
        <v>77</v>
      </c>
    </row>
    <row r="121" spans="1:2">
      <c r="A121" s="1">
        <v>26</v>
      </c>
      <c r="B121" s="2" t="s">
        <v>77</v>
      </c>
    </row>
    <row r="122" spans="1:2">
      <c r="A122" s="1">
        <v>27</v>
      </c>
      <c r="B122" s="2" t="s">
        <v>77</v>
      </c>
    </row>
    <row r="123" spans="1:2">
      <c r="A123" s="1">
        <v>28</v>
      </c>
      <c r="B123" s="2" t="s">
        <v>77</v>
      </c>
    </row>
    <row r="124" spans="1:2">
      <c r="A124" s="1">
        <v>29</v>
      </c>
      <c r="B124" s="2" t="s">
        <v>77</v>
      </c>
    </row>
    <row r="125" spans="1:2">
      <c r="A125" s="1">
        <v>30</v>
      </c>
      <c r="B125" s="2" t="s">
        <v>6</v>
      </c>
    </row>
    <row r="126" spans="1:2">
      <c r="A126" s="1">
        <v>31</v>
      </c>
      <c r="B126" s="2" t="s">
        <v>8</v>
      </c>
    </row>
    <row r="127" spans="1:2">
      <c r="A127" s="1">
        <v>32</v>
      </c>
      <c r="B127" s="2" t="s">
        <v>8</v>
      </c>
    </row>
    <row r="128" spans="1:2">
      <c r="A128" s="1">
        <v>33</v>
      </c>
      <c r="B128" s="2" t="s">
        <v>8</v>
      </c>
    </row>
    <row r="129" spans="1:2">
      <c r="A129" s="1">
        <v>34</v>
      </c>
      <c r="B129" s="2" t="s">
        <v>8</v>
      </c>
    </row>
    <row r="130" spans="1:2">
      <c r="A130" s="1">
        <v>35</v>
      </c>
      <c r="B130" s="2" t="s">
        <v>8</v>
      </c>
    </row>
    <row r="131" spans="1:2">
      <c r="A131" s="1">
        <v>36</v>
      </c>
      <c r="B131" s="2" t="s">
        <v>9</v>
      </c>
    </row>
    <row r="132" spans="1:2">
      <c r="A132" s="1">
        <v>37</v>
      </c>
      <c r="B132" s="2" t="s">
        <v>77</v>
      </c>
    </row>
    <row r="133" spans="1:2">
      <c r="A133" s="1">
        <v>38</v>
      </c>
      <c r="B133" s="2" t="s">
        <v>77</v>
      </c>
    </row>
    <row r="134" spans="1:2">
      <c r="A134" s="1">
        <v>39</v>
      </c>
      <c r="B134" s="2" t="s">
        <v>77</v>
      </c>
    </row>
    <row r="135" spans="1:2">
      <c r="A135" s="1" t="s">
        <v>10</v>
      </c>
      <c r="B135" s="2" t="s">
        <v>5</v>
      </c>
    </row>
    <row r="136" spans="1:2">
      <c r="A136" s="1" t="s">
        <v>11</v>
      </c>
      <c r="B136" s="2" t="s">
        <v>4</v>
      </c>
    </row>
    <row r="137" spans="1:2">
      <c r="A137" s="1" t="s">
        <v>12</v>
      </c>
      <c r="B137" s="2" t="s">
        <v>5</v>
      </c>
    </row>
    <row r="138" spans="1:2">
      <c r="A138" s="1" t="s">
        <v>13</v>
      </c>
      <c r="B138" s="2" t="s">
        <v>4</v>
      </c>
    </row>
    <row r="139" spans="1:2">
      <c r="A139" s="1" t="s">
        <v>14</v>
      </c>
      <c r="B139" s="2" t="s">
        <v>5</v>
      </c>
    </row>
    <row r="140" spans="1:2">
      <c r="A140" s="1" t="s">
        <v>15</v>
      </c>
      <c r="B140" s="2" t="s">
        <v>4</v>
      </c>
    </row>
    <row r="141" spans="1:2">
      <c r="A141" s="1" t="s">
        <v>16</v>
      </c>
      <c r="B141" s="2" t="s">
        <v>5</v>
      </c>
    </row>
    <row r="142" spans="1:2">
      <c r="A142" s="1" t="s">
        <v>17</v>
      </c>
      <c r="B142" s="2" t="s">
        <v>4</v>
      </c>
    </row>
    <row r="143" spans="1:2">
      <c r="A143" s="1" t="s">
        <v>18</v>
      </c>
      <c r="B143" s="2" t="s">
        <v>5</v>
      </c>
    </row>
    <row r="144" spans="1:2">
      <c r="A144" s="1" t="s">
        <v>19</v>
      </c>
      <c r="B144" s="2" t="s">
        <v>4</v>
      </c>
    </row>
    <row r="145" spans="1:2">
      <c r="A145" s="1" t="s">
        <v>20</v>
      </c>
      <c r="B145" s="2" t="s">
        <v>5</v>
      </c>
    </row>
    <row r="146" spans="1:2">
      <c r="A146" s="1" t="s">
        <v>21</v>
      </c>
      <c r="B146" s="2" t="s">
        <v>4</v>
      </c>
    </row>
    <row r="147" spans="1:2">
      <c r="A147" s="1" t="s">
        <v>22</v>
      </c>
      <c r="B147" s="2" t="s">
        <v>5</v>
      </c>
    </row>
    <row r="148" spans="1:2">
      <c r="A148" s="1" t="s">
        <v>23</v>
      </c>
      <c r="B148" s="2" t="s">
        <v>4</v>
      </c>
    </row>
    <row r="149" spans="1:2">
      <c r="A149" s="1" t="s">
        <v>24</v>
      </c>
      <c r="B149" s="2" t="s">
        <v>5</v>
      </c>
    </row>
    <row r="150" spans="1:2">
      <c r="A150" s="1" t="s">
        <v>25</v>
      </c>
      <c r="B150" s="2" t="s">
        <v>4</v>
      </c>
    </row>
    <row r="151" spans="1:2">
      <c r="A151" s="1">
        <v>48</v>
      </c>
      <c r="B151" s="2" t="s">
        <v>77</v>
      </c>
    </row>
    <row r="152" spans="1:2">
      <c r="A152" s="1">
        <v>49</v>
      </c>
      <c r="B152" s="2" t="s">
        <v>77</v>
      </c>
    </row>
    <row r="153" spans="1:2">
      <c r="A153" s="1">
        <v>50</v>
      </c>
      <c r="B153" s="2" t="s">
        <v>4</v>
      </c>
    </row>
    <row r="154" spans="1:2">
      <c r="A154" s="1">
        <v>51</v>
      </c>
      <c r="B154" s="2" t="s">
        <v>5</v>
      </c>
    </row>
    <row r="155" spans="1:2">
      <c r="A155" s="1">
        <v>52</v>
      </c>
      <c r="B155" s="2" t="s">
        <v>4</v>
      </c>
    </row>
    <row r="156" spans="1:2">
      <c r="A156" s="1">
        <v>53</v>
      </c>
      <c r="B156" s="2" t="s">
        <v>4</v>
      </c>
    </row>
    <row r="157" spans="1:2">
      <c r="A157" s="1" t="s">
        <v>26</v>
      </c>
      <c r="B157" s="2" t="s">
        <v>5</v>
      </c>
    </row>
    <row r="158" spans="1:2">
      <c r="A158" s="1" t="s">
        <v>27</v>
      </c>
      <c r="B158" s="2" t="s">
        <v>4</v>
      </c>
    </row>
    <row r="159" spans="1:2">
      <c r="A159" s="1">
        <v>55</v>
      </c>
      <c r="B159" s="2" t="s">
        <v>4</v>
      </c>
    </row>
    <row r="160" spans="1:2">
      <c r="A160" s="1">
        <v>56</v>
      </c>
      <c r="B160" s="2" t="s">
        <v>4</v>
      </c>
    </row>
    <row r="161" spans="1:2">
      <c r="A161" s="1">
        <v>57</v>
      </c>
      <c r="B161" s="2" t="s">
        <v>6</v>
      </c>
    </row>
    <row r="162" spans="1:2">
      <c r="A162" s="1">
        <v>58</v>
      </c>
      <c r="B162" s="2" t="s">
        <v>6</v>
      </c>
    </row>
    <row r="163" spans="1:2">
      <c r="A163" s="1">
        <v>59</v>
      </c>
      <c r="B163" s="2" t="s">
        <v>4</v>
      </c>
    </row>
    <row r="164" spans="1:2">
      <c r="A164" s="1">
        <v>60</v>
      </c>
      <c r="B164" s="2" t="s">
        <v>5</v>
      </c>
    </row>
    <row r="165" spans="1:2">
      <c r="A165" s="1">
        <v>61</v>
      </c>
      <c r="B165" s="2" t="s">
        <v>77</v>
      </c>
    </row>
    <row r="166" spans="1:2">
      <c r="A166" s="1">
        <v>62</v>
      </c>
      <c r="B166" s="2" t="s">
        <v>77</v>
      </c>
    </row>
    <row r="167" spans="1:2">
      <c r="A167" s="1">
        <v>63</v>
      </c>
      <c r="B167" s="2" t="s">
        <v>77</v>
      </c>
    </row>
    <row r="168" spans="1:2">
      <c r="A168" s="1">
        <v>64</v>
      </c>
      <c r="B168" s="2" t="s">
        <v>77</v>
      </c>
    </row>
    <row r="169" spans="1:2">
      <c r="A169" s="1">
        <v>65</v>
      </c>
      <c r="B169" s="2" t="s">
        <v>77</v>
      </c>
    </row>
    <row r="170" spans="1:2">
      <c r="A170" s="1">
        <v>66</v>
      </c>
      <c r="B170" s="2" t="s">
        <v>77</v>
      </c>
    </row>
    <row r="171" spans="1:2">
      <c r="A171" s="1">
        <v>67</v>
      </c>
      <c r="B171" s="2" t="s">
        <v>77</v>
      </c>
    </row>
    <row r="172" spans="1:2">
      <c r="A172" s="1">
        <v>68</v>
      </c>
      <c r="B172" s="2" t="s">
        <v>77</v>
      </c>
    </row>
    <row r="173" spans="1:2">
      <c r="A173" s="1">
        <v>69</v>
      </c>
      <c r="B173" s="2" t="s">
        <v>77</v>
      </c>
    </row>
    <row r="174" spans="1:2">
      <c r="A174" s="1">
        <v>70</v>
      </c>
      <c r="B174" s="2" t="s">
        <v>28</v>
      </c>
    </row>
    <row r="175" spans="1:2">
      <c r="A175" s="1">
        <v>71</v>
      </c>
      <c r="B175" s="2" t="s">
        <v>28</v>
      </c>
    </row>
    <row r="176" spans="1:2">
      <c r="A176" s="1">
        <v>72</v>
      </c>
      <c r="B176" s="2" t="s">
        <v>29</v>
      </c>
    </row>
    <row r="177" spans="1:2" ht="15" thickBot="1">
      <c r="A177" s="3">
        <v>73</v>
      </c>
      <c r="B177" s="4" t="s">
        <v>29</v>
      </c>
    </row>
  </sheetData>
  <mergeCells count="6">
    <mergeCell ref="L68:O68"/>
    <mergeCell ref="L69:O69"/>
    <mergeCell ref="AF68:AI68"/>
    <mergeCell ref="AF69:AI69"/>
    <mergeCell ref="L40:O40"/>
    <mergeCell ref="L41:O4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5F4C5-F357-4F75-B2A7-31FB1ADC8AEA}">
  <dimension ref="A1:AM39"/>
  <sheetViews>
    <sheetView zoomScale="70" zoomScaleNormal="70" workbookViewId="0">
      <selection activeCell="C47" sqref="C47"/>
    </sheetView>
  </sheetViews>
  <sheetFormatPr defaultRowHeight="14.4"/>
  <sheetData>
    <row r="1" spans="1:39">
      <c r="A1" s="14" t="s">
        <v>128</v>
      </c>
      <c r="B1" s="27"/>
      <c r="C1" s="209" t="s">
        <v>129</v>
      </c>
      <c r="D1" s="209"/>
      <c r="E1" s="209"/>
      <c r="F1" s="27"/>
      <c r="G1" s="27"/>
      <c r="H1" s="79"/>
      <c r="I1" s="79"/>
      <c r="K1" s="14" t="s">
        <v>133</v>
      </c>
      <c r="L1" s="27"/>
      <c r="M1" s="209" t="s">
        <v>132</v>
      </c>
      <c r="N1" s="209"/>
      <c r="O1" s="209"/>
      <c r="P1" s="27"/>
      <c r="Q1" s="27"/>
      <c r="R1" s="79"/>
      <c r="S1" s="79"/>
      <c r="U1" s="14" t="s">
        <v>134</v>
      </c>
      <c r="V1" s="27"/>
      <c r="W1" s="209" t="s">
        <v>136</v>
      </c>
      <c r="X1" s="209"/>
      <c r="Y1" s="209"/>
      <c r="Z1" s="27"/>
      <c r="AA1" s="27"/>
      <c r="AB1" s="79"/>
      <c r="AC1" s="79"/>
      <c r="AE1" s="14" t="s">
        <v>135</v>
      </c>
      <c r="AF1" s="27"/>
      <c r="AG1" s="209" t="s">
        <v>137</v>
      </c>
      <c r="AH1" s="209"/>
      <c r="AI1" s="209"/>
      <c r="AJ1" s="27"/>
      <c r="AK1" s="27"/>
      <c r="AL1" s="79"/>
      <c r="AM1" s="79"/>
    </row>
    <row r="2" spans="1:39" ht="15" thickBot="1">
      <c r="A2" s="3"/>
      <c r="B2" s="32"/>
      <c r="C2" s="210"/>
      <c r="D2" s="210"/>
      <c r="E2" s="210"/>
      <c r="F2" s="32"/>
      <c r="G2" s="32"/>
      <c r="H2" s="4"/>
      <c r="I2" s="2"/>
      <c r="K2" s="3"/>
      <c r="L2" s="32"/>
      <c r="M2" s="210"/>
      <c r="N2" s="210"/>
      <c r="O2" s="210"/>
      <c r="P2" s="32"/>
      <c r="Q2" s="32"/>
      <c r="R2" s="4"/>
      <c r="S2" s="2"/>
      <c r="U2" s="3"/>
      <c r="V2" s="32"/>
      <c r="W2" s="210"/>
      <c r="X2" s="210"/>
      <c r="Y2" s="210"/>
      <c r="Z2" s="32"/>
      <c r="AA2" s="32"/>
      <c r="AB2" s="4"/>
      <c r="AC2" s="2"/>
      <c r="AE2" s="3"/>
      <c r="AF2" s="32"/>
      <c r="AG2" s="210"/>
      <c r="AH2" s="210"/>
      <c r="AI2" s="210"/>
      <c r="AJ2" s="32"/>
      <c r="AK2" s="32"/>
      <c r="AL2" s="4"/>
      <c r="AM2" s="2"/>
    </row>
    <row r="3" spans="1:39" ht="15" thickBot="1">
      <c r="A3" s="102" t="s">
        <v>131</v>
      </c>
      <c r="B3" s="25" t="s">
        <v>2</v>
      </c>
      <c r="C3" s="25" t="s">
        <v>3</v>
      </c>
      <c r="D3" s="25" t="s">
        <v>4</v>
      </c>
      <c r="E3" s="25" t="s">
        <v>5</v>
      </c>
      <c r="F3" s="25" t="s">
        <v>6</v>
      </c>
      <c r="G3" s="25" t="s">
        <v>28</v>
      </c>
      <c r="H3" s="2" t="s">
        <v>29</v>
      </c>
      <c r="I3" s="90" t="s">
        <v>131</v>
      </c>
      <c r="K3" s="102" t="s">
        <v>131</v>
      </c>
      <c r="L3" s="25" t="s">
        <v>2</v>
      </c>
      <c r="M3" s="25" t="s">
        <v>3</v>
      </c>
      <c r="N3" s="25" t="s">
        <v>4</v>
      </c>
      <c r="O3" s="25" t="s">
        <v>5</v>
      </c>
      <c r="P3" s="25" t="s">
        <v>6</v>
      </c>
      <c r="Q3" s="25" t="s">
        <v>28</v>
      </c>
      <c r="R3" s="2" t="s">
        <v>29</v>
      </c>
      <c r="S3" s="90" t="s">
        <v>131</v>
      </c>
      <c r="U3" s="102" t="s">
        <v>131</v>
      </c>
      <c r="V3" s="25" t="s">
        <v>2</v>
      </c>
      <c r="W3" s="25" t="s">
        <v>3</v>
      </c>
      <c r="X3" s="25" t="s">
        <v>4</v>
      </c>
      <c r="Y3" s="25" t="s">
        <v>5</v>
      </c>
      <c r="Z3" s="25" t="s">
        <v>6</v>
      </c>
      <c r="AA3" s="25" t="s">
        <v>28</v>
      </c>
      <c r="AB3" s="2" t="s">
        <v>29</v>
      </c>
      <c r="AC3" s="90" t="s">
        <v>131</v>
      </c>
      <c r="AE3" s="102" t="s">
        <v>131</v>
      </c>
      <c r="AF3" s="25" t="s">
        <v>2</v>
      </c>
      <c r="AG3" s="25" t="s">
        <v>3</v>
      </c>
      <c r="AH3" s="25" t="s">
        <v>4</v>
      </c>
      <c r="AI3" s="25" t="s">
        <v>5</v>
      </c>
      <c r="AJ3" s="25" t="s">
        <v>6</v>
      </c>
      <c r="AK3" s="25" t="s">
        <v>28</v>
      </c>
      <c r="AL3" s="2" t="s">
        <v>29</v>
      </c>
      <c r="AM3" s="90" t="s">
        <v>131</v>
      </c>
    </row>
    <row r="4" spans="1:39">
      <c r="A4" s="91">
        <v>1.5</v>
      </c>
      <c r="B4" s="97">
        <v>14.5</v>
      </c>
      <c r="C4" s="84">
        <v>14</v>
      </c>
      <c r="D4" s="83">
        <v>17.5</v>
      </c>
      <c r="E4" s="83">
        <v>16.5</v>
      </c>
      <c r="F4" s="83">
        <v>19.5</v>
      </c>
      <c r="G4" s="84">
        <v>22</v>
      </c>
      <c r="H4" s="85">
        <v>22</v>
      </c>
      <c r="I4" s="91">
        <v>1.5</v>
      </c>
      <c r="K4" s="91">
        <v>1.5</v>
      </c>
      <c r="L4" s="99">
        <v>19</v>
      </c>
      <c r="M4" s="18">
        <v>18.5</v>
      </c>
      <c r="N4" s="17">
        <v>23</v>
      </c>
      <c r="O4" s="17">
        <v>22</v>
      </c>
      <c r="P4" s="17">
        <v>24</v>
      </c>
      <c r="Q4" s="17">
        <v>25</v>
      </c>
      <c r="R4" s="17">
        <v>27</v>
      </c>
      <c r="S4" s="91">
        <v>1.5</v>
      </c>
      <c r="U4" s="91">
        <v>1.5</v>
      </c>
      <c r="V4" s="98">
        <v>13.5</v>
      </c>
      <c r="W4" s="17">
        <v>13</v>
      </c>
      <c r="X4" s="18">
        <v>15.5</v>
      </c>
      <c r="Y4" s="17">
        <v>15</v>
      </c>
      <c r="Z4" s="18">
        <v>17.5</v>
      </c>
      <c r="AA4" s="17">
        <v>18</v>
      </c>
      <c r="AB4" s="17">
        <v>19</v>
      </c>
      <c r="AC4" s="91">
        <v>1.5</v>
      </c>
      <c r="AE4" s="91">
        <v>1.5</v>
      </c>
      <c r="AF4" s="99">
        <v>17</v>
      </c>
      <c r="AG4" s="18">
        <v>16.5</v>
      </c>
      <c r="AH4" s="17">
        <v>20</v>
      </c>
      <c r="AI4" s="18">
        <v>19.5</v>
      </c>
      <c r="AJ4" s="17">
        <v>22</v>
      </c>
      <c r="AK4" s="17">
        <v>21</v>
      </c>
      <c r="AL4" s="17">
        <v>23</v>
      </c>
      <c r="AM4" s="91">
        <v>1.5</v>
      </c>
    </row>
    <row r="5" spans="1:39">
      <c r="A5" s="92">
        <v>2.5</v>
      </c>
      <c r="B5" s="98">
        <v>19.5</v>
      </c>
      <c r="C5" s="18">
        <v>18.5</v>
      </c>
      <c r="D5" s="17">
        <v>24</v>
      </c>
      <c r="E5" s="17">
        <v>23</v>
      </c>
      <c r="F5" s="17">
        <v>27</v>
      </c>
      <c r="G5" s="17">
        <v>29</v>
      </c>
      <c r="H5" s="80">
        <v>28</v>
      </c>
      <c r="I5" s="92">
        <v>2.5</v>
      </c>
      <c r="K5" s="92">
        <v>2.5</v>
      </c>
      <c r="L5" s="99">
        <v>26</v>
      </c>
      <c r="M5" s="17">
        <v>25</v>
      </c>
      <c r="N5" s="17">
        <v>31</v>
      </c>
      <c r="O5" s="17">
        <v>30</v>
      </c>
      <c r="P5" s="17">
        <v>33</v>
      </c>
      <c r="Q5" s="17">
        <v>33</v>
      </c>
      <c r="R5" s="17">
        <v>35</v>
      </c>
      <c r="S5" s="92">
        <v>2.5</v>
      </c>
      <c r="U5" s="92">
        <v>2.5</v>
      </c>
      <c r="V5" s="99">
        <v>18</v>
      </c>
      <c r="W5" s="18">
        <v>17.5</v>
      </c>
      <c r="X5" s="17">
        <v>21</v>
      </c>
      <c r="Y5" s="17">
        <v>20</v>
      </c>
      <c r="Z5" s="17">
        <v>24</v>
      </c>
      <c r="AA5" s="17">
        <v>24</v>
      </c>
      <c r="AB5" s="17">
        <v>24</v>
      </c>
      <c r="AC5" s="92">
        <v>2.5</v>
      </c>
      <c r="AE5" s="92">
        <v>2.5</v>
      </c>
      <c r="AF5" s="99">
        <v>23</v>
      </c>
      <c r="AG5" s="17">
        <v>22</v>
      </c>
      <c r="AH5" s="17">
        <v>28</v>
      </c>
      <c r="AI5" s="17">
        <v>26</v>
      </c>
      <c r="AJ5" s="17">
        <v>30</v>
      </c>
      <c r="AK5" s="17">
        <v>28</v>
      </c>
      <c r="AL5" s="17">
        <v>30</v>
      </c>
      <c r="AM5" s="92">
        <v>2.5</v>
      </c>
    </row>
    <row r="6" spans="1:39">
      <c r="A6" s="93">
        <v>4</v>
      </c>
      <c r="B6" s="99">
        <v>26</v>
      </c>
      <c r="C6" s="17">
        <v>25</v>
      </c>
      <c r="D6" s="17">
        <v>32</v>
      </c>
      <c r="E6" s="17">
        <v>30</v>
      </c>
      <c r="F6" s="17">
        <v>36</v>
      </c>
      <c r="G6" s="17">
        <v>37</v>
      </c>
      <c r="H6" s="80">
        <v>38</v>
      </c>
      <c r="I6" s="93">
        <v>4</v>
      </c>
      <c r="K6" s="93">
        <v>4</v>
      </c>
      <c r="L6" s="99">
        <v>35</v>
      </c>
      <c r="M6" s="17">
        <v>33</v>
      </c>
      <c r="N6" s="17">
        <v>42</v>
      </c>
      <c r="O6" s="17">
        <v>40</v>
      </c>
      <c r="P6" s="17">
        <v>45</v>
      </c>
      <c r="Q6" s="17">
        <v>43</v>
      </c>
      <c r="R6" s="17">
        <v>46</v>
      </c>
      <c r="S6" s="93">
        <v>4</v>
      </c>
      <c r="U6" s="93">
        <v>4</v>
      </c>
      <c r="V6" s="99">
        <v>24</v>
      </c>
      <c r="W6" s="17">
        <v>23</v>
      </c>
      <c r="X6" s="17">
        <v>28</v>
      </c>
      <c r="Y6" s="17">
        <v>27</v>
      </c>
      <c r="Z6" s="17">
        <v>32</v>
      </c>
      <c r="AA6" s="17">
        <v>30</v>
      </c>
      <c r="AB6" s="17">
        <v>33</v>
      </c>
      <c r="AC6" s="93">
        <v>4</v>
      </c>
      <c r="AE6" s="93">
        <v>4</v>
      </c>
      <c r="AF6" s="99">
        <v>31</v>
      </c>
      <c r="AG6" s="17">
        <v>30</v>
      </c>
      <c r="AH6" s="17">
        <v>37</v>
      </c>
      <c r="AI6" s="17">
        <v>35</v>
      </c>
      <c r="AJ6" s="17">
        <v>40</v>
      </c>
      <c r="AK6" s="17">
        <v>36</v>
      </c>
      <c r="AL6" s="17">
        <v>39</v>
      </c>
      <c r="AM6" s="93">
        <v>4</v>
      </c>
    </row>
    <row r="7" spans="1:39">
      <c r="A7" s="93">
        <v>6</v>
      </c>
      <c r="B7" s="99">
        <v>34</v>
      </c>
      <c r="C7" s="17">
        <v>32</v>
      </c>
      <c r="D7" s="17">
        <v>41</v>
      </c>
      <c r="E7" s="17">
        <v>38</v>
      </c>
      <c r="F7" s="17">
        <v>46</v>
      </c>
      <c r="G7" s="17">
        <v>46</v>
      </c>
      <c r="H7" s="80">
        <v>48</v>
      </c>
      <c r="I7" s="93">
        <v>6</v>
      </c>
      <c r="K7" s="93">
        <v>6</v>
      </c>
      <c r="L7" s="99">
        <v>45</v>
      </c>
      <c r="M7" s="17">
        <v>42</v>
      </c>
      <c r="N7" s="17">
        <v>54</v>
      </c>
      <c r="O7" s="17">
        <v>51</v>
      </c>
      <c r="P7" s="17">
        <v>58</v>
      </c>
      <c r="Q7" s="17">
        <v>53</v>
      </c>
      <c r="R7" s="17">
        <v>58</v>
      </c>
      <c r="S7" s="93">
        <v>6</v>
      </c>
      <c r="U7" s="93">
        <v>6</v>
      </c>
      <c r="V7" s="99">
        <v>31</v>
      </c>
      <c r="W7" s="17">
        <v>29</v>
      </c>
      <c r="X7" s="17">
        <v>36</v>
      </c>
      <c r="Y7" s="17">
        <v>34</v>
      </c>
      <c r="Z7" s="17">
        <v>41</v>
      </c>
      <c r="AA7" s="17">
        <v>38</v>
      </c>
      <c r="AB7" s="17">
        <v>41</v>
      </c>
      <c r="AC7" s="93">
        <v>6</v>
      </c>
      <c r="AE7" s="93">
        <v>6</v>
      </c>
      <c r="AF7" s="99">
        <v>40</v>
      </c>
      <c r="AG7" s="17">
        <v>38</v>
      </c>
      <c r="AH7" s="17">
        <v>48</v>
      </c>
      <c r="AI7" s="17">
        <v>44</v>
      </c>
      <c r="AJ7" s="17">
        <v>52</v>
      </c>
      <c r="AK7" s="17">
        <v>44</v>
      </c>
      <c r="AL7" s="17">
        <v>49</v>
      </c>
      <c r="AM7" s="93">
        <v>6</v>
      </c>
    </row>
    <row r="8" spans="1:39">
      <c r="A8" s="93">
        <v>10</v>
      </c>
      <c r="B8" s="99">
        <v>46</v>
      </c>
      <c r="C8" s="17">
        <v>43</v>
      </c>
      <c r="D8" s="17">
        <v>57</v>
      </c>
      <c r="E8" s="17">
        <v>52</v>
      </c>
      <c r="F8" s="17">
        <v>63</v>
      </c>
      <c r="G8" s="17">
        <v>60</v>
      </c>
      <c r="H8" s="80">
        <v>64</v>
      </c>
      <c r="I8" s="93">
        <v>10</v>
      </c>
      <c r="K8" s="93">
        <v>10</v>
      </c>
      <c r="L8" s="99">
        <v>61</v>
      </c>
      <c r="M8" s="17">
        <v>57</v>
      </c>
      <c r="N8" s="17">
        <v>75</v>
      </c>
      <c r="O8" s="17">
        <v>69</v>
      </c>
      <c r="P8" s="17">
        <v>80</v>
      </c>
      <c r="Q8" s="17">
        <v>71</v>
      </c>
      <c r="R8" s="17">
        <v>77</v>
      </c>
      <c r="S8" s="93">
        <v>10</v>
      </c>
      <c r="U8" s="93">
        <v>10</v>
      </c>
      <c r="V8" s="99">
        <v>42</v>
      </c>
      <c r="W8" s="17">
        <v>39</v>
      </c>
      <c r="X8" s="17">
        <v>50</v>
      </c>
      <c r="Y8" s="17">
        <v>46</v>
      </c>
      <c r="Z8" s="17">
        <v>57</v>
      </c>
      <c r="AA8" s="17">
        <v>50</v>
      </c>
      <c r="AB8" s="17">
        <v>54</v>
      </c>
      <c r="AC8" s="93">
        <v>10</v>
      </c>
      <c r="AE8" s="93">
        <v>10</v>
      </c>
      <c r="AF8" s="99">
        <v>54</v>
      </c>
      <c r="AG8" s="17">
        <v>51</v>
      </c>
      <c r="AH8" s="17">
        <v>66</v>
      </c>
      <c r="AI8" s="17">
        <v>60</v>
      </c>
      <c r="AJ8" s="17">
        <v>71</v>
      </c>
      <c r="AK8" s="17">
        <v>58</v>
      </c>
      <c r="AL8" s="17">
        <v>65</v>
      </c>
      <c r="AM8" s="93">
        <v>10</v>
      </c>
    </row>
    <row r="9" spans="1:39">
      <c r="A9" s="93">
        <v>16</v>
      </c>
      <c r="B9" s="99">
        <v>61</v>
      </c>
      <c r="C9" s="17">
        <v>57</v>
      </c>
      <c r="D9" s="17">
        <v>76</v>
      </c>
      <c r="E9" s="17">
        <v>69</v>
      </c>
      <c r="F9" s="17">
        <v>85</v>
      </c>
      <c r="G9" s="17">
        <v>78</v>
      </c>
      <c r="H9" s="80">
        <v>83</v>
      </c>
      <c r="I9" s="93">
        <v>16</v>
      </c>
      <c r="K9" s="93">
        <v>16</v>
      </c>
      <c r="L9" s="99">
        <v>81</v>
      </c>
      <c r="M9" s="17">
        <v>76</v>
      </c>
      <c r="N9" s="17">
        <v>100</v>
      </c>
      <c r="O9" s="17">
        <v>91</v>
      </c>
      <c r="P9" s="17">
        <v>107</v>
      </c>
      <c r="Q9" s="17">
        <v>91</v>
      </c>
      <c r="R9" s="17">
        <v>100</v>
      </c>
      <c r="S9" s="93">
        <v>16</v>
      </c>
      <c r="U9" s="93">
        <v>16</v>
      </c>
      <c r="V9" s="99">
        <v>56</v>
      </c>
      <c r="W9" s="17">
        <v>52</v>
      </c>
      <c r="X9" s="17">
        <v>68</v>
      </c>
      <c r="Y9" s="17">
        <v>62</v>
      </c>
      <c r="Z9" s="17">
        <v>76</v>
      </c>
      <c r="AA9" s="17">
        <v>64</v>
      </c>
      <c r="AB9" s="17">
        <v>70</v>
      </c>
      <c r="AC9" s="93">
        <v>16</v>
      </c>
      <c r="AE9" s="93">
        <v>16</v>
      </c>
      <c r="AF9" s="99">
        <v>73</v>
      </c>
      <c r="AG9" s="17">
        <v>68</v>
      </c>
      <c r="AH9" s="17">
        <v>88</v>
      </c>
      <c r="AI9" s="17">
        <v>80</v>
      </c>
      <c r="AJ9" s="17">
        <v>96</v>
      </c>
      <c r="AK9" s="17">
        <v>75</v>
      </c>
      <c r="AL9" s="17">
        <v>84</v>
      </c>
      <c r="AM9" s="93">
        <v>16</v>
      </c>
    </row>
    <row r="10" spans="1:39">
      <c r="A10" s="93">
        <v>25</v>
      </c>
      <c r="B10" s="99">
        <v>80</v>
      </c>
      <c r="C10" s="17">
        <v>75</v>
      </c>
      <c r="D10" s="17">
        <v>101</v>
      </c>
      <c r="E10" s="17">
        <v>90</v>
      </c>
      <c r="F10" s="17">
        <v>112</v>
      </c>
      <c r="G10" s="17">
        <v>99</v>
      </c>
      <c r="H10" s="80">
        <v>110</v>
      </c>
      <c r="I10" s="93">
        <v>25</v>
      </c>
      <c r="K10" s="93">
        <v>25</v>
      </c>
      <c r="L10" s="99">
        <v>106</v>
      </c>
      <c r="M10" s="17">
        <v>99</v>
      </c>
      <c r="N10" s="17">
        <v>133</v>
      </c>
      <c r="O10" s="17">
        <v>119</v>
      </c>
      <c r="P10" s="17">
        <v>138</v>
      </c>
      <c r="Q10" s="17">
        <v>116</v>
      </c>
      <c r="R10" s="17">
        <v>129</v>
      </c>
      <c r="S10" s="93">
        <v>25</v>
      </c>
      <c r="U10" s="93">
        <v>25</v>
      </c>
      <c r="V10" s="99">
        <v>73</v>
      </c>
      <c r="W10" s="17">
        <v>68</v>
      </c>
      <c r="X10" s="17">
        <v>89</v>
      </c>
      <c r="Y10" s="17">
        <v>80</v>
      </c>
      <c r="Z10" s="17">
        <v>96</v>
      </c>
      <c r="AA10" s="17">
        <v>82</v>
      </c>
      <c r="AB10" s="17">
        <v>92</v>
      </c>
      <c r="AC10" s="93">
        <v>25</v>
      </c>
      <c r="AE10" s="93">
        <v>25</v>
      </c>
      <c r="AF10" s="99">
        <v>95</v>
      </c>
      <c r="AG10" s="17">
        <v>89</v>
      </c>
      <c r="AH10" s="17">
        <v>117</v>
      </c>
      <c r="AI10" s="17">
        <v>105</v>
      </c>
      <c r="AJ10" s="17">
        <v>119</v>
      </c>
      <c r="AK10" s="17">
        <v>96</v>
      </c>
      <c r="AL10" s="17">
        <v>107</v>
      </c>
      <c r="AM10" s="93">
        <v>25</v>
      </c>
    </row>
    <row r="11" spans="1:39">
      <c r="A11" s="93">
        <v>35</v>
      </c>
      <c r="B11" s="99">
        <v>99</v>
      </c>
      <c r="C11" s="17">
        <v>92</v>
      </c>
      <c r="D11" s="17">
        <v>125</v>
      </c>
      <c r="E11" s="17">
        <v>111</v>
      </c>
      <c r="F11" s="17">
        <v>138</v>
      </c>
      <c r="G11" s="17">
        <v>119</v>
      </c>
      <c r="H11" s="80">
        <v>132</v>
      </c>
      <c r="I11" s="93">
        <v>35</v>
      </c>
      <c r="K11" s="93">
        <v>35</v>
      </c>
      <c r="L11" s="99">
        <v>131</v>
      </c>
      <c r="M11" s="17">
        <v>121</v>
      </c>
      <c r="N11" s="17">
        <v>164</v>
      </c>
      <c r="O11" s="17">
        <v>146</v>
      </c>
      <c r="P11" s="17">
        <v>171</v>
      </c>
      <c r="Q11" s="17">
        <v>139</v>
      </c>
      <c r="R11" s="17">
        <v>155</v>
      </c>
      <c r="S11" s="93">
        <v>35</v>
      </c>
      <c r="U11" s="93">
        <v>35</v>
      </c>
      <c r="V11" s="99">
        <v>89</v>
      </c>
      <c r="W11" s="17">
        <v>83</v>
      </c>
      <c r="X11" s="17">
        <v>110</v>
      </c>
      <c r="Y11" s="17">
        <v>99</v>
      </c>
      <c r="Z11" s="17">
        <v>119</v>
      </c>
      <c r="AA11" s="17">
        <v>98</v>
      </c>
      <c r="AB11" s="17">
        <v>110</v>
      </c>
      <c r="AC11" s="93">
        <v>35</v>
      </c>
      <c r="AE11" s="93">
        <v>35</v>
      </c>
      <c r="AF11" s="99">
        <v>117</v>
      </c>
      <c r="AG11" s="17">
        <v>109</v>
      </c>
      <c r="AH11" s="17">
        <v>144</v>
      </c>
      <c r="AI11" s="17">
        <v>128</v>
      </c>
      <c r="AJ11" s="17">
        <v>147</v>
      </c>
      <c r="AK11" s="17">
        <v>115</v>
      </c>
      <c r="AL11" s="17">
        <v>129</v>
      </c>
      <c r="AM11" s="93">
        <v>35</v>
      </c>
    </row>
    <row r="12" spans="1:39">
      <c r="A12" s="93">
        <v>50</v>
      </c>
      <c r="B12" s="99">
        <v>119</v>
      </c>
      <c r="C12" s="17">
        <v>110</v>
      </c>
      <c r="D12" s="17">
        <v>151</v>
      </c>
      <c r="E12" s="17">
        <v>133</v>
      </c>
      <c r="F12" s="17">
        <v>168</v>
      </c>
      <c r="G12" s="17">
        <v>140</v>
      </c>
      <c r="H12" s="80">
        <v>156</v>
      </c>
      <c r="I12" s="93">
        <v>50</v>
      </c>
      <c r="K12" s="93">
        <v>50</v>
      </c>
      <c r="L12" s="99">
        <v>158</v>
      </c>
      <c r="M12" s="17">
        <v>145</v>
      </c>
      <c r="N12" s="17">
        <v>198</v>
      </c>
      <c r="O12" s="17">
        <v>175</v>
      </c>
      <c r="P12" s="17">
        <v>209</v>
      </c>
      <c r="Q12" s="17">
        <v>164</v>
      </c>
      <c r="R12" s="17">
        <v>183</v>
      </c>
      <c r="S12" s="93">
        <v>50</v>
      </c>
      <c r="U12" s="93">
        <v>50</v>
      </c>
      <c r="V12" s="99">
        <v>108</v>
      </c>
      <c r="W12" s="17">
        <v>99</v>
      </c>
      <c r="X12" s="17">
        <v>134</v>
      </c>
      <c r="Y12" s="17">
        <v>118</v>
      </c>
      <c r="Z12" s="17">
        <v>144</v>
      </c>
      <c r="AA12" s="17">
        <v>116</v>
      </c>
      <c r="AB12" s="17">
        <v>130</v>
      </c>
      <c r="AC12" s="93">
        <v>50</v>
      </c>
      <c r="AE12" s="93">
        <v>50</v>
      </c>
      <c r="AF12" s="99">
        <v>141</v>
      </c>
      <c r="AG12" s="17">
        <v>130</v>
      </c>
      <c r="AH12" s="17">
        <v>175</v>
      </c>
      <c r="AI12" s="17">
        <v>154</v>
      </c>
      <c r="AJ12" s="17">
        <v>179</v>
      </c>
      <c r="AK12" s="17">
        <v>135</v>
      </c>
      <c r="AL12" s="17">
        <v>153</v>
      </c>
      <c r="AM12" s="93">
        <v>50</v>
      </c>
    </row>
    <row r="13" spans="1:39">
      <c r="A13" s="93">
        <v>70</v>
      </c>
      <c r="B13" s="99">
        <v>151</v>
      </c>
      <c r="C13" s="17">
        <v>139</v>
      </c>
      <c r="D13" s="17">
        <v>192</v>
      </c>
      <c r="E13" s="17">
        <v>168</v>
      </c>
      <c r="F13" s="17">
        <v>213</v>
      </c>
      <c r="G13" s="17">
        <v>173</v>
      </c>
      <c r="H13" s="80">
        <v>192</v>
      </c>
      <c r="I13" s="93">
        <v>70</v>
      </c>
      <c r="K13" s="93">
        <v>70</v>
      </c>
      <c r="L13" s="99">
        <v>200</v>
      </c>
      <c r="M13" s="17">
        <v>183</v>
      </c>
      <c r="N13" s="17">
        <v>253</v>
      </c>
      <c r="O13" s="17">
        <v>221</v>
      </c>
      <c r="P13" s="17">
        <v>269</v>
      </c>
      <c r="Q13" s="17">
        <v>203</v>
      </c>
      <c r="R13" s="17">
        <v>225</v>
      </c>
      <c r="S13" s="93">
        <v>70</v>
      </c>
      <c r="U13" s="93">
        <v>70</v>
      </c>
      <c r="V13" s="99">
        <v>136</v>
      </c>
      <c r="W13" s="17">
        <v>125</v>
      </c>
      <c r="X13" s="17">
        <v>171</v>
      </c>
      <c r="Y13" s="17">
        <v>149</v>
      </c>
      <c r="Z13" s="17">
        <v>184</v>
      </c>
      <c r="AA13" s="17">
        <v>143</v>
      </c>
      <c r="AB13" s="17">
        <v>162</v>
      </c>
      <c r="AC13" s="93">
        <v>70</v>
      </c>
      <c r="AE13" s="93">
        <v>70</v>
      </c>
      <c r="AF13" s="99">
        <v>179</v>
      </c>
      <c r="AG13" s="17">
        <v>164</v>
      </c>
      <c r="AH13" s="17">
        <v>222</v>
      </c>
      <c r="AI13" s="17">
        <v>194</v>
      </c>
      <c r="AJ13" s="17">
        <v>229</v>
      </c>
      <c r="AK13" s="17">
        <v>167</v>
      </c>
      <c r="AL13" s="17">
        <v>188</v>
      </c>
      <c r="AM13" s="93">
        <v>70</v>
      </c>
    </row>
    <row r="14" spans="1:39">
      <c r="A14" s="93">
        <v>95</v>
      </c>
      <c r="B14" s="99">
        <v>182</v>
      </c>
      <c r="C14" s="17">
        <v>167</v>
      </c>
      <c r="D14" s="17">
        <v>232</v>
      </c>
      <c r="E14" s="17">
        <v>201</v>
      </c>
      <c r="F14" s="17">
        <v>258</v>
      </c>
      <c r="G14" s="17">
        <v>204</v>
      </c>
      <c r="H14" s="80">
        <v>230</v>
      </c>
      <c r="I14" s="93">
        <v>95</v>
      </c>
      <c r="K14" s="93">
        <v>95</v>
      </c>
      <c r="L14" s="99">
        <v>241</v>
      </c>
      <c r="M14" s="17">
        <v>220</v>
      </c>
      <c r="N14" s="17">
        <v>306</v>
      </c>
      <c r="O14" s="17">
        <v>265</v>
      </c>
      <c r="P14" s="17">
        <v>328</v>
      </c>
      <c r="Q14" s="17">
        <v>239</v>
      </c>
      <c r="R14" s="17">
        <v>270</v>
      </c>
      <c r="S14" s="93">
        <v>95</v>
      </c>
      <c r="U14" s="93">
        <v>95</v>
      </c>
      <c r="V14" s="99">
        <v>164</v>
      </c>
      <c r="W14" s="17">
        <v>150</v>
      </c>
      <c r="X14" s="17">
        <v>207</v>
      </c>
      <c r="Y14" s="17">
        <v>179</v>
      </c>
      <c r="Z14" s="17">
        <v>223</v>
      </c>
      <c r="AA14" s="17">
        <v>169</v>
      </c>
      <c r="AB14" s="17">
        <v>193</v>
      </c>
      <c r="AC14" s="93">
        <v>95</v>
      </c>
      <c r="AE14" s="93">
        <v>95</v>
      </c>
      <c r="AF14" s="99">
        <v>216</v>
      </c>
      <c r="AG14" s="17">
        <v>197</v>
      </c>
      <c r="AH14" s="17">
        <v>269</v>
      </c>
      <c r="AI14" s="17">
        <v>233</v>
      </c>
      <c r="AJ14" s="17">
        <v>278</v>
      </c>
      <c r="AK14" s="17">
        <v>197</v>
      </c>
      <c r="AL14" s="17">
        <v>226</v>
      </c>
      <c r="AM14" s="93">
        <v>95</v>
      </c>
    </row>
    <row r="15" spans="1:39">
      <c r="A15" s="93">
        <v>120</v>
      </c>
      <c r="B15" s="99">
        <v>210</v>
      </c>
      <c r="C15" s="17">
        <v>192</v>
      </c>
      <c r="D15" s="17">
        <v>269</v>
      </c>
      <c r="E15" s="17">
        <v>232</v>
      </c>
      <c r="F15" s="17">
        <v>299</v>
      </c>
      <c r="G15" s="17">
        <v>231</v>
      </c>
      <c r="H15" s="80">
        <v>261</v>
      </c>
      <c r="I15" s="93">
        <v>120</v>
      </c>
      <c r="K15" s="93">
        <v>120</v>
      </c>
      <c r="L15" s="99">
        <v>278</v>
      </c>
      <c r="M15" s="17">
        <v>253</v>
      </c>
      <c r="N15" s="17">
        <v>354</v>
      </c>
      <c r="O15" s="17">
        <v>305</v>
      </c>
      <c r="P15" s="17">
        <v>382</v>
      </c>
      <c r="Q15" s="17">
        <v>271</v>
      </c>
      <c r="R15" s="17">
        <v>306</v>
      </c>
      <c r="S15" s="93">
        <v>120</v>
      </c>
      <c r="U15" s="93">
        <v>120</v>
      </c>
      <c r="V15" s="99">
        <v>188</v>
      </c>
      <c r="W15" s="17">
        <v>172</v>
      </c>
      <c r="X15" s="17">
        <v>239</v>
      </c>
      <c r="Y15" s="17">
        <v>206</v>
      </c>
      <c r="Z15" s="17">
        <v>259</v>
      </c>
      <c r="AA15" s="17">
        <v>192</v>
      </c>
      <c r="AB15" s="17">
        <v>220</v>
      </c>
      <c r="AC15" s="93">
        <v>120</v>
      </c>
      <c r="AE15" s="93">
        <v>120</v>
      </c>
      <c r="AF15" s="99">
        <v>249</v>
      </c>
      <c r="AG15" s="17">
        <v>227</v>
      </c>
      <c r="AH15" s="17">
        <v>312</v>
      </c>
      <c r="AI15" s="17">
        <v>268</v>
      </c>
      <c r="AJ15" s="17">
        <v>322</v>
      </c>
      <c r="AK15" s="17">
        <v>223</v>
      </c>
      <c r="AL15" s="17">
        <v>257</v>
      </c>
      <c r="AM15" s="93">
        <v>120</v>
      </c>
    </row>
    <row r="16" spans="1:39">
      <c r="A16" s="93">
        <v>150</v>
      </c>
      <c r="B16" s="99">
        <v>240</v>
      </c>
      <c r="C16" s="17">
        <v>219</v>
      </c>
      <c r="D16" s="17">
        <v>300</v>
      </c>
      <c r="E16" s="17">
        <v>258</v>
      </c>
      <c r="F16" s="17">
        <v>344</v>
      </c>
      <c r="G16" s="17">
        <v>261</v>
      </c>
      <c r="H16" s="80">
        <v>293</v>
      </c>
      <c r="I16" s="93">
        <v>150</v>
      </c>
      <c r="K16" s="93">
        <v>150</v>
      </c>
      <c r="L16" s="99">
        <v>318</v>
      </c>
      <c r="M16" s="17">
        <v>290</v>
      </c>
      <c r="N16" s="17">
        <v>393</v>
      </c>
      <c r="O16" s="17">
        <v>334</v>
      </c>
      <c r="P16" s="17">
        <v>441</v>
      </c>
      <c r="Q16" s="17">
        <v>306</v>
      </c>
      <c r="R16" s="17">
        <v>343</v>
      </c>
      <c r="S16" s="93">
        <v>150</v>
      </c>
      <c r="U16" s="93">
        <v>150</v>
      </c>
      <c r="V16" s="99">
        <v>216</v>
      </c>
      <c r="W16" s="17">
        <v>196</v>
      </c>
      <c r="X16" s="17">
        <v>262</v>
      </c>
      <c r="Y16" s="17">
        <v>225</v>
      </c>
      <c r="Z16" s="17">
        <v>299</v>
      </c>
      <c r="AA16" s="17">
        <v>217</v>
      </c>
      <c r="AB16" s="17">
        <v>246</v>
      </c>
      <c r="AC16" s="93">
        <v>150</v>
      </c>
      <c r="AE16" s="93">
        <v>150</v>
      </c>
      <c r="AF16" s="99">
        <v>285</v>
      </c>
      <c r="AG16" s="17">
        <v>259</v>
      </c>
      <c r="AH16" s="17">
        <v>342</v>
      </c>
      <c r="AI16" s="17">
        <v>300</v>
      </c>
      <c r="AJ16" s="17">
        <v>371</v>
      </c>
      <c r="AK16" s="17">
        <v>251</v>
      </c>
      <c r="AL16" s="17">
        <v>287</v>
      </c>
      <c r="AM16" s="93">
        <v>150</v>
      </c>
    </row>
    <row r="17" spans="1:39">
      <c r="A17" s="93">
        <v>185</v>
      </c>
      <c r="B17" s="99">
        <v>273</v>
      </c>
      <c r="C17" s="17">
        <v>248</v>
      </c>
      <c r="D17" s="17">
        <v>341</v>
      </c>
      <c r="E17" s="17">
        <v>294</v>
      </c>
      <c r="F17" s="17">
        <v>392</v>
      </c>
      <c r="G17" s="17">
        <v>292</v>
      </c>
      <c r="H17" s="80">
        <v>331</v>
      </c>
      <c r="I17" s="93">
        <v>185</v>
      </c>
      <c r="K17" s="93">
        <v>185</v>
      </c>
      <c r="L17" s="99">
        <v>362</v>
      </c>
      <c r="M17" s="17">
        <v>329</v>
      </c>
      <c r="N17" s="17">
        <v>449</v>
      </c>
      <c r="O17" s="17">
        <v>384</v>
      </c>
      <c r="P17" s="17">
        <v>506</v>
      </c>
      <c r="Q17" s="17">
        <v>343</v>
      </c>
      <c r="R17" s="17">
        <v>387</v>
      </c>
      <c r="S17" s="93">
        <v>185</v>
      </c>
      <c r="U17" s="93">
        <v>185</v>
      </c>
      <c r="V17" s="99">
        <v>245</v>
      </c>
      <c r="W17" s="17">
        <v>223</v>
      </c>
      <c r="X17" s="17">
        <v>296</v>
      </c>
      <c r="Y17" s="17">
        <v>255</v>
      </c>
      <c r="Z17" s="17">
        <v>341</v>
      </c>
      <c r="AA17" s="17">
        <v>243</v>
      </c>
      <c r="AB17" s="17">
        <v>278</v>
      </c>
      <c r="AC17" s="93">
        <v>185</v>
      </c>
      <c r="AE17" s="93">
        <v>185</v>
      </c>
      <c r="AF17" s="99">
        <v>324</v>
      </c>
      <c r="AG17" s="17">
        <v>295</v>
      </c>
      <c r="AH17" s="17">
        <v>384</v>
      </c>
      <c r="AI17" s="17">
        <v>340</v>
      </c>
      <c r="AJ17" s="17">
        <v>424</v>
      </c>
      <c r="AK17" s="17">
        <v>281</v>
      </c>
      <c r="AL17" s="17">
        <v>324</v>
      </c>
      <c r="AM17" s="93">
        <v>185</v>
      </c>
    </row>
    <row r="18" spans="1:39">
      <c r="A18" s="93">
        <v>240</v>
      </c>
      <c r="B18" s="99">
        <v>321</v>
      </c>
      <c r="C18" s="17">
        <v>291</v>
      </c>
      <c r="D18" s="17">
        <v>400</v>
      </c>
      <c r="E18" s="17">
        <v>344</v>
      </c>
      <c r="F18" s="17">
        <v>461</v>
      </c>
      <c r="G18" s="17">
        <v>336</v>
      </c>
      <c r="H18" s="80">
        <v>382</v>
      </c>
      <c r="I18" s="93">
        <v>240</v>
      </c>
      <c r="K18" s="93">
        <v>240</v>
      </c>
      <c r="L18" s="99">
        <v>424</v>
      </c>
      <c r="M18" s="17">
        <v>386</v>
      </c>
      <c r="N18" s="17">
        <v>528</v>
      </c>
      <c r="O18" s="17">
        <v>459</v>
      </c>
      <c r="P18" s="17">
        <v>599</v>
      </c>
      <c r="Q18" s="17">
        <v>395</v>
      </c>
      <c r="R18" s="17">
        <v>448</v>
      </c>
      <c r="S18" s="93">
        <v>240</v>
      </c>
      <c r="U18" s="93">
        <v>240</v>
      </c>
      <c r="V18" s="99">
        <v>286</v>
      </c>
      <c r="W18" s="17">
        <v>261</v>
      </c>
      <c r="X18" s="17">
        <v>346</v>
      </c>
      <c r="Y18" s="17">
        <v>297</v>
      </c>
      <c r="Z18" s="17">
        <v>403</v>
      </c>
      <c r="AA18" s="17">
        <v>280</v>
      </c>
      <c r="AB18" s="17">
        <v>320</v>
      </c>
      <c r="AC18" s="93">
        <v>240</v>
      </c>
      <c r="AE18" s="93">
        <v>240</v>
      </c>
      <c r="AF18" s="99">
        <v>380</v>
      </c>
      <c r="AG18" s="17">
        <v>346</v>
      </c>
      <c r="AH18" s="17">
        <v>450</v>
      </c>
      <c r="AI18" s="17">
        <v>398</v>
      </c>
      <c r="AJ18" s="17">
        <v>500</v>
      </c>
      <c r="AK18" s="17">
        <v>324</v>
      </c>
      <c r="AL18" s="17">
        <v>375</v>
      </c>
      <c r="AM18" s="93">
        <v>240</v>
      </c>
    </row>
    <row r="19" spans="1:39" ht="15" thickBot="1">
      <c r="A19" s="94">
        <v>300</v>
      </c>
      <c r="B19" s="100">
        <v>367</v>
      </c>
      <c r="C19" s="81">
        <v>334</v>
      </c>
      <c r="D19" s="81">
        <v>458</v>
      </c>
      <c r="E19" s="81">
        <v>394</v>
      </c>
      <c r="F19" s="81">
        <v>530</v>
      </c>
      <c r="G19" s="81">
        <v>379</v>
      </c>
      <c r="H19" s="82">
        <v>427</v>
      </c>
      <c r="I19" s="94">
        <v>300</v>
      </c>
      <c r="K19" s="94">
        <v>300</v>
      </c>
      <c r="L19" s="99">
        <v>486</v>
      </c>
      <c r="M19" s="17">
        <v>442</v>
      </c>
      <c r="N19" s="17">
        <v>603</v>
      </c>
      <c r="O19" s="17">
        <v>532</v>
      </c>
      <c r="P19" s="17">
        <v>693</v>
      </c>
      <c r="Q19" s="17">
        <v>446</v>
      </c>
      <c r="R19" s="17">
        <v>502</v>
      </c>
      <c r="S19" s="94">
        <v>300</v>
      </c>
      <c r="U19" s="94">
        <v>300</v>
      </c>
      <c r="V19" s="99">
        <v>328</v>
      </c>
      <c r="W19" s="17">
        <v>298</v>
      </c>
      <c r="X19" s="17">
        <v>394</v>
      </c>
      <c r="Y19" s="17">
        <v>339</v>
      </c>
      <c r="Z19" s="17">
        <v>464</v>
      </c>
      <c r="AA19" s="17">
        <v>316</v>
      </c>
      <c r="AB19" s="17">
        <v>359</v>
      </c>
      <c r="AC19" s="94">
        <v>300</v>
      </c>
      <c r="AE19" s="94">
        <v>300</v>
      </c>
      <c r="AF19" s="99">
        <v>435</v>
      </c>
      <c r="AG19" s="17">
        <v>396</v>
      </c>
      <c r="AH19" s="17">
        <v>514</v>
      </c>
      <c r="AI19" s="17">
        <v>455</v>
      </c>
      <c r="AJ19" s="17">
        <v>576</v>
      </c>
      <c r="AK19" s="17">
        <v>365</v>
      </c>
      <c r="AL19" s="17">
        <v>419</v>
      </c>
      <c r="AM19" s="94">
        <v>300</v>
      </c>
    </row>
    <row r="20" spans="1:39" ht="15" thickBot="1">
      <c r="A20" s="90"/>
      <c r="B20" s="25"/>
      <c r="C20" s="25"/>
      <c r="D20" s="25"/>
      <c r="E20" s="25"/>
      <c r="F20" s="25"/>
      <c r="G20" s="25"/>
      <c r="H20" s="2"/>
      <c r="I20" s="90"/>
      <c r="K20" s="90"/>
      <c r="L20" s="25"/>
      <c r="M20" s="25"/>
      <c r="N20" s="25"/>
      <c r="O20" s="25"/>
      <c r="P20" s="25"/>
      <c r="Q20" s="25"/>
      <c r="R20" s="2"/>
      <c r="S20" s="90"/>
      <c r="U20" s="90"/>
      <c r="V20" s="25"/>
      <c r="W20" s="25"/>
      <c r="X20" s="25"/>
      <c r="Y20" s="25"/>
      <c r="Z20" s="25"/>
      <c r="AA20" s="25"/>
      <c r="AB20" s="2"/>
      <c r="AC20" s="90"/>
      <c r="AE20" s="90"/>
      <c r="AF20" s="25"/>
      <c r="AG20" s="25"/>
      <c r="AH20" s="25"/>
      <c r="AI20" s="25"/>
      <c r="AJ20" s="25"/>
      <c r="AK20" s="25"/>
      <c r="AL20" s="2"/>
      <c r="AM20" s="90"/>
    </row>
    <row r="21" spans="1:39" ht="15" thickBot="1">
      <c r="A21" s="95" t="s">
        <v>130</v>
      </c>
      <c r="B21" s="89" t="s">
        <v>2</v>
      </c>
      <c r="C21" s="89" t="s">
        <v>3</v>
      </c>
      <c r="D21" s="89" t="s">
        <v>4</v>
      </c>
      <c r="E21" s="89" t="s">
        <v>5</v>
      </c>
      <c r="F21" s="89" t="s">
        <v>6</v>
      </c>
      <c r="G21" s="89" t="s">
        <v>28</v>
      </c>
      <c r="H21" s="6" t="s">
        <v>29</v>
      </c>
      <c r="I21" s="95" t="s">
        <v>130</v>
      </c>
      <c r="K21" s="95" t="s">
        <v>130</v>
      </c>
      <c r="L21" s="89" t="s">
        <v>2</v>
      </c>
      <c r="M21" s="89" t="s">
        <v>3</v>
      </c>
      <c r="N21" s="89" t="s">
        <v>4</v>
      </c>
      <c r="O21" s="89" t="s">
        <v>5</v>
      </c>
      <c r="P21" s="89" t="s">
        <v>6</v>
      </c>
      <c r="Q21" s="89" t="s">
        <v>28</v>
      </c>
      <c r="R21" s="6" t="s">
        <v>29</v>
      </c>
      <c r="S21" s="95" t="s">
        <v>130</v>
      </c>
      <c r="U21" s="95" t="s">
        <v>130</v>
      </c>
      <c r="V21" s="89" t="s">
        <v>2</v>
      </c>
      <c r="W21" s="89" t="s">
        <v>3</v>
      </c>
      <c r="X21" s="89" t="s">
        <v>4</v>
      </c>
      <c r="Y21" s="89" t="s">
        <v>5</v>
      </c>
      <c r="Z21" s="89" t="s">
        <v>6</v>
      </c>
      <c r="AA21" s="89" t="s">
        <v>28</v>
      </c>
      <c r="AB21" s="6" t="s">
        <v>29</v>
      </c>
      <c r="AC21" s="95" t="s">
        <v>130</v>
      </c>
      <c r="AE21" s="95" t="s">
        <v>130</v>
      </c>
      <c r="AF21" s="89" t="s">
        <v>2</v>
      </c>
      <c r="AG21" s="89" t="s">
        <v>3</v>
      </c>
      <c r="AH21" s="89" t="s">
        <v>4</v>
      </c>
      <c r="AI21" s="89" t="s">
        <v>5</v>
      </c>
      <c r="AJ21" s="89" t="s">
        <v>6</v>
      </c>
      <c r="AK21" s="89" t="s">
        <v>28</v>
      </c>
      <c r="AL21" s="6" t="s">
        <v>29</v>
      </c>
      <c r="AM21" s="95" t="s">
        <v>130</v>
      </c>
    </row>
    <row r="22" spans="1:39">
      <c r="A22" s="96">
        <v>2.5</v>
      </c>
      <c r="B22" s="101">
        <v>15</v>
      </c>
      <c r="C22" s="87">
        <v>14.5</v>
      </c>
      <c r="D22" s="87">
        <v>18.5</v>
      </c>
      <c r="E22" s="87">
        <v>17.5</v>
      </c>
      <c r="F22" s="86">
        <v>21</v>
      </c>
      <c r="G22" s="86">
        <v>22</v>
      </c>
      <c r="H22" s="88"/>
      <c r="I22" s="96">
        <v>2.5</v>
      </c>
      <c r="K22" s="96">
        <v>2.5</v>
      </c>
      <c r="L22" s="99">
        <v>20</v>
      </c>
      <c r="M22" s="18">
        <v>19.5</v>
      </c>
      <c r="N22" s="17">
        <v>25</v>
      </c>
      <c r="O22" s="17">
        <v>23</v>
      </c>
      <c r="P22" s="17">
        <v>26</v>
      </c>
      <c r="Q22" s="17">
        <v>26</v>
      </c>
      <c r="R22" s="88"/>
      <c r="S22" s="96">
        <v>2.5</v>
      </c>
      <c r="U22" s="96">
        <v>2.5</v>
      </c>
      <c r="V22" s="99">
        <v>14</v>
      </c>
      <c r="W22" s="18">
        <v>13.5</v>
      </c>
      <c r="X22" s="18">
        <v>16.5</v>
      </c>
      <c r="Y22" s="18">
        <v>15.5</v>
      </c>
      <c r="Z22" s="18">
        <v>18.5</v>
      </c>
      <c r="AA22" s="18">
        <v>18.5</v>
      </c>
      <c r="AB22" s="88"/>
      <c r="AC22" s="96">
        <v>2.5</v>
      </c>
      <c r="AE22" s="96">
        <v>2.5</v>
      </c>
      <c r="AF22" s="99">
        <v>19</v>
      </c>
      <c r="AG22" s="17">
        <v>18</v>
      </c>
      <c r="AH22" s="17">
        <v>22</v>
      </c>
      <c r="AI22" s="17">
        <v>21</v>
      </c>
      <c r="AJ22" s="17">
        <v>24</v>
      </c>
      <c r="AK22" s="17">
        <v>22</v>
      </c>
      <c r="AL22" s="88"/>
      <c r="AM22" s="96">
        <v>2.5</v>
      </c>
    </row>
    <row r="23" spans="1:39">
      <c r="A23" s="93">
        <v>4</v>
      </c>
      <c r="B23" s="99">
        <v>20</v>
      </c>
      <c r="C23" s="18">
        <v>19.5</v>
      </c>
      <c r="D23" s="17">
        <v>25</v>
      </c>
      <c r="E23" s="17">
        <v>24</v>
      </c>
      <c r="F23" s="17">
        <v>28</v>
      </c>
      <c r="G23" s="17">
        <v>29</v>
      </c>
      <c r="H23" s="16"/>
      <c r="I23" s="93">
        <v>4</v>
      </c>
      <c r="K23" s="93">
        <v>4</v>
      </c>
      <c r="L23" s="99">
        <v>27</v>
      </c>
      <c r="M23" s="17">
        <v>26</v>
      </c>
      <c r="N23" s="17">
        <v>33</v>
      </c>
      <c r="O23" s="17">
        <v>31</v>
      </c>
      <c r="P23" s="17">
        <v>35</v>
      </c>
      <c r="Q23" s="17">
        <v>33</v>
      </c>
      <c r="R23" s="16"/>
      <c r="S23" s="93">
        <v>4</v>
      </c>
      <c r="U23" s="93">
        <v>4</v>
      </c>
      <c r="V23" s="98">
        <v>18.5</v>
      </c>
      <c r="W23" s="18">
        <v>17.5</v>
      </c>
      <c r="X23" s="17">
        <v>22</v>
      </c>
      <c r="Y23" s="17">
        <v>21</v>
      </c>
      <c r="Z23" s="17">
        <v>25</v>
      </c>
      <c r="AA23" s="17">
        <v>24</v>
      </c>
      <c r="AB23" s="16"/>
      <c r="AC23" s="93">
        <v>4</v>
      </c>
      <c r="AE23" s="93">
        <v>4</v>
      </c>
      <c r="AF23" s="99">
        <v>25</v>
      </c>
      <c r="AG23" s="17">
        <v>24</v>
      </c>
      <c r="AH23" s="17">
        <v>29</v>
      </c>
      <c r="AI23" s="17">
        <v>28</v>
      </c>
      <c r="AJ23" s="17">
        <v>32</v>
      </c>
      <c r="AK23" s="17">
        <v>28</v>
      </c>
      <c r="AL23" s="16"/>
      <c r="AM23" s="93">
        <v>4</v>
      </c>
    </row>
    <row r="24" spans="1:39">
      <c r="A24" s="93">
        <v>6</v>
      </c>
      <c r="B24" s="99">
        <v>26</v>
      </c>
      <c r="C24" s="17">
        <v>25</v>
      </c>
      <c r="D24" s="17">
        <v>32</v>
      </c>
      <c r="E24" s="17">
        <v>30</v>
      </c>
      <c r="F24" s="17">
        <v>36</v>
      </c>
      <c r="G24" s="17">
        <v>36</v>
      </c>
      <c r="H24" s="16"/>
      <c r="I24" s="93">
        <v>6</v>
      </c>
      <c r="K24" s="93">
        <v>6</v>
      </c>
      <c r="L24" s="99">
        <v>35</v>
      </c>
      <c r="M24" s="17">
        <v>33</v>
      </c>
      <c r="N24" s="17">
        <v>43</v>
      </c>
      <c r="O24" s="17">
        <v>40</v>
      </c>
      <c r="P24" s="17">
        <v>45</v>
      </c>
      <c r="Q24" s="17">
        <v>42</v>
      </c>
      <c r="R24" s="16"/>
      <c r="S24" s="93">
        <v>6</v>
      </c>
      <c r="U24" s="93">
        <v>6</v>
      </c>
      <c r="V24" s="99">
        <v>24</v>
      </c>
      <c r="W24" s="17">
        <v>23</v>
      </c>
      <c r="X24" s="17">
        <v>28</v>
      </c>
      <c r="Y24" s="17">
        <v>27</v>
      </c>
      <c r="Z24" s="17">
        <v>32</v>
      </c>
      <c r="AA24" s="17">
        <v>30</v>
      </c>
      <c r="AB24" s="16"/>
      <c r="AC24" s="93">
        <v>6</v>
      </c>
      <c r="AE24" s="93">
        <v>6</v>
      </c>
      <c r="AF24" s="99">
        <v>32</v>
      </c>
      <c r="AG24" s="17">
        <v>31</v>
      </c>
      <c r="AH24" s="17">
        <v>38</v>
      </c>
      <c r="AI24" s="17">
        <v>35</v>
      </c>
      <c r="AJ24" s="17">
        <v>41</v>
      </c>
      <c r="AK24" s="17">
        <v>35</v>
      </c>
      <c r="AL24" s="16"/>
      <c r="AM24" s="93">
        <v>6</v>
      </c>
    </row>
    <row r="25" spans="1:39">
      <c r="A25" s="93">
        <v>10</v>
      </c>
      <c r="B25" s="99">
        <v>36</v>
      </c>
      <c r="C25" s="17">
        <v>33</v>
      </c>
      <c r="D25" s="17">
        <v>44</v>
      </c>
      <c r="E25" s="17">
        <v>41</v>
      </c>
      <c r="F25" s="17">
        <v>49</v>
      </c>
      <c r="G25" s="17">
        <v>47</v>
      </c>
      <c r="H25" s="16"/>
      <c r="I25" s="93">
        <v>10</v>
      </c>
      <c r="K25" s="93">
        <v>10</v>
      </c>
      <c r="L25" s="99">
        <v>48</v>
      </c>
      <c r="M25" s="17">
        <v>45</v>
      </c>
      <c r="N25" s="17">
        <v>59</v>
      </c>
      <c r="O25" s="17">
        <v>54</v>
      </c>
      <c r="P25" s="17">
        <v>62</v>
      </c>
      <c r="Q25" s="17">
        <v>55</v>
      </c>
      <c r="R25" s="16"/>
      <c r="S25" s="93">
        <v>10</v>
      </c>
      <c r="U25" s="93">
        <v>10</v>
      </c>
      <c r="V25" s="99">
        <v>32</v>
      </c>
      <c r="W25" s="17">
        <v>31</v>
      </c>
      <c r="X25" s="17">
        <v>39</v>
      </c>
      <c r="Y25" s="17">
        <v>36</v>
      </c>
      <c r="Z25" s="17">
        <v>44</v>
      </c>
      <c r="AA25" s="17">
        <v>39</v>
      </c>
      <c r="AB25" s="16"/>
      <c r="AC25" s="93">
        <v>10</v>
      </c>
      <c r="AE25" s="93">
        <v>10</v>
      </c>
      <c r="AF25" s="99">
        <v>44</v>
      </c>
      <c r="AG25" s="17">
        <v>41</v>
      </c>
      <c r="AH25" s="17">
        <v>52</v>
      </c>
      <c r="AI25" s="17">
        <v>48</v>
      </c>
      <c r="AJ25" s="17">
        <v>57</v>
      </c>
      <c r="AK25" s="17">
        <v>46</v>
      </c>
      <c r="AL25" s="16"/>
      <c r="AM25" s="93">
        <v>10</v>
      </c>
    </row>
    <row r="26" spans="1:39">
      <c r="A26" s="93">
        <v>16</v>
      </c>
      <c r="B26" s="99">
        <v>48</v>
      </c>
      <c r="C26" s="17">
        <v>44</v>
      </c>
      <c r="D26" s="17">
        <v>60</v>
      </c>
      <c r="E26" s="17">
        <v>54</v>
      </c>
      <c r="F26" s="17">
        <v>66</v>
      </c>
      <c r="G26" s="17">
        <v>61</v>
      </c>
      <c r="H26" s="80">
        <v>63</v>
      </c>
      <c r="I26" s="93">
        <v>16</v>
      </c>
      <c r="K26" s="93">
        <v>16</v>
      </c>
      <c r="L26" s="99">
        <v>64</v>
      </c>
      <c r="M26" s="17">
        <v>60</v>
      </c>
      <c r="N26" s="17">
        <v>79</v>
      </c>
      <c r="O26" s="17">
        <v>72</v>
      </c>
      <c r="P26" s="17">
        <v>84</v>
      </c>
      <c r="Q26" s="17">
        <v>71</v>
      </c>
      <c r="R26" s="17">
        <v>76</v>
      </c>
      <c r="S26" s="93">
        <v>16</v>
      </c>
      <c r="U26" s="93">
        <v>16</v>
      </c>
      <c r="V26" s="99">
        <v>43</v>
      </c>
      <c r="W26" s="17">
        <v>41</v>
      </c>
      <c r="X26" s="17">
        <v>53</v>
      </c>
      <c r="Y26" s="17">
        <v>48</v>
      </c>
      <c r="Z26" s="17">
        <v>59</v>
      </c>
      <c r="AA26" s="17">
        <v>50</v>
      </c>
      <c r="AB26" s="17">
        <v>53</v>
      </c>
      <c r="AC26" s="93">
        <v>16</v>
      </c>
      <c r="AE26" s="93">
        <v>16</v>
      </c>
      <c r="AF26" s="99">
        <v>58</v>
      </c>
      <c r="AG26" s="17">
        <v>55</v>
      </c>
      <c r="AH26" s="17">
        <v>71</v>
      </c>
      <c r="AI26" s="17">
        <v>64</v>
      </c>
      <c r="AJ26" s="17">
        <v>76</v>
      </c>
      <c r="AK26" s="17">
        <v>59</v>
      </c>
      <c r="AL26" s="17">
        <v>64</v>
      </c>
      <c r="AM26" s="93">
        <v>16</v>
      </c>
    </row>
    <row r="27" spans="1:39">
      <c r="A27" s="93">
        <v>25</v>
      </c>
      <c r="B27" s="99">
        <v>63</v>
      </c>
      <c r="C27" s="17">
        <v>58</v>
      </c>
      <c r="D27" s="17">
        <v>79</v>
      </c>
      <c r="E27" s="17">
        <v>71</v>
      </c>
      <c r="F27" s="17">
        <v>83</v>
      </c>
      <c r="G27" s="17">
        <v>77</v>
      </c>
      <c r="H27" s="80">
        <v>82</v>
      </c>
      <c r="I27" s="93">
        <v>25</v>
      </c>
      <c r="K27" s="93">
        <v>25</v>
      </c>
      <c r="L27" s="99">
        <v>84</v>
      </c>
      <c r="M27" s="17">
        <v>78</v>
      </c>
      <c r="N27" s="17">
        <v>105</v>
      </c>
      <c r="O27" s="17">
        <v>94</v>
      </c>
      <c r="P27" s="17">
        <v>101</v>
      </c>
      <c r="Q27" s="17">
        <v>90</v>
      </c>
      <c r="R27" s="17">
        <v>98</v>
      </c>
      <c r="S27" s="93">
        <v>25</v>
      </c>
      <c r="U27" s="93">
        <v>25</v>
      </c>
      <c r="V27" s="99">
        <v>57</v>
      </c>
      <c r="W27" s="17">
        <v>53</v>
      </c>
      <c r="X27" s="17">
        <v>70</v>
      </c>
      <c r="Y27" s="17">
        <v>62</v>
      </c>
      <c r="Z27" s="17">
        <v>73</v>
      </c>
      <c r="AA27" s="17">
        <v>64</v>
      </c>
      <c r="AB27" s="17">
        <v>69</v>
      </c>
      <c r="AC27" s="93">
        <v>25</v>
      </c>
      <c r="AE27" s="93">
        <v>25</v>
      </c>
      <c r="AF27" s="99">
        <v>76</v>
      </c>
      <c r="AG27" s="17">
        <v>71</v>
      </c>
      <c r="AH27" s="17">
        <v>93</v>
      </c>
      <c r="AI27" s="17">
        <v>84</v>
      </c>
      <c r="AJ27" s="17">
        <v>90</v>
      </c>
      <c r="AK27" s="17">
        <v>75</v>
      </c>
      <c r="AL27" s="17">
        <v>82</v>
      </c>
      <c r="AM27" s="93">
        <v>25</v>
      </c>
    </row>
    <row r="28" spans="1:39">
      <c r="A28" s="93">
        <v>35</v>
      </c>
      <c r="B28" s="99">
        <v>77</v>
      </c>
      <c r="C28" s="17">
        <v>71</v>
      </c>
      <c r="D28" s="17">
        <v>97</v>
      </c>
      <c r="E28" s="17">
        <v>86</v>
      </c>
      <c r="F28" s="17">
        <v>103</v>
      </c>
      <c r="G28" s="17">
        <v>93</v>
      </c>
      <c r="H28" s="80">
        <v>98</v>
      </c>
      <c r="I28" s="93">
        <v>35</v>
      </c>
      <c r="K28" s="93">
        <v>35</v>
      </c>
      <c r="L28" s="99">
        <v>103</v>
      </c>
      <c r="M28" s="17">
        <v>96</v>
      </c>
      <c r="N28" s="17">
        <v>130</v>
      </c>
      <c r="O28" s="17">
        <v>115</v>
      </c>
      <c r="P28" s="17">
        <v>126</v>
      </c>
      <c r="Q28" s="17">
        <v>108</v>
      </c>
      <c r="R28" s="17">
        <v>117</v>
      </c>
      <c r="S28" s="93">
        <v>35</v>
      </c>
      <c r="U28" s="93">
        <v>35</v>
      </c>
      <c r="V28" s="99">
        <v>70</v>
      </c>
      <c r="W28" s="17">
        <v>65</v>
      </c>
      <c r="X28" s="17">
        <v>86</v>
      </c>
      <c r="Y28" s="17">
        <v>77</v>
      </c>
      <c r="Z28" s="17">
        <v>90</v>
      </c>
      <c r="AA28" s="17">
        <v>77</v>
      </c>
      <c r="AB28" s="17">
        <v>83</v>
      </c>
      <c r="AC28" s="93">
        <v>35</v>
      </c>
      <c r="AE28" s="93">
        <v>35</v>
      </c>
      <c r="AF28" s="99">
        <v>94</v>
      </c>
      <c r="AG28" s="17">
        <v>87</v>
      </c>
      <c r="AH28" s="17">
        <v>116</v>
      </c>
      <c r="AI28" s="17">
        <v>103</v>
      </c>
      <c r="AJ28" s="17">
        <v>112</v>
      </c>
      <c r="AK28" s="17">
        <v>90</v>
      </c>
      <c r="AL28" s="17">
        <v>98</v>
      </c>
      <c r="AM28" s="93">
        <v>35</v>
      </c>
    </row>
    <row r="29" spans="1:39">
      <c r="A29" s="93">
        <v>50</v>
      </c>
      <c r="B29" s="99">
        <v>93</v>
      </c>
      <c r="C29" s="17">
        <v>86</v>
      </c>
      <c r="D29" s="17">
        <v>118</v>
      </c>
      <c r="E29" s="17">
        <v>104</v>
      </c>
      <c r="F29" s="17">
        <v>125</v>
      </c>
      <c r="G29" s="17">
        <v>109</v>
      </c>
      <c r="H29" s="80">
        <v>117</v>
      </c>
      <c r="I29" s="93">
        <v>50</v>
      </c>
      <c r="K29" s="93">
        <v>50</v>
      </c>
      <c r="L29" s="99">
        <v>125</v>
      </c>
      <c r="M29" s="17">
        <v>115</v>
      </c>
      <c r="N29" s="17">
        <v>157</v>
      </c>
      <c r="O29" s="17">
        <v>138</v>
      </c>
      <c r="P29" s="17">
        <v>154</v>
      </c>
      <c r="Q29" s="17">
        <v>128</v>
      </c>
      <c r="R29" s="17">
        <v>139</v>
      </c>
      <c r="S29" s="93">
        <v>50</v>
      </c>
      <c r="U29" s="93">
        <v>50</v>
      </c>
      <c r="V29" s="99">
        <v>84</v>
      </c>
      <c r="W29" s="17">
        <v>78</v>
      </c>
      <c r="X29" s="17">
        <v>104</v>
      </c>
      <c r="Y29" s="17">
        <v>92</v>
      </c>
      <c r="Z29" s="17">
        <v>110</v>
      </c>
      <c r="AA29" s="17">
        <v>91</v>
      </c>
      <c r="AB29" s="17">
        <v>99</v>
      </c>
      <c r="AC29" s="93">
        <v>50</v>
      </c>
      <c r="AE29" s="93">
        <v>50</v>
      </c>
      <c r="AF29" s="99">
        <v>113</v>
      </c>
      <c r="AG29" s="17">
        <v>104</v>
      </c>
      <c r="AH29" s="17">
        <v>140</v>
      </c>
      <c r="AI29" s="17">
        <v>124</v>
      </c>
      <c r="AJ29" s="17">
        <v>136</v>
      </c>
      <c r="AK29" s="17">
        <v>106</v>
      </c>
      <c r="AL29" s="17">
        <v>117</v>
      </c>
      <c r="AM29" s="93">
        <v>50</v>
      </c>
    </row>
    <row r="30" spans="1:39">
      <c r="A30" s="93">
        <v>70</v>
      </c>
      <c r="B30" s="99">
        <v>118</v>
      </c>
      <c r="C30" s="17">
        <v>108</v>
      </c>
      <c r="D30" s="17">
        <v>150</v>
      </c>
      <c r="E30" s="17">
        <v>131</v>
      </c>
      <c r="F30" s="17">
        <v>160</v>
      </c>
      <c r="G30" s="17">
        <v>135</v>
      </c>
      <c r="H30" s="80">
        <v>145</v>
      </c>
      <c r="I30" s="93">
        <v>70</v>
      </c>
      <c r="K30" s="93">
        <v>70</v>
      </c>
      <c r="L30" s="99">
        <v>158</v>
      </c>
      <c r="M30" s="17">
        <v>145</v>
      </c>
      <c r="N30" s="17">
        <v>200</v>
      </c>
      <c r="O30" s="17">
        <v>175</v>
      </c>
      <c r="P30" s="17">
        <v>198</v>
      </c>
      <c r="Q30" s="17">
        <v>158</v>
      </c>
      <c r="R30" s="17">
        <v>170</v>
      </c>
      <c r="S30" s="93">
        <v>70</v>
      </c>
      <c r="U30" s="93">
        <v>70</v>
      </c>
      <c r="V30" s="99">
        <v>107</v>
      </c>
      <c r="W30" s="17">
        <v>98</v>
      </c>
      <c r="X30" s="17">
        <v>133</v>
      </c>
      <c r="Y30" s="17">
        <v>116</v>
      </c>
      <c r="Z30" s="17">
        <v>140</v>
      </c>
      <c r="AA30" s="17">
        <v>112</v>
      </c>
      <c r="AB30" s="17">
        <v>122</v>
      </c>
      <c r="AC30" s="93">
        <v>70</v>
      </c>
      <c r="AE30" s="93">
        <v>70</v>
      </c>
      <c r="AF30" s="99">
        <v>142</v>
      </c>
      <c r="AG30" s="17">
        <v>131</v>
      </c>
      <c r="AH30" s="17">
        <v>179</v>
      </c>
      <c r="AI30" s="17">
        <v>156</v>
      </c>
      <c r="AJ30" s="17">
        <v>174</v>
      </c>
      <c r="AK30" s="17">
        <v>130</v>
      </c>
      <c r="AL30" s="17">
        <v>144</v>
      </c>
      <c r="AM30" s="93">
        <v>70</v>
      </c>
    </row>
    <row r="31" spans="1:39">
      <c r="A31" s="93">
        <v>95</v>
      </c>
      <c r="B31" s="99">
        <v>142</v>
      </c>
      <c r="C31" s="17">
        <v>130</v>
      </c>
      <c r="D31" s="17">
        <v>181</v>
      </c>
      <c r="E31" s="17">
        <v>157</v>
      </c>
      <c r="F31" s="17">
        <v>195</v>
      </c>
      <c r="G31" s="17">
        <v>159</v>
      </c>
      <c r="H31" s="80">
        <v>173</v>
      </c>
      <c r="I31" s="93">
        <v>95</v>
      </c>
      <c r="K31" s="93">
        <v>95</v>
      </c>
      <c r="L31" s="99">
        <v>191</v>
      </c>
      <c r="M31" s="17">
        <v>175</v>
      </c>
      <c r="N31" s="17">
        <v>242</v>
      </c>
      <c r="O31" s="17">
        <v>210</v>
      </c>
      <c r="P31" s="17">
        <v>241</v>
      </c>
      <c r="Q31" s="17">
        <v>186</v>
      </c>
      <c r="R31" s="17">
        <v>204</v>
      </c>
      <c r="S31" s="93">
        <v>95</v>
      </c>
      <c r="U31" s="93">
        <v>95</v>
      </c>
      <c r="V31" s="99">
        <v>129</v>
      </c>
      <c r="W31" s="17">
        <v>118</v>
      </c>
      <c r="X31" s="17">
        <v>161</v>
      </c>
      <c r="Y31" s="17">
        <v>139</v>
      </c>
      <c r="Z31" s="17">
        <v>170</v>
      </c>
      <c r="AA31" s="17">
        <v>132</v>
      </c>
      <c r="AB31" s="17">
        <v>148</v>
      </c>
      <c r="AC31" s="93">
        <v>95</v>
      </c>
      <c r="AE31" s="93">
        <v>95</v>
      </c>
      <c r="AF31" s="99">
        <v>171</v>
      </c>
      <c r="AG31" s="17">
        <v>157</v>
      </c>
      <c r="AH31" s="17">
        <v>217</v>
      </c>
      <c r="AI31" s="17">
        <v>188</v>
      </c>
      <c r="AJ31" s="17">
        <v>211</v>
      </c>
      <c r="AK31" s="17">
        <v>154</v>
      </c>
      <c r="AL31" s="17">
        <v>172</v>
      </c>
      <c r="AM31" s="93">
        <v>95</v>
      </c>
    </row>
    <row r="32" spans="1:39">
      <c r="A32" s="93">
        <v>120</v>
      </c>
      <c r="B32" s="99">
        <v>164</v>
      </c>
      <c r="C32" s="17">
        <v>150</v>
      </c>
      <c r="D32" s="17">
        <v>210</v>
      </c>
      <c r="E32" s="17">
        <v>181</v>
      </c>
      <c r="F32" s="17">
        <v>226</v>
      </c>
      <c r="G32" s="17">
        <v>180</v>
      </c>
      <c r="H32" s="80">
        <v>200</v>
      </c>
      <c r="I32" s="93">
        <v>120</v>
      </c>
      <c r="K32" s="93">
        <v>120</v>
      </c>
      <c r="L32" s="99">
        <v>220</v>
      </c>
      <c r="M32" s="17">
        <v>201</v>
      </c>
      <c r="N32" s="17">
        <v>281</v>
      </c>
      <c r="O32" s="17">
        <v>242</v>
      </c>
      <c r="P32" s="17">
        <v>280</v>
      </c>
      <c r="Q32" s="17">
        <v>211</v>
      </c>
      <c r="R32" s="17">
        <v>233</v>
      </c>
      <c r="S32" s="93">
        <v>120</v>
      </c>
      <c r="U32" s="93">
        <v>120</v>
      </c>
      <c r="V32" s="99">
        <v>149</v>
      </c>
      <c r="W32" s="17">
        <v>135</v>
      </c>
      <c r="X32" s="17">
        <v>186</v>
      </c>
      <c r="Y32" s="17">
        <v>160</v>
      </c>
      <c r="Z32" s="17">
        <v>197</v>
      </c>
      <c r="AA32" s="17">
        <v>150</v>
      </c>
      <c r="AB32" s="17">
        <v>169</v>
      </c>
      <c r="AC32" s="93">
        <v>120</v>
      </c>
      <c r="AE32" s="93">
        <v>120</v>
      </c>
      <c r="AF32" s="99">
        <v>197</v>
      </c>
      <c r="AG32" s="17">
        <v>180</v>
      </c>
      <c r="AH32" s="17">
        <v>251</v>
      </c>
      <c r="AI32" s="17">
        <v>216</v>
      </c>
      <c r="AJ32" s="17">
        <v>245</v>
      </c>
      <c r="AK32" s="17">
        <v>174</v>
      </c>
      <c r="AL32" s="17">
        <v>197</v>
      </c>
      <c r="AM32" s="93">
        <v>120</v>
      </c>
    </row>
    <row r="33" spans="1:39">
      <c r="A33" s="93">
        <v>150</v>
      </c>
      <c r="B33" s="99">
        <v>189</v>
      </c>
      <c r="C33" s="17">
        <v>172</v>
      </c>
      <c r="D33" s="17">
        <v>234</v>
      </c>
      <c r="E33" s="17">
        <v>201</v>
      </c>
      <c r="F33" s="17">
        <v>261</v>
      </c>
      <c r="G33" s="17">
        <v>204</v>
      </c>
      <c r="H33" s="80">
        <v>224</v>
      </c>
      <c r="I33" s="93">
        <v>150</v>
      </c>
      <c r="K33" s="93">
        <v>150</v>
      </c>
      <c r="L33" s="99">
        <v>253</v>
      </c>
      <c r="M33" s="17">
        <v>230</v>
      </c>
      <c r="N33" s="17">
        <v>307</v>
      </c>
      <c r="O33" s="17">
        <v>261</v>
      </c>
      <c r="P33" s="17">
        <v>324</v>
      </c>
      <c r="Q33" s="17">
        <v>238</v>
      </c>
      <c r="R33" s="17">
        <v>261</v>
      </c>
      <c r="S33" s="93">
        <v>150</v>
      </c>
      <c r="U33" s="93">
        <v>150</v>
      </c>
      <c r="V33" s="99">
        <v>170</v>
      </c>
      <c r="W33" s="17">
        <v>155</v>
      </c>
      <c r="X33" s="17">
        <v>204</v>
      </c>
      <c r="Y33" s="17">
        <v>176</v>
      </c>
      <c r="Z33" s="17">
        <v>227</v>
      </c>
      <c r="AA33" s="17">
        <v>169</v>
      </c>
      <c r="AB33" s="17">
        <v>189</v>
      </c>
      <c r="AC33" s="93">
        <v>150</v>
      </c>
      <c r="AE33" s="93">
        <v>150</v>
      </c>
      <c r="AF33" s="99">
        <v>226</v>
      </c>
      <c r="AG33" s="17">
        <v>206</v>
      </c>
      <c r="AH33" s="17">
        <v>267</v>
      </c>
      <c r="AI33" s="17">
        <v>240</v>
      </c>
      <c r="AJ33" s="17">
        <v>283</v>
      </c>
      <c r="AK33" s="17">
        <v>197</v>
      </c>
      <c r="AL33" s="17">
        <v>220</v>
      </c>
      <c r="AM33" s="93">
        <v>150</v>
      </c>
    </row>
    <row r="34" spans="1:39">
      <c r="A34" s="93">
        <v>185</v>
      </c>
      <c r="B34" s="99">
        <v>215</v>
      </c>
      <c r="C34" s="17">
        <v>195</v>
      </c>
      <c r="D34" s="17">
        <v>266</v>
      </c>
      <c r="E34" s="17">
        <v>230</v>
      </c>
      <c r="F34" s="17">
        <v>298</v>
      </c>
      <c r="G34" s="17">
        <v>228</v>
      </c>
      <c r="H34" s="80">
        <v>255</v>
      </c>
      <c r="I34" s="93">
        <v>185</v>
      </c>
      <c r="K34" s="93">
        <v>185</v>
      </c>
      <c r="L34" s="99">
        <v>288</v>
      </c>
      <c r="M34" s="17">
        <v>262</v>
      </c>
      <c r="N34" s="17">
        <v>351</v>
      </c>
      <c r="O34" s="17">
        <v>300</v>
      </c>
      <c r="P34" s="17">
        <v>371</v>
      </c>
      <c r="Q34" s="17">
        <v>267</v>
      </c>
      <c r="R34" s="17">
        <v>296</v>
      </c>
      <c r="S34" s="93">
        <v>185</v>
      </c>
      <c r="U34" s="93">
        <v>185</v>
      </c>
      <c r="V34" s="99">
        <v>194</v>
      </c>
      <c r="W34" s="17">
        <v>176</v>
      </c>
      <c r="X34" s="17">
        <v>230</v>
      </c>
      <c r="Y34" s="17">
        <v>199</v>
      </c>
      <c r="Z34" s="17">
        <v>259</v>
      </c>
      <c r="AA34" s="17">
        <v>190</v>
      </c>
      <c r="AB34" s="17">
        <v>214</v>
      </c>
      <c r="AC34" s="93">
        <v>185</v>
      </c>
      <c r="AE34" s="93">
        <v>185</v>
      </c>
      <c r="AF34" s="99">
        <v>256</v>
      </c>
      <c r="AG34" s="17">
        <v>233</v>
      </c>
      <c r="AH34" s="17">
        <v>300</v>
      </c>
      <c r="AI34" s="17">
        <v>272</v>
      </c>
      <c r="AJ34" s="17">
        <v>323</v>
      </c>
      <c r="AK34" s="17">
        <v>220</v>
      </c>
      <c r="AL34" s="17">
        <v>250</v>
      </c>
      <c r="AM34" s="93">
        <v>185</v>
      </c>
    </row>
    <row r="35" spans="1:39">
      <c r="A35" s="93">
        <v>240</v>
      </c>
      <c r="B35" s="99">
        <v>252</v>
      </c>
      <c r="C35" s="17">
        <v>229</v>
      </c>
      <c r="D35" s="17">
        <v>312</v>
      </c>
      <c r="E35" s="17">
        <v>269</v>
      </c>
      <c r="F35" s="17">
        <v>352</v>
      </c>
      <c r="G35" s="17">
        <v>262</v>
      </c>
      <c r="H35" s="80">
        <v>298</v>
      </c>
      <c r="I35" s="93">
        <v>240</v>
      </c>
      <c r="K35" s="93">
        <v>240</v>
      </c>
      <c r="L35" s="99">
        <v>338</v>
      </c>
      <c r="M35" s="17">
        <v>307</v>
      </c>
      <c r="N35" s="17">
        <v>412</v>
      </c>
      <c r="O35" s="17">
        <v>358</v>
      </c>
      <c r="P35" s="17">
        <v>439</v>
      </c>
      <c r="Q35" s="17">
        <v>307</v>
      </c>
      <c r="R35" s="17">
        <v>343</v>
      </c>
      <c r="S35" s="93">
        <v>240</v>
      </c>
      <c r="U35" s="93">
        <v>240</v>
      </c>
      <c r="V35" s="99">
        <v>227</v>
      </c>
      <c r="W35" s="17">
        <v>207</v>
      </c>
      <c r="X35" s="17">
        <v>269</v>
      </c>
      <c r="Y35" s="17">
        <v>232</v>
      </c>
      <c r="Z35" s="17">
        <v>305</v>
      </c>
      <c r="AA35" s="17">
        <v>218</v>
      </c>
      <c r="AB35" s="17">
        <v>250</v>
      </c>
      <c r="AC35" s="93">
        <v>240</v>
      </c>
      <c r="AE35" s="93">
        <v>240</v>
      </c>
      <c r="AF35" s="99">
        <v>300</v>
      </c>
      <c r="AG35" s="17">
        <v>273</v>
      </c>
      <c r="AH35" s="17">
        <v>351</v>
      </c>
      <c r="AI35" s="17">
        <v>318</v>
      </c>
      <c r="AJ35" s="17">
        <v>382</v>
      </c>
      <c r="AK35" s="17">
        <v>253</v>
      </c>
      <c r="AL35" s="17">
        <v>290</v>
      </c>
      <c r="AM35" s="93">
        <v>240</v>
      </c>
    </row>
    <row r="36" spans="1:39" ht="15" thickBot="1">
      <c r="A36" s="94">
        <v>300</v>
      </c>
      <c r="B36" s="100">
        <v>289</v>
      </c>
      <c r="C36" s="81">
        <v>263</v>
      </c>
      <c r="D36" s="81">
        <v>358</v>
      </c>
      <c r="E36" s="81">
        <v>308</v>
      </c>
      <c r="F36" s="81">
        <v>406</v>
      </c>
      <c r="G36" s="81">
        <v>296</v>
      </c>
      <c r="H36" s="82">
        <v>336</v>
      </c>
      <c r="I36" s="94">
        <v>300</v>
      </c>
      <c r="J36" s="19"/>
      <c r="K36" s="94">
        <v>300</v>
      </c>
      <c r="L36" s="100">
        <v>387</v>
      </c>
      <c r="M36" s="81">
        <v>352</v>
      </c>
      <c r="N36" s="81">
        <v>471</v>
      </c>
      <c r="O36" s="81">
        <v>415</v>
      </c>
      <c r="P36" s="81">
        <v>508</v>
      </c>
      <c r="Q36" s="81">
        <v>346</v>
      </c>
      <c r="R36" s="81">
        <v>386</v>
      </c>
      <c r="S36" s="94">
        <v>300</v>
      </c>
      <c r="U36" s="94">
        <v>300</v>
      </c>
      <c r="V36" s="100">
        <v>261</v>
      </c>
      <c r="W36" s="81">
        <v>237</v>
      </c>
      <c r="X36" s="81">
        <v>306</v>
      </c>
      <c r="Y36" s="81">
        <v>265</v>
      </c>
      <c r="Z36" s="81">
        <v>351</v>
      </c>
      <c r="AA36" s="81">
        <v>247</v>
      </c>
      <c r="AB36" s="81">
        <v>282</v>
      </c>
      <c r="AC36" s="94">
        <v>300</v>
      </c>
      <c r="AE36" s="94">
        <v>300</v>
      </c>
      <c r="AF36" s="100">
        <v>344</v>
      </c>
      <c r="AG36" s="81">
        <v>313</v>
      </c>
      <c r="AH36" s="81">
        <v>402</v>
      </c>
      <c r="AI36" s="81">
        <v>364</v>
      </c>
      <c r="AJ36" s="81">
        <v>440</v>
      </c>
      <c r="AK36" s="81">
        <v>286</v>
      </c>
      <c r="AL36" s="81">
        <v>326</v>
      </c>
      <c r="AM36" s="94">
        <v>300</v>
      </c>
    </row>
    <row r="38" spans="1:39">
      <c r="A38" s="19">
        <v>6</v>
      </c>
      <c r="B38" t="s">
        <v>2</v>
      </c>
      <c r="C38" s="19">
        <v>25</v>
      </c>
    </row>
    <row r="39" spans="1:39">
      <c r="B39">
        <f>INDEX(B22:H36,MATCH(A38,A22:A36,0),MATCH(B38,B21:H21,0))</f>
        <v>26</v>
      </c>
      <c r="E39" t="e">
        <f>MATCH(C38,B22:B36,-1)</f>
        <v>#N/A</v>
      </c>
    </row>
  </sheetData>
  <mergeCells count="4">
    <mergeCell ref="AG1:AI2"/>
    <mergeCell ref="M1:O2"/>
    <mergeCell ref="C1:E2"/>
    <mergeCell ref="W1:Y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CF55-1C23-43B2-9FCC-2514E2B7BF13}">
  <dimension ref="A1:AH92"/>
  <sheetViews>
    <sheetView zoomScale="70" zoomScaleNormal="70" workbookViewId="0">
      <selection activeCell="S71" sqref="S71:S85"/>
    </sheetView>
  </sheetViews>
  <sheetFormatPr defaultRowHeight="14.4"/>
  <sheetData>
    <row r="1" spans="1:32">
      <c r="A1" s="14" t="s">
        <v>128</v>
      </c>
      <c r="B1" s="27"/>
      <c r="C1" s="209" t="s">
        <v>129</v>
      </c>
      <c r="D1" s="209"/>
      <c r="E1" s="209"/>
      <c r="F1" s="27"/>
      <c r="G1" s="27"/>
      <c r="H1" s="79"/>
      <c r="J1" s="27" t="s">
        <v>133</v>
      </c>
      <c r="K1" s="209" t="s">
        <v>132</v>
      </c>
      <c r="L1" s="209"/>
      <c r="M1" s="209"/>
      <c r="N1" s="27"/>
      <c r="O1" s="27"/>
      <c r="P1" s="79"/>
      <c r="R1" s="27" t="s">
        <v>134</v>
      </c>
      <c r="S1" s="209" t="s">
        <v>136</v>
      </c>
      <c r="T1" s="209"/>
      <c r="U1" s="209"/>
      <c r="V1" s="27"/>
      <c r="W1" s="27"/>
      <c r="X1" s="79"/>
      <c r="Z1" s="27" t="s">
        <v>135</v>
      </c>
      <c r="AA1" s="209" t="s">
        <v>137</v>
      </c>
      <c r="AB1" s="209"/>
      <c r="AC1" s="209"/>
      <c r="AD1" s="27"/>
      <c r="AE1" s="27"/>
      <c r="AF1" s="79"/>
    </row>
    <row r="2" spans="1:32" ht="15" thickBot="1">
      <c r="A2" s="3"/>
      <c r="B2" s="32"/>
      <c r="C2" s="210"/>
      <c r="D2" s="210"/>
      <c r="E2" s="210"/>
      <c r="F2" s="32"/>
      <c r="G2" s="32"/>
      <c r="H2" s="4"/>
      <c r="J2" s="32"/>
      <c r="K2" s="210"/>
      <c r="L2" s="210"/>
      <c r="M2" s="210"/>
      <c r="N2" s="32"/>
      <c r="O2" s="32"/>
      <c r="P2" s="4"/>
      <c r="R2" s="32"/>
      <c r="S2" s="210"/>
      <c r="T2" s="210"/>
      <c r="U2" s="210"/>
      <c r="V2" s="32"/>
      <c r="W2" s="32"/>
      <c r="X2" s="4"/>
      <c r="Z2" s="32"/>
      <c r="AA2" s="210"/>
      <c r="AB2" s="210"/>
      <c r="AC2" s="210"/>
      <c r="AD2" s="32"/>
      <c r="AE2" s="32"/>
      <c r="AF2" s="4"/>
    </row>
    <row r="3" spans="1:32" ht="15" thickBot="1">
      <c r="A3" s="102" t="s">
        <v>131</v>
      </c>
      <c r="B3" s="25" t="s">
        <v>2</v>
      </c>
      <c r="C3" s="25" t="s">
        <v>3</v>
      </c>
      <c r="D3" s="25" t="s">
        <v>4</v>
      </c>
      <c r="E3" s="25" t="s">
        <v>5</v>
      </c>
      <c r="F3" s="25" t="s">
        <v>6</v>
      </c>
      <c r="G3" s="25" t="s">
        <v>28</v>
      </c>
      <c r="H3" s="2" t="s">
        <v>29</v>
      </c>
      <c r="J3" s="25" t="s">
        <v>2</v>
      </c>
      <c r="K3" s="25" t="s">
        <v>3</v>
      </c>
      <c r="L3" s="25" t="s">
        <v>4</v>
      </c>
      <c r="M3" s="25" t="s">
        <v>5</v>
      </c>
      <c r="N3" s="25" t="s">
        <v>6</v>
      </c>
      <c r="O3" s="25" t="s">
        <v>28</v>
      </c>
      <c r="P3" s="2" t="s">
        <v>29</v>
      </c>
      <c r="R3" s="25" t="s">
        <v>2</v>
      </c>
      <c r="S3" s="25" t="s">
        <v>3</v>
      </c>
      <c r="T3" s="25" t="s">
        <v>4</v>
      </c>
      <c r="U3" s="25" t="s">
        <v>5</v>
      </c>
      <c r="V3" s="25" t="s">
        <v>6</v>
      </c>
      <c r="W3" s="25" t="s">
        <v>28</v>
      </c>
      <c r="X3" s="2" t="s">
        <v>29</v>
      </c>
      <c r="Z3" s="25" t="s">
        <v>2</v>
      </c>
      <c r="AA3" s="25" t="s">
        <v>3</v>
      </c>
      <c r="AB3" s="25" t="s">
        <v>4</v>
      </c>
      <c r="AC3" s="25" t="s">
        <v>5</v>
      </c>
      <c r="AD3" s="25" t="s">
        <v>6</v>
      </c>
      <c r="AE3" s="25" t="s">
        <v>28</v>
      </c>
      <c r="AF3" s="2" t="s">
        <v>29</v>
      </c>
    </row>
    <row r="4" spans="1:32">
      <c r="A4" s="109">
        <v>300</v>
      </c>
      <c r="B4" s="110">
        <v>367</v>
      </c>
      <c r="C4" s="84">
        <v>334</v>
      </c>
      <c r="D4" s="84">
        <v>458</v>
      </c>
      <c r="E4" s="84">
        <v>394</v>
      </c>
      <c r="F4" s="84">
        <v>530</v>
      </c>
      <c r="G4" s="84">
        <v>379</v>
      </c>
      <c r="H4" s="85">
        <v>427</v>
      </c>
      <c r="J4" s="99">
        <v>486</v>
      </c>
      <c r="K4" s="17">
        <v>442</v>
      </c>
      <c r="L4" s="17">
        <v>603</v>
      </c>
      <c r="M4" s="17">
        <v>532</v>
      </c>
      <c r="N4" s="17">
        <v>693</v>
      </c>
      <c r="O4" s="17">
        <v>446</v>
      </c>
      <c r="P4" s="17">
        <v>502</v>
      </c>
      <c r="R4" s="99">
        <v>328</v>
      </c>
      <c r="S4" s="17">
        <v>298</v>
      </c>
      <c r="T4" s="17">
        <v>394</v>
      </c>
      <c r="U4" s="17">
        <v>339</v>
      </c>
      <c r="V4" s="17">
        <v>464</v>
      </c>
      <c r="W4" s="17">
        <v>316</v>
      </c>
      <c r="X4" s="17">
        <v>359</v>
      </c>
      <c r="Z4" s="99">
        <v>435</v>
      </c>
      <c r="AA4" s="17">
        <v>396</v>
      </c>
      <c r="AB4" s="17">
        <v>514</v>
      </c>
      <c r="AC4" s="17">
        <v>455</v>
      </c>
      <c r="AD4" s="17">
        <v>576</v>
      </c>
      <c r="AE4" s="17">
        <v>365</v>
      </c>
      <c r="AF4" s="17">
        <v>419</v>
      </c>
    </row>
    <row r="5" spans="1:32">
      <c r="A5" s="93">
        <v>240</v>
      </c>
      <c r="B5" s="99">
        <v>321</v>
      </c>
      <c r="C5" s="17">
        <v>291</v>
      </c>
      <c r="D5" s="17">
        <v>400</v>
      </c>
      <c r="E5" s="17">
        <v>344</v>
      </c>
      <c r="F5" s="17">
        <v>461</v>
      </c>
      <c r="G5" s="17">
        <v>336</v>
      </c>
      <c r="H5" s="80">
        <v>382</v>
      </c>
      <c r="J5" s="99">
        <v>424</v>
      </c>
      <c r="K5" s="17">
        <v>386</v>
      </c>
      <c r="L5" s="17">
        <v>528</v>
      </c>
      <c r="M5" s="17">
        <v>459</v>
      </c>
      <c r="N5" s="17">
        <v>599</v>
      </c>
      <c r="O5" s="17">
        <v>395</v>
      </c>
      <c r="P5" s="17">
        <v>448</v>
      </c>
      <c r="R5" s="99">
        <v>286</v>
      </c>
      <c r="S5" s="17">
        <v>261</v>
      </c>
      <c r="T5" s="17">
        <v>346</v>
      </c>
      <c r="U5" s="17">
        <v>297</v>
      </c>
      <c r="V5" s="17">
        <v>403</v>
      </c>
      <c r="W5" s="17">
        <v>280</v>
      </c>
      <c r="X5" s="17">
        <v>320</v>
      </c>
      <c r="Z5" s="99">
        <v>380</v>
      </c>
      <c r="AA5" s="17">
        <v>346</v>
      </c>
      <c r="AB5" s="17">
        <v>450</v>
      </c>
      <c r="AC5" s="17">
        <v>398</v>
      </c>
      <c r="AD5" s="17">
        <v>500</v>
      </c>
      <c r="AE5" s="17">
        <v>324</v>
      </c>
      <c r="AF5" s="17">
        <v>375</v>
      </c>
    </row>
    <row r="6" spans="1:32">
      <c r="A6" s="93">
        <v>185</v>
      </c>
      <c r="B6" s="99">
        <v>273</v>
      </c>
      <c r="C6" s="17">
        <v>248</v>
      </c>
      <c r="D6" s="17">
        <v>341</v>
      </c>
      <c r="E6" s="17">
        <v>294</v>
      </c>
      <c r="F6" s="17">
        <v>392</v>
      </c>
      <c r="G6" s="17">
        <v>292</v>
      </c>
      <c r="H6" s="80">
        <v>331</v>
      </c>
      <c r="J6" s="99">
        <v>362</v>
      </c>
      <c r="K6" s="17">
        <v>329</v>
      </c>
      <c r="L6" s="17">
        <v>449</v>
      </c>
      <c r="M6" s="17">
        <v>384</v>
      </c>
      <c r="N6" s="17">
        <v>506</v>
      </c>
      <c r="O6" s="17">
        <v>343</v>
      </c>
      <c r="P6" s="17">
        <v>387</v>
      </c>
      <c r="R6" s="99">
        <v>245</v>
      </c>
      <c r="S6" s="17">
        <v>223</v>
      </c>
      <c r="T6" s="17">
        <v>296</v>
      </c>
      <c r="U6" s="17">
        <v>255</v>
      </c>
      <c r="V6" s="17">
        <v>341</v>
      </c>
      <c r="W6" s="17">
        <v>243</v>
      </c>
      <c r="X6" s="17">
        <v>278</v>
      </c>
      <c r="Z6" s="99">
        <v>324</v>
      </c>
      <c r="AA6" s="17">
        <v>295</v>
      </c>
      <c r="AB6" s="17">
        <v>384</v>
      </c>
      <c r="AC6" s="17">
        <v>340</v>
      </c>
      <c r="AD6" s="17">
        <v>424</v>
      </c>
      <c r="AE6" s="17">
        <v>281</v>
      </c>
      <c r="AF6" s="17">
        <v>324</v>
      </c>
    </row>
    <row r="7" spans="1:32">
      <c r="A7" s="93">
        <v>150</v>
      </c>
      <c r="B7" s="99">
        <v>240</v>
      </c>
      <c r="C7" s="17">
        <v>219</v>
      </c>
      <c r="D7" s="17">
        <v>300</v>
      </c>
      <c r="E7" s="17">
        <v>258</v>
      </c>
      <c r="F7" s="17">
        <v>344</v>
      </c>
      <c r="G7" s="17">
        <v>261</v>
      </c>
      <c r="H7" s="80">
        <v>293</v>
      </c>
      <c r="J7" s="99">
        <v>318</v>
      </c>
      <c r="K7" s="17">
        <v>290</v>
      </c>
      <c r="L7" s="17">
        <v>393</v>
      </c>
      <c r="M7" s="17">
        <v>334</v>
      </c>
      <c r="N7" s="17">
        <v>441</v>
      </c>
      <c r="O7" s="17">
        <v>306</v>
      </c>
      <c r="P7" s="17">
        <v>343</v>
      </c>
      <c r="R7" s="99">
        <v>216</v>
      </c>
      <c r="S7" s="17">
        <v>196</v>
      </c>
      <c r="T7" s="17">
        <v>262</v>
      </c>
      <c r="U7" s="17">
        <v>225</v>
      </c>
      <c r="V7" s="17">
        <v>299</v>
      </c>
      <c r="W7" s="17">
        <v>217</v>
      </c>
      <c r="X7" s="17">
        <v>246</v>
      </c>
      <c r="Z7" s="99">
        <v>285</v>
      </c>
      <c r="AA7" s="17">
        <v>259</v>
      </c>
      <c r="AB7" s="17">
        <v>342</v>
      </c>
      <c r="AC7" s="17">
        <v>300</v>
      </c>
      <c r="AD7" s="17">
        <v>371</v>
      </c>
      <c r="AE7" s="17">
        <v>251</v>
      </c>
      <c r="AF7" s="17">
        <v>287</v>
      </c>
    </row>
    <row r="8" spans="1:32">
      <c r="A8" s="93">
        <v>120</v>
      </c>
      <c r="B8" s="99">
        <v>210</v>
      </c>
      <c r="C8" s="17">
        <v>192</v>
      </c>
      <c r="D8" s="17">
        <v>269</v>
      </c>
      <c r="E8" s="17">
        <v>232</v>
      </c>
      <c r="F8" s="17">
        <v>299</v>
      </c>
      <c r="G8" s="17">
        <v>231</v>
      </c>
      <c r="H8" s="80">
        <v>261</v>
      </c>
      <c r="J8" s="99">
        <v>278</v>
      </c>
      <c r="K8" s="17">
        <v>253</v>
      </c>
      <c r="L8" s="17">
        <v>354</v>
      </c>
      <c r="M8" s="17">
        <v>305</v>
      </c>
      <c r="N8" s="17">
        <v>382</v>
      </c>
      <c r="O8" s="17">
        <v>271</v>
      </c>
      <c r="P8" s="17">
        <v>306</v>
      </c>
      <c r="R8" s="99">
        <v>188</v>
      </c>
      <c r="S8" s="17">
        <v>172</v>
      </c>
      <c r="T8" s="17">
        <v>239</v>
      </c>
      <c r="U8" s="17">
        <v>206</v>
      </c>
      <c r="V8" s="17">
        <v>259</v>
      </c>
      <c r="W8" s="17">
        <v>192</v>
      </c>
      <c r="X8" s="17">
        <v>220</v>
      </c>
      <c r="Z8" s="99">
        <v>249</v>
      </c>
      <c r="AA8" s="17">
        <v>227</v>
      </c>
      <c r="AB8" s="17">
        <v>312</v>
      </c>
      <c r="AC8" s="17">
        <v>268</v>
      </c>
      <c r="AD8" s="17">
        <v>322</v>
      </c>
      <c r="AE8" s="17">
        <v>223</v>
      </c>
      <c r="AF8" s="17">
        <v>257</v>
      </c>
    </row>
    <row r="9" spans="1:32">
      <c r="A9" s="93">
        <v>95</v>
      </c>
      <c r="B9" s="99">
        <v>182</v>
      </c>
      <c r="C9" s="17">
        <v>167</v>
      </c>
      <c r="D9" s="17">
        <v>232</v>
      </c>
      <c r="E9" s="17">
        <v>201</v>
      </c>
      <c r="F9" s="17">
        <v>258</v>
      </c>
      <c r="G9" s="17">
        <v>204</v>
      </c>
      <c r="H9" s="80">
        <v>230</v>
      </c>
      <c r="J9" s="99">
        <v>241</v>
      </c>
      <c r="K9" s="17">
        <v>220</v>
      </c>
      <c r="L9" s="17">
        <v>306</v>
      </c>
      <c r="M9" s="17">
        <v>265</v>
      </c>
      <c r="N9" s="17">
        <v>328</v>
      </c>
      <c r="O9" s="17">
        <v>239</v>
      </c>
      <c r="P9" s="17">
        <v>270</v>
      </c>
      <c r="R9" s="99">
        <v>164</v>
      </c>
      <c r="S9" s="17">
        <v>150</v>
      </c>
      <c r="T9" s="17">
        <v>207</v>
      </c>
      <c r="U9" s="17">
        <v>179</v>
      </c>
      <c r="V9" s="17">
        <v>223</v>
      </c>
      <c r="W9" s="17">
        <v>169</v>
      </c>
      <c r="X9" s="17">
        <v>193</v>
      </c>
      <c r="Z9" s="99">
        <v>216</v>
      </c>
      <c r="AA9" s="17">
        <v>197</v>
      </c>
      <c r="AB9" s="17">
        <v>269</v>
      </c>
      <c r="AC9" s="17">
        <v>233</v>
      </c>
      <c r="AD9" s="17">
        <v>278</v>
      </c>
      <c r="AE9" s="17">
        <v>197</v>
      </c>
      <c r="AF9" s="17">
        <v>226</v>
      </c>
    </row>
    <row r="10" spans="1:32">
      <c r="A10" s="93">
        <v>70</v>
      </c>
      <c r="B10" s="99">
        <v>151</v>
      </c>
      <c r="C10" s="17">
        <v>139</v>
      </c>
      <c r="D10" s="17">
        <v>192</v>
      </c>
      <c r="E10" s="17">
        <v>168</v>
      </c>
      <c r="F10" s="17">
        <v>213</v>
      </c>
      <c r="G10" s="17">
        <v>173</v>
      </c>
      <c r="H10" s="80">
        <v>192</v>
      </c>
      <c r="J10" s="99">
        <v>200</v>
      </c>
      <c r="K10" s="17">
        <v>183</v>
      </c>
      <c r="L10" s="17">
        <v>253</v>
      </c>
      <c r="M10" s="17">
        <v>221</v>
      </c>
      <c r="N10" s="17">
        <v>269</v>
      </c>
      <c r="O10" s="17">
        <v>203</v>
      </c>
      <c r="P10" s="17">
        <v>225</v>
      </c>
      <c r="R10" s="99">
        <v>136</v>
      </c>
      <c r="S10" s="17">
        <v>125</v>
      </c>
      <c r="T10" s="17">
        <v>171</v>
      </c>
      <c r="U10" s="17">
        <v>149</v>
      </c>
      <c r="V10" s="17">
        <v>184</v>
      </c>
      <c r="W10" s="17">
        <v>143</v>
      </c>
      <c r="X10" s="17">
        <v>162</v>
      </c>
      <c r="Z10" s="99">
        <v>179</v>
      </c>
      <c r="AA10" s="17">
        <v>164</v>
      </c>
      <c r="AB10" s="17">
        <v>222</v>
      </c>
      <c r="AC10" s="17">
        <v>194</v>
      </c>
      <c r="AD10" s="17">
        <v>229</v>
      </c>
      <c r="AE10" s="17">
        <v>167</v>
      </c>
      <c r="AF10" s="17">
        <v>188</v>
      </c>
    </row>
    <row r="11" spans="1:32">
      <c r="A11" s="93">
        <v>50</v>
      </c>
      <c r="B11" s="99">
        <v>119</v>
      </c>
      <c r="C11" s="17">
        <v>110</v>
      </c>
      <c r="D11" s="17">
        <v>151</v>
      </c>
      <c r="E11" s="17">
        <v>133</v>
      </c>
      <c r="F11" s="17">
        <v>168</v>
      </c>
      <c r="G11" s="17">
        <v>140</v>
      </c>
      <c r="H11" s="80">
        <v>156</v>
      </c>
      <c r="J11" s="99">
        <v>158</v>
      </c>
      <c r="K11" s="17">
        <v>145</v>
      </c>
      <c r="L11" s="17">
        <v>198</v>
      </c>
      <c r="M11" s="17">
        <v>175</v>
      </c>
      <c r="N11" s="17">
        <v>209</v>
      </c>
      <c r="O11" s="17">
        <v>164</v>
      </c>
      <c r="P11" s="17">
        <v>183</v>
      </c>
      <c r="R11" s="99">
        <v>108</v>
      </c>
      <c r="S11" s="17">
        <v>99</v>
      </c>
      <c r="T11" s="17">
        <v>134</v>
      </c>
      <c r="U11" s="17">
        <v>118</v>
      </c>
      <c r="V11" s="17">
        <v>144</v>
      </c>
      <c r="W11" s="17">
        <v>116</v>
      </c>
      <c r="X11" s="17">
        <v>130</v>
      </c>
      <c r="Z11" s="99">
        <v>141</v>
      </c>
      <c r="AA11" s="17">
        <v>130</v>
      </c>
      <c r="AB11" s="17">
        <v>175</v>
      </c>
      <c r="AC11" s="17">
        <v>154</v>
      </c>
      <c r="AD11" s="17">
        <v>179</v>
      </c>
      <c r="AE11" s="17">
        <v>135</v>
      </c>
      <c r="AF11" s="17">
        <v>153</v>
      </c>
    </row>
    <row r="12" spans="1:32">
      <c r="A12" s="93">
        <v>35</v>
      </c>
      <c r="B12" s="99">
        <v>99</v>
      </c>
      <c r="C12" s="17">
        <v>92</v>
      </c>
      <c r="D12" s="17">
        <v>125</v>
      </c>
      <c r="E12" s="17">
        <v>111</v>
      </c>
      <c r="F12" s="17">
        <v>138</v>
      </c>
      <c r="G12" s="17">
        <v>119</v>
      </c>
      <c r="H12" s="80">
        <v>132</v>
      </c>
      <c r="J12" s="99">
        <v>131</v>
      </c>
      <c r="K12" s="17">
        <v>121</v>
      </c>
      <c r="L12" s="17">
        <v>164</v>
      </c>
      <c r="M12" s="17">
        <v>146</v>
      </c>
      <c r="N12" s="17">
        <v>171</v>
      </c>
      <c r="O12" s="17">
        <v>139</v>
      </c>
      <c r="P12" s="17">
        <v>155</v>
      </c>
      <c r="R12" s="99">
        <v>89</v>
      </c>
      <c r="S12" s="17">
        <v>83</v>
      </c>
      <c r="T12" s="17">
        <v>110</v>
      </c>
      <c r="U12" s="17">
        <v>99</v>
      </c>
      <c r="V12" s="17">
        <v>119</v>
      </c>
      <c r="W12" s="17">
        <v>98</v>
      </c>
      <c r="X12" s="17">
        <v>110</v>
      </c>
      <c r="Z12" s="99">
        <v>117</v>
      </c>
      <c r="AA12" s="17">
        <v>109</v>
      </c>
      <c r="AB12" s="17">
        <v>144</v>
      </c>
      <c r="AC12" s="17">
        <v>128</v>
      </c>
      <c r="AD12" s="17">
        <v>147</v>
      </c>
      <c r="AE12" s="17">
        <v>115</v>
      </c>
      <c r="AF12" s="17">
        <v>129</v>
      </c>
    </row>
    <row r="13" spans="1:32">
      <c r="A13" s="93">
        <v>25</v>
      </c>
      <c r="B13" s="99">
        <v>80</v>
      </c>
      <c r="C13" s="17">
        <v>75</v>
      </c>
      <c r="D13" s="17">
        <v>101</v>
      </c>
      <c r="E13" s="17">
        <v>90</v>
      </c>
      <c r="F13" s="17">
        <v>112</v>
      </c>
      <c r="G13" s="17">
        <v>99</v>
      </c>
      <c r="H13" s="80">
        <v>110</v>
      </c>
      <c r="J13" s="99">
        <v>106</v>
      </c>
      <c r="K13" s="17">
        <v>99</v>
      </c>
      <c r="L13" s="17">
        <v>133</v>
      </c>
      <c r="M13" s="17">
        <v>119</v>
      </c>
      <c r="N13" s="17">
        <v>138</v>
      </c>
      <c r="O13" s="17">
        <v>116</v>
      </c>
      <c r="P13" s="17">
        <v>129</v>
      </c>
      <c r="R13" s="99">
        <v>73</v>
      </c>
      <c r="S13" s="17">
        <v>68</v>
      </c>
      <c r="T13" s="17">
        <v>89</v>
      </c>
      <c r="U13" s="17">
        <v>80</v>
      </c>
      <c r="V13" s="17">
        <v>96</v>
      </c>
      <c r="W13" s="17">
        <v>82</v>
      </c>
      <c r="X13" s="17">
        <v>92</v>
      </c>
      <c r="Z13" s="99">
        <v>95</v>
      </c>
      <c r="AA13" s="17">
        <v>89</v>
      </c>
      <c r="AB13" s="17">
        <v>117</v>
      </c>
      <c r="AC13" s="17">
        <v>105</v>
      </c>
      <c r="AD13" s="17">
        <v>119</v>
      </c>
      <c r="AE13" s="17">
        <v>96</v>
      </c>
      <c r="AF13" s="17">
        <v>107</v>
      </c>
    </row>
    <row r="14" spans="1:32">
      <c r="A14" s="93">
        <v>16</v>
      </c>
      <c r="B14" s="99">
        <v>61</v>
      </c>
      <c r="C14" s="17">
        <v>57</v>
      </c>
      <c r="D14" s="17">
        <v>76</v>
      </c>
      <c r="E14" s="17">
        <v>69</v>
      </c>
      <c r="F14" s="17">
        <v>85</v>
      </c>
      <c r="G14" s="17">
        <v>78</v>
      </c>
      <c r="H14" s="80">
        <v>83</v>
      </c>
      <c r="J14" s="99">
        <v>81</v>
      </c>
      <c r="K14" s="17">
        <v>76</v>
      </c>
      <c r="L14" s="17">
        <v>100</v>
      </c>
      <c r="M14" s="17">
        <v>91</v>
      </c>
      <c r="N14" s="17">
        <v>107</v>
      </c>
      <c r="O14" s="17">
        <v>91</v>
      </c>
      <c r="P14" s="17">
        <v>100</v>
      </c>
      <c r="R14" s="99">
        <v>56</v>
      </c>
      <c r="S14" s="17">
        <v>52</v>
      </c>
      <c r="T14" s="17">
        <v>68</v>
      </c>
      <c r="U14" s="17">
        <v>62</v>
      </c>
      <c r="V14" s="17">
        <v>76</v>
      </c>
      <c r="W14" s="17">
        <v>64</v>
      </c>
      <c r="X14" s="17">
        <v>70</v>
      </c>
      <c r="Z14" s="99">
        <v>73</v>
      </c>
      <c r="AA14" s="17">
        <v>68</v>
      </c>
      <c r="AB14" s="17">
        <v>88</v>
      </c>
      <c r="AC14" s="17">
        <v>80</v>
      </c>
      <c r="AD14" s="17">
        <v>96</v>
      </c>
      <c r="AE14" s="17">
        <v>75</v>
      </c>
      <c r="AF14" s="17">
        <v>84</v>
      </c>
    </row>
    <row r="15" spans="1:32">
      <c r="A15" s="93">
        <v>10</v>
      </c>
      <c r="B15" s="99">
        <v>46</v>
      </c>
      <c r="C15" s="17">
        <v>43</v>
      </c>
      <c r="D15" s="17">
        <v>57</v>
      </c>
      <c r="E15" s="17">
        <v>52</v>
      </c>
      <c r="F15" s="17">
        <v>63</v>
      </c>
      <c r="G15" s="17">
        <v>60</v>
      </c>
      <c r="H15" s="80">
        <v>64</v>
      </c>
      <c r="J15" s="99">
        <v>61</v>
      </c>
      <c r="K15" s="17">
        <v>57</v>
      </c>
      <c r="L15" s="17">
        <v>75</v>
      </c>
      <c r="M15" s="17">
        <v>69</v>
      </c>
      <c r="N15" s="17">
        <v>80</v>
      </c>
      <c r="O15" s="17">
        <v>71</v>
      </c>
      <c r="P15" s="17">
        <v>77</v>
      </c>
      <c r="R15" s="99">
        <v>42</v>
      </c>
      <c r="S15" s="17">
        <v>39</v>
      </c>
      <c r="T15" s="17">
        <v>50</v>
      </c>
      <c r="U15" s="17">
        <v>46</v>
      </c>
      <c r="V15" s="17">
        <v>57</v>
      </c>
      <c r="W15" s="17">
        <v>50</v>
      </c>
      <c r="X15" s="17">
        <v>54</v>
      </c>
      <c r="Z15" s="99">
        <v>54</v>
      </c>
      <c r="AA15" s="17">
        <v>51</v>
      </c>
      <c r="AB15" s="17">
        <v>66</v>
      </c>
      <c r="AC15" s="17">
        <v>60</v>
      </c>
      <c r="AD15" s="17">
        <v>71</v>
      </c>
      <c r="AE15" s="17">
        <v>58</v>
      </c>
      <c r="AF15" s="17">
        <v>65</v>
      </c>
    </row>
    <row r="16" spans="1:32">
      <c r="A16" s="93">
        <v>6</v>
      </c>
      <c r="B16" s="99">
        <v>34</v>
      </c>
      <c r="C16" s="17">
        <v>32</v>
      </c>
      <c r="D16" s="17">
        <v>41</v>
      </c>
      <c r="E16" s="17">
        <v>38</v>
      </c>
      <c r="F16" s="17">
        <v>46</v>
      </c>
      <c r="G16" s="17">
        <v>46</v>
      </c>
      <c r="H16" s="80">
        <v>48</v>
      </c>
      <c r="J16" s="99">
        <v>45</v>
      </c>
      <c r="K16" s="17">
        <v>42</v>
      </c>
      <c r="L16" s="17">
        <v>54</v>
      </c>
      <c r="M16" s="17">
        <v>51</v>
      </c>
      <c r="N16" s="17">
        <v>58</v>
      </c>
      <c r="O16" s="17">
        <v>53</v>
      </c>
      <c r="P16" s="17">
        <v>58</v>
      </c>
      <c r="R16" s="99">
        <v>31</v>
      </c>
      <c r="S16" s="17">
        <v>29</v>
      </c>
      <c r="T16" s="17">
        <v>36</v>
      </c>
      <c r="U16" s="17">
        <v>34</v>
      </c>
      <c r="V16" s="17">
        <v>41</v>
      </c>
      <c r="W16" s="17">
        <v>38</v>
      </c>
      <c r="X16" s="17">
        <v>41</v>
      </c>
      <c r="Z16" s="99">
        <v>40</v>
      </c>
      <c r="AA16" s="17">
        <v>38</v>
      </c>
      <c r="AB16" s="17">
        <v>48</v>
      </c>
      <c r="AC16" s="17">
        <v>44</v>
      </c>
      <c r="AD16" s="17">
        <v>52</v>
      </c>
      <c r="AE16" s="17">
        <v>44</v>
      </c>
      <c r="AF16" s="17">
        <v>49</v>
      </c>
    </row>
    <row r="17" spans="1:34">
      <c r="A17" s="93">
        <v>4</v>
      </c>
      <c r="B17" s="99">
        <v>26</v>
      </c>
      <c r="C17" s="17">
        <v>25</v>
      </c>
      <c r="D17" s="17">
        <v>32</v>
      </c>
      <c r="E17" s="17">
        <v>30</v>
      </c>
      <c r="F17" s="17">
        <v>36</v>
      </c>
      <c r="G17" s="17">
        <v>37</v>
      </c>
      <c r="H17" s="80">
        <v>38</v>
      </c>
      <c r="J17" s="99">
        <v>35</v>
      </c>
      <c r="K17" s="17">
        <v>33</v>
      </c>
      <c r="L17" s="17">
        <v>42</v>
      </c>
      <c r="M17" s="17">
        <v>40</v>
      </c>
      <c r="N17" s="17">
        <v>45</v>
      </c>
      <c r="O17" s="17">
        <v>43</v>
      </c>
      <c r="P17" s="17">
        <v>46</v>
      </c>
      <c r="R17" s="99">
        <v>24</v>
      </c>
      <c r="S17" s="17">
        <v>23</v>
      </c>
      <c r="T17" s="17">
        <v>28</v>
      </c>
      <c r="U17" s="17">
        <v>27</v>
      </c>
      <c r="V17" s="17">
        <v>32</v>
      </c>
      <c r="W17" s="17">
        <v>30</v>
      </c>
      <c r="X17" s="17">
        <v>33</v>
      </c>
      <c r="Z17" s="99">
        <v>31</v>
      </c>
      <c r="AA17" s="17">
        <v>30</v>
      </c>
      <c r="AB17" s="17">
        <v>37</v>
      </c>
      <c r="AC17" s="17">
        <v>35</v>
      </c>
      <c r="AD17" s="17">
        <v>40</v>
      </c>
      <c r="AE17" s="17">
        <v>36</v>
      </c>
      <c r="AF17" s="17">
        <v>39</v>
      </c>
    </row>
    <row r="18" spans="1:34">
      <c r="A18" s="92">
        <v>2.5</v>
      </c>
      <c r="B18" s="98">
        <v>19.5</v>
      </c>
      <c r="C18" s="18">
        <v>18.5</v>
      </c>
      <c r="D18" s="17">
        <v>24</v>
      </c>
      <c r="E18" s="17">
        <v>23</v>
      </c>
      <c r="F18" s="17">
        <v>27</v>
      </c>
      <c r="G18" s="17">
        <v>29</v>
      </c>
      <c r="H18" s="80">
        <v>28</v>
      </c>
      <c r="J18" s="99">
        <v>26</v>
      </c>
      <c r="K18" s="17">
        <v>25</v>
      </c>
      <c r="L18" s="17">
        <v>31</v>
      </c>
      <c r="M18" s="17">
        <v>30</v>
      </c>
      <c r="N18" s="17">
        <v>33</v>
      </c>
      <c r="O18" s="17">
        <v>33</v>
      </c>
      <c r="P18" s="17">
        <v>35</v>
      </c>
      <c r="R18" s="99">
        <v>18</v>
      </c>
      <c r="S18" s="18">
        <v>17.5</v>
      </c>
      <c r="T18" s="17">
        <v>21</v>
      </c>
      <c r="U18" s="17">
        <v>20</v>
      </c>
      <c r="V18" s="17">
        <v>24</v>
      </c>
      <c r="W18" s="17">
        <v>24</v>
      </c>
      <c r="X18" s="17">
        <v>24</v>
      </c>
      <c r="Z18" s="99">
        <v>23</v>
      </c>
      <c r="AA18" s="17">
        <v>22</v>
      </c>
      <c r="AB18" s="17">
        <v>28</v>
      </c>
      <c r="AC18" s="17">
        <v>26</v>
      </c>
      <c r="AD18" s="17">
        <v>30</v>
      </c>
      <c r="AE18" s="17">
        <v>28</v>
      </c>
      <c r="AF18" s="17">
        <v>30</v>
      </c>
    </row>
    <row r="19" spans="1:34" ht="15" thickBot="1">
      <c r="A19" s="104">
        <v>1.5</v>
      </c>
      <c r="B19" s="108">
        <v>14.5</v>
      </c>
      <c r="C19" s="81">
        <v>14</v>
      </c>
      <c r="D19" s="105">
        <v>17.5</v>
      </c>
      <c r="E19" s="105">
        <v>16.5</v>
      </c>
      <c r="F19" s="105">
        <v>19.5</v>
      </c>
      <c r="G19" s="81">
        <v>22</v>
      </c>
      <c r="H19" s="82">
        <v>22</v>
      </c>
      <c r="J19" s="99">
        <v>19</v>
      </c>
      <c r="K19" s="18">
        <v>18.5</v>
      </c>
      <c r="L19" s="17">
        <v>23</v>
      </c>
      <c r="M19" s="17">
        <v>22</v>
      </c>
      <c r="N19" s="17">
        <v>24</v>
      </c>
      <c r="O19" s="17">
        <v>25</v>
      </c>
      <c r="P19" s="17">
        <v>27</v>
      </c>
      <c r="R19" s="98">
        <v>13.5</v>
      </c>
      <c r="S19" s="17">
        <v>13</v>
      </c>
      <c r="T19" s="18">
        <v>15.5</v>
      </c>
      <c r="U19" s="17">
        <v>15</v>
      </c>
      <c r="V19" s="18">
        <v>17.5</v>
      </c>
      <c r="W19" s="17">
        <v>18</v>
      </c>
      <c r="X19" s="17">
        <v>19</v>
      </c>
      <c r="Z19" s="99">
        <v>17</v>
      </c>
      <c r="AA19" s="18">
        <v>16.5</v>
      </c>
      <c r="AB19" s="17">
        <v>20</v>
      </c>
      <c r="AC19" s="18">
        <v>19.5</v>
      </c>
      <c r="AD19" s="17">
        <v>22</v>
      </c>
      <c r="AE19" s="17">
        <v>21</v>
      </c>
      <c r="AF19" s="17">
        <v>23</v>
      </c>
      <c r="AH19" s="19">
        <v>593</v>
      </c>
    </row>
    <row r="20" spans="1:34" ht="15" thickBot="1">
      <c r="A20" s="90"/>
      <c r="B20" s="25"/>
      <c r="C20" s="25"/>
      <c r="D20" s="25"/>
      <c r="E20" s="25"/>
      <c r="F20" s="25"/>
      <c r="G20" s="25"/>
      <c r="H20" s="2"/>
      <c r="J20" s="25"/>
      <c r="K20" s="25"/>
      <c r="L20" s="25"/>
      <c r="M20" s="25"/>
      <c r="N20" s="25"/>
      <c r="O20" s="25"/>
      <c r="P20" s="2"/>
      <c r="R20" s="25"/>
      <c r="S20" s="25"/>
      <c r="T20" s="25"/>
      <c r="U20" s="25"/>
      <c r="V20" s="25"/>
      <c r="W20" s="25"/>
      <c r="X20" s="2"/>
      <c r="Z20" s="25"/>
      <c r="AA20" s="25"/>
      <c r="AB20" s="25"/>
      <c r="AC20" s="25"/>
      <c r="AD20" s="25"/>
      <c r="AE20" s="25"/>
      <c r="AF20" s="2"/>
    </row>
    <row r="21" spans="1:34" ht="15" thickBot="1">
      <c r="A21" s="95" t="s">
        <v>130</v>
      </c>
      <c r="B21" s="89" t="s">
        <v>2</v>
      </c>
      <c r="C21" s="89" t="s">
        <v>3</v>
      </c>
      <c r="D21" s="89" t="s">
        <v>4</v>
      </c>
      <c r="E21" s="89" t="s">
        <v>5</v>
      </c>
      <c r="F21" s="89" t="s">
        <v>6</v>
      </c>
      <c r="G21" s="89" t="s">
        <v>28</v>
      </c>
      <c r="H21" s="6" t="s">
        <v>29</v>
      </c>
      <c r="J21" s="89" t="s">
        <v>2</v>
      </c>
      <c r="K21" s="89" t="s">
        <v>3</v>
      </c>
      <c r="L21" s="89" t="s">
        <v>4</v>
      </c>
      <c r="M21" s="89" t="s">
        <v>5</v>
      </c>
      <c r="N21" s="89" t="s">
        <v>6</v>
      </c>
      <c r="O21" s="89" t="s">
        <v>28</v>
      </c>
      <c r="P21" s="6" t="s">
        <v>29</v>
      </c>
      <c r="R21" s="89" t="s">
        <v>2</v>
      </c>
      <c r="S21" s="89" t="s">
        <v>3</v>
      </c>
      <c r="T21" s="89" t="s">
        <v>4</v>
      </c>
      <c r="U21" s="89" t="s">
        <v>5</v>
      </c>
      <c r="V21" s="89" t="s">
        <v>6</v>
      </c>
      <c r="W21" s="89" t="s">
        <v>28</v>
      </c>
      <c r="X21" s="6" t="s">
        <v>29</v>
      </c>
      <c r="Z21" s="89" t="s">
        <v>2</v>
      </c>
      <c r="AA21" s="89" t="s">
        <v>3</v>
      </c>
      <c r="AB21" s="89" t="s">
        <v>4</v>
      </c>
      <c r="AC21" s="89" t="s">
        <v>5</v>
      </c>
      <c r="AD21" s="89" t="s">
        <v>6</v>
      </c>
      <c r="AE21" s="89" t="s">
        <v>28</v>
      </c>
      <c r="AF21" s="6" t="s">
        <v>29</v>
      </c>
    </row>
    <row r="22" spans="1:34">
      <c r="A22" s="103">
        <v>300</v>
      </c>
      <c r="B22" s="101">
        <v>289</v>
      </c>
      <c r="C22" s="86">
        <v>263</v>
      </c>
      <c r="D22" s="86">
        <v>358</v>
      </c>
      <c r="E22" s="86">
        <v>308</v>
      </c>
      <c r="F22" s="86">
        <v>406</v>
      </c>
      <c r="G22" s="86">
        <v>296</v>
      </c>
      <c r="H22" s="106">
        <v>336</v>
      </c>
      <c r="I22" s="19"/>
      <c r="J22" s="99">
        <v>387</v>
      </c>
      <c r="K22" s="17">
        <v>352</v>
      </c>
      <c r="L22" s="17">
        <v>471</v>
      </c>
      <c r="M22" s="17">
        <v>415</v>
      </c>
      <c r="N22" s="17">
        <v>508</v>
      </c>
      <c r="O22" s="17">
        <v>346</v>
      </c>
      <c r="P22" s="106">
        <v>386</v>
      </c>
      <c r="R22" s="99">
        <v>261</v>
      </c>
      <c r="S22" s="17">
        <v>237</v>
      </c>
      <c r="T22" s="17">
        <v>306</v>
      </c>
      <c r="U22" s="17">
        <v>265</v>
      </c>
      <c r="V22" s="17">
        <v>351</v>
      </c>
      <c r="W22" s="17">
        <v>247</v>
      </c>
      <c r="X22" s="106">
        <v>282</v>
      </c>
      <c r="Z22" s="99">
        <v>344</v>
      </c>
      <c r="AA22" s="17">
        <v>313</v>
      </c>
      <c r="AB22" s="17">
        <v>402</v>
      </c>
      <c r="AC22" s="17">
        <v>364</v>
      </c>
      <c r="AD22" s="17">
        <v>440</v>
      </c>
      <c r="AE22" s="17">
        <v>286</v>
      </c>
      <c r="AF22" s="106">
        <v>326</v>
      </c>
    </row>
    <row r="23" spans="1:34">
      <c r="A23" s="93">
        <v>240</v>
      </c>
      <c r="B23" s="99">
        <v>252</v>
      </c>
      <c r="C23" s="17">
        <v>229</v>
      </c>
      <c r="D23" s="17">
        <v>312</v>
      </c>
      <c r="E23" s="17">
        <v>269</v>
      </c>
      <c r="F23" s="17">
        <v>352</v>
      </c>
      <c r="G23" s="17">
        <v>262</v>
      </c>
      <c r="H23" s="80">
        <v>298</v>
      </c>
      <c r="J23" s="99">
        <v>338</v>
      </c>
      <c r="K23" s="17">
        <v>307</v>
      </c>
      <c r="L23" s="17">
        <v>412</v>
      </c>
      <c r="M23" s="17">
        <v>358</v>
      </c>
      <c r="N23" s="17">
        <v>439</v>
      </c>
      <c r="O23" s="17">
        <v>307</v>
      </c>
      <c r="P23" s="80">
        <v>343</v>
      </c>
      <c r="R23" s="99">
        <v>227</v>
      </c>
      <c r="S23" s="17">
        <v>207</v>
      </c>
      <c r="T23" s="17">
        <v>269</v>
      </c>
      <c r="U23" s="17">
        <v>232</v>
      </c>
      <c r="V23" s="17">
        <v>305</v>
      </c>
      <c r="W23" s="17">
        <v>218</v>
      </c>
      <c r="X23" s="80">
        <v>250</v>
      </c>
      <c r="Z23" s="99">
        <v>300</v>
      </c>
      <c r="AA23" s="17">
        <v>273</v>
      </c>
      <c r="AB23" s="17">
        <v>351</v>
      </c>
      <c r="AC23" s="17">
        <v>318</v>
      </c>
      <c r="AD23" s="17">
        <v>382</v>
      </c>
      <c r="AE23" s="17">
        <v>253</v>
      </c>
      <c r="AF23" s="80">
        <v>290</v>
      </c>
    </row>
    <row r="24" spans="1:34">
      <c r="A24" s="93">
        <v>185</v>
      </c>
      <c r="B24" s="99">
        <v>215</v>
      </c>
      <c r="C24" s="17">
        <v>195</v>
      </c>
      <c r="D24" s="17">
        <v>266</v>
      </c>
      <c r="E24" s="17">
        <v>230</v>
      </c>
      <c r="F24" s="17">
        <v>298</v>
      </c>
      <c r="G24" s="17">
        <v>228</v>
      </c>
      <c r="H24" s="80">
        <v>255</v>
      </c>
      <c r="J24" s="99">
        <v>288</v>
      </c>
      <c r="K24" s="17">
        <v>262</v>
      </c>
      <c r="L24" s="17">
        <v>351</v>
      </c>
      <c r="M24" s="17">
        <v>300</v>
      </c>
      <c r="N24" s="17">
        <v>371</v>
      </c>
      <c r="O24" s="17">
        <v>267</v>
      </c>
      <c r="P24" s="80">
        <v>296</v>
      </c>
      <c r="R24" s="99">
        <v>194</v>
      </c>
      <c r="S24" s="17">
        <v>176</v>
      </c>
      <c r="T24" s="17">
        <v>230</v>
      </c>
      <c r="U24" s="17">
        <v>199</v>
      </c>
      <c r="V24" s="17">
        <v>259</v>
      </c>
      <c r="W24" s="17">
        <v>190</v>
      </c>
      <c r="X24" s="80">
        <v>214</v>
      </c>
      <c r="Z24" s="99">
        <v>256</v>
      </c>
      <c r="AA24" s="17">
        <v>233</v>
      </c>
      <c r="AB24" s="17">
        <v>300</v>
      </c>
      <c r="AC24" s="17">
        <v>272</v>
      </c>
      <c r="AD24" s="17">
        <v>323</v>
      </c>
      <c r="AE24" s="17">
        <v>220</v>
      </c>
      <c r="AF24" s="80">
        <v>250</v>
      </c>
    </row>
    <row r="25" spans="1:34">
      <c r="A25" s="93">
        <v>150</v>
      </c>
      <c r="B25" s="99">
        <v>189</v>
      </c>
      <c r="C25" s="17">
        <v>172</v>
      </c>
      <c r="D25" s="17">
        <v>234</v>
      </c>
      <c r="E25" s="17">
        <v>201</v>
      </c>
      <c r="F25" s="17">
        <v>261</v>
      </c>
      <c r="G25" s="17">
        <v>204</v>
      </c>
      <c r="H25" s="80">
        <v>224</v>
      </c>
      <c r="J25" s="99">
        <v>253</v>
      </c>
      <c r="K25" s="17">
        <v>230</v>
      </c>
      <c r="L25" s="17">
        <v>307</v>
      </c>
      <c r="M25" s="17">
        <v>261</v>
      </c>
      <c r="N25" s="17">
        <v>324</v>
      </c>
      <c r="O25" s="17">
        <v>238</v>
      </c>
      <c r="P25" s="80">
        <v>261</v>
      </c>
      <c r="R25" s="99">
        <v>170</v>
      </c>
      <c r="S25" s="17">
        <v>155</v>
      </c>
      <c r="T25" s="17">
        <v>204</v>
      </c>
      <c r="U25" s="17">
        <v>176</v>
      </c>
      <c r="V25" s="17">
        <v>227</v>
      </c>
      <c r="W25" s="17">
        <v>169</v>
      </c>
      <c r="X25" s="80">
        <v>189</v>
      </c>
      <c r="Z25" s="99">
        <v>226</v>
      </c>
      <c r="AA25" s="17">
        <v>206</v>
      </c>
      <c r="AB25" s="17">
        <v>267</v>
      </c>
      <c r="AC25" s="17">
        <v>240</v>
      </c>
      <c r="AD25" s="17">
        <v>283</v>
      </c>
      <c r="AE25" s="17">
        <v>197</v>
      </c>
      <c r="AF25" s="80">
        <v>220</v>
      </c>
    </row>
    <row r="26" spans="1:34">
      <c r="A26" s="93">
        <v>120</v>
      </c>
      <c r="B26" s="99">
        <v>164</v>
      </c>
      <c r="C26" s="17">
        <v>150</v>
      </c>
      <c r="D26" s="17">
        <v>210</v>
      </c>
      <c r="E26" s="17">
        <v>181</v>
      </c>
      <c r="F26" s="17">
        <v>226</v>
      </c>
      <c r="G26" s="17">
        <v>180</v>
      </c>
      <c r="H26" s="80">
        <v>200</v>
      </c>
      <c r="J26" s="99">
        <v>220</v>
      </c>
      <c r="K26" s="17">
        <v>201</v>
      </c>
      <c r="L26" s="17">
        <v>281</v>
      </c>
      <c r="M26" s="17">
        <v>242</v>
      </c>
      <c r="N26" s="17">
        <v>280</v>
      </c>
      <c r="O26" s="17">
        <v>211</v>
      </c>
      <c r="P26" s="17">
        <v>233</v>
      </c>
      <c r="R26" s="99">
        <v>149</v>
      </c>
      <c r="S26" s="17">
        <v>135</v>
      </c>
      <c r="T26" s="17">
        <v>186</v>
      </c>
      <c r="U26" s="17">
        <v>160</v>
      </c>
      <c r="V26" s="17">
        <v>197</v>
      </c>
      <c r="W26" s="17">
        <v>150</v>
      </c>
      <c r="X26" s="17">
        <v>169</v>
      </c>
      <c r="Z26" s="99">
        <v>197</v>
      </c>
      <c r="AA26" s="17">
        <v>180</v>
      </c>
      <c r="AB26" s="17">
        <v>251</v>
      </c>
      <c r="AC26" s="17">
        <v>216</v>
      </c>
      <c r="AD26" s="17">
        <v>245</v>
      </c>
      <c r="AE26" s="17">
        <v>174</v>
      </c>
      <c r="AF26" s="17">
        <v>197</v>
      </c>
    </row>
    <row r="27" spans="1:34">
      <c r="A27" s="93">
        <v>95</v>
      </c>
      <c r="B27" s="99">
        <v>142</v>
      </c>
      <c r="C27" s="17">
        <v>130</v>
      </c>
      <c r="D27" s="17">
        <v>181</v>
      </c>
      <c r="E27" s="17">
        <v>157</v>
      </c>
      <c r="F27" s="17">
        <v>195</v>
      </c>
      <c r="G27" s="17">
        <v>159</v>
      </c>
      <c r="H27" s="80">
        <v>173</v>
      </c>
      <c r="J27" s="99">
        <v>191</v>
      </c>
      <c r="K27" s="17">
        <v>175</v>
      </c>
      <c r="L27" s="17">
        <v>242</v>
      </c>
      <c r="M27" s="17">
        <v>210</v>
      </c>
      <c r="N27" s="17">
        <v>241</v>
      </c>
      <c r="O27" s="17">
        <v>186</v>
      </c>
      <c r="P27" s="17">
        <v>204</v>
      </c>
      <c r="R27" s="99">
        <v>129</v>
      </c>
      <c r="S27" s="17">
        <v>118</v>
      </c>
      <c r="T27" s="17">
        <v>161</v>
      </c>
      <c r="U27" s="17">
        <v>139</v>
      </c>
      <c r="V27" s="17">
        <v>170</v>
      </c>
      <c r="W27" s="17">
        <v>132</v>
      </c>
      <c r="X27" s="17">
        <v>148</v>
      </c>
      <c r="Z27" s="99">
        <v>171</v>
      </c>
      <c r="AA27" s="17">
        <v>157</v>
      </c>
      <c r="AB27" s="17">
        <v>217</v>
      </c>
      <c r="AC27" s="17">
        <v>188</v>
      </c>
      <c r="AD27" s="17">
        <v>211</v>
      </c>
      <c r="AE27" s="17">
        <v>154</v>
      </c>
      <c r="AF27" s="17">
        <v>172</v>
      </c>
    </row>
    <row r="28" spans="1:34">
      <c r="A28" s="93">
        <v>70</v>
      </c>
      <c r="B28" s="99">
        <v>118</v>
      </c>
      <c r="C28" s="17">
        <v>108</v>
      </c>
      <c r="D28" s="17">
        <v>150</v>
      </c>
      <c r="E28" s="17">
        <v>131</v>
      </c>
      <c r="F28" s="17">
        <v>160</v>
      </c>
      <c r="G28" s="17">
        <v>135</v>
      </c>
      <c r="H28" s="80">
        <v>145</v>
      </c>
      <c r="J28" s="99">
        <v>158</v>
      </c>
      <c r="K28" s="17">
        <v>145</v>
      </c>
      <c r="L28" s="17">
        <v>200</v>
      </c>
      <c r="M28" s="17">
        <v>175</v>
      </c>
      <c r="N28" s="17">
        <v>198</v>
      </c>
      <c r="O28" s="17">
        <v>158</v>
      </c>
      <c r="P28" s="17">
        <v>170</v>
      </c>
      <c r="R28" s="99">
        <v>107</v>
      </c>
      <c r="S28" s="17">
        <v>98</v>
      </c>
      <c r="T28" s="17">
        <v>133</v>
      </c>
      <c r="U28" s="17">
        <v>116</v>
      </c>
      <c r="V28" s="17">
        <v>140</v>
      </c>
      <c r="W28" s="17">
        <v>112</v>
      </c>
      <c r="X28" s="17">
        <v>122</v>
      </c>
      <c r="Z28" s="99">
        <v>142</v>
      </c>
      <c r="AA28" s="17">
        <v>131</v>
      </c>
      <c r="AB28" s="17">
        <v>179</v>
      </c>
      <c r="AC28" s="17">
        <v>156</v>
      </c>
      <c r="AD28" s="17">
        <v>174</v>
      </c>
      <c r="AE28" s="17">
        <v>130</v>
      </c>
      <c r="AF28" s="17">
        <v>144</v>
      </c>
    </row>
    <row r="29" spans="1:34">
      <c r="A29" s="93">
        <v>50</v>
      </c>
      <c r="B29" s="99">
        <v>93</v>
      </c>
      <c r="C29" s="17">
        <v>86</v>
      </c>
      <c r="D29" s="17">
        <v>118</v>
      </c>
      <c r="E29" s="17">
        <v>104</v>
      </c>
      <c r="F29" s="17">
        <v>125</v>
      </c>
      <c r="G29" s="17">
        <v>109</v>
      </c>
      <c r="H29" s="80">
        <v>117</v>
      </c>
      <c r="J29" s="99">
        <v>125</v>
      </c>
      <c r="K29" s="17">
        <v>115</v>
      </c>
      <c r="L29" s="17">
        <v>157</v>
      </c>
      <c r="M29" s="17">
        <v>138</v>
      </c>
      <c r="N29" s="17">
        <v>154</v>
      </c>
      <c r="O29" s="17">
        <v>128</v>
      </c>
      <c r="P29" s="17">
        <v>139</v>
      </c>
      <c r="R29" s="99">
        <v>84</v>
      </c>
      <c r="S29" s="17">
        <v>78</v>
      </c>
      <c r="T29" s="17">
        <v>104</v>
      </c>
      <c r="U29" s="17">
        <v>92</v>
      </c>
      <c r="V29" s="17">
        <v>110</v>
      </c>
      <c r="W29" s="17">
        <v>91</v>
      </c>
      <c r="X29" s="17">
        <v>99</v>
      </c>
      <c r="Z29" s="99">
        <v>113</v>
      </c>
      <c r="AA29" s="17">
        <v>104</v>
      </c>
      <c r="AB29" s="17">
        <v>140</v>
      </c>
      <c r="AC29" s="17">
        <v>124</v>
      </c>
      <c r="AD29" s="17">
        <v>136</v>
      </c>
      <c r="AE29" s="17">
        <v>106</v>
      </c>
      <c r="AF29" s="17">
        <v>117</v>
      </c>
    </row>
    <row r="30" spans="1:34">
      <c r="A30" s="93">
        <v>35</v>
      </c>
      <c r="B30" s="99">
        <v>77</v>
      </c>
      <c r="C30" s="17">
        <v>71</v>
      </c>
      <c r="D30" s="17">
        <v>97</v>
      </c>
      <c r="E30" s="17">
        <v>86</v>
      </c>
      <c r="F30" s="17">
        <v>103</v>
      </c>
      <c r="G30" s="17">
        <v>93</v>
      </c>
      <c r="H30" s="80">
        <v>98</v>
      </c>
      <c r="J30" s="99">
        <v>103</v>
      </c>
      <c r="K30" s="17">
        <v>96</v>
      </c>
      <c r="L30" s="17">
        <v>130</v>
      </c>
      <c r="M30" s="17">
        <v>115</v>
      </c>
      <c r="N30" s="17">
        <v>126</v>
      </c>
      <c r="O30" s="17">
        <v>108</v>
      </c>
      <c r="P30" s="17">
        <v>117</v>
      </c>
      <c r="R30" s="99">
        <v>70</v>
      </c>
      <c r="S30" s="17">
        <v>65</v>
      </c>
      <c r="T30" s="17">
        <v>86</v>
      </c>
      <c r="U30" s="17">
        <v>77</v>
      </c>
      <c r="V30" s="17">
        <v>90</v>
      </c>
      <c r="W30" s="17">
        <v>77</v>
      </c>
      <c r="X30" s="17">
        <v>83</v>
      </c>
      <c r="Z30" s="99">
        <v>94</v>
      </c>
      <c r="AA30" s="17">
        <v>87</v>
      </c>
      <c r="AB30" s="17">
        <v>116</v>
      </c>
      <c r="AC30" s="17">
        <v>103</v>
      </c>
      <c r="AD30" s="17">
        <v>112</v>
      </c>
      <c r="AE30" s="17">
        <v>90</v>
      </c>
      <c r="AF30" s="17">
        <v>98</v>
      </c>
    </row>
    <row r="31" spans="1:34">
      <c r="A31" s="93">
        <v>25</v>
      </c>
      <c r="B31" s="99">
        <v>63</v>
      </c>
      <c r="C31" s="17">
        <v>58</v>
      </c>
      <c r="D31" s="17">
        <v>79</v>
      </c>
      <c r="E31" s="17">
        <v>71</v>
      </c>
      <c r="F31" s="17">
        <v>83</v>
      </c>
      <c r="G31" s="17">
        <v>77</v>
      </c>
      <c r="H31" s="80">
        <v>82</v>
      </c>
      <c r="J31" s="99">
        <v>84</v>
      </c>
      <c r="K31" s="17">
        <v>78</v>
      </c>
      <c r="L31" s="17">
        <v>105</v>
      </c>
      <c r="M31" s="17">
        <v>94</v>
      </c>
      <c r="N31" s="17">
        <v>101</v>
      </c>
      <c r="O31" s="17">
        <v>90</v>
      </c>
      <c r="P31" s="17">
        <v>98</v>
      </c>
      <c r="R31" s="99">
        <v>57</v>
      </c>
      <c r="S31" s="17">
        <v>53</v>
      </c>
      <c r="T31" s="17">
        <v>70</v>
      </c>
      <c r="U31" s="17">
        <v>62</v>
      </c>
      <c r="V31" s="17">
        <v>73</v>
      </c>
      <c r="W31" s="17">
        <v>64</v>
      </c>
      <c r="X31" s="17">
        <v>69</v>
      </c>
      <c r="Z31" s="99">
        <v>76</v>
      </c>
      <c r="AA31" s="17">
        <v>71</v>
      </c>
      <c r="AB31" s="17">
        <v>93</v>
      </c>
      <c r="AC31" s="17">
        <v>84</v>
      </c>
      <c r="AD31" s="17">
        <v>90</v>
      </c>
      <c r="AE31" s="17">
        <v>75</v>
      </c>
      <c r="AF31" s="17">
        <v>82</v>
      </c>
    </row>
    <row r="32" spans="1:34">
      <c r="A32" s="93">
        <v>16</v>
      </c>
      <c r="B32" s="99">
        <v>48</v>
      </c>
      <c r="C32" s="17">
        <v>44</v>
      </c>
      <c r="D32" s="17">
        <v>60</v>
      </c>
      <c r="E32" s="17">
        <v>54</v>
      </c>
      <c r="F32" s="17">
        <v>66</v>
      </c>
      <c r="G32" s="17">
        <v>61</v>
      </c>
      <c r="H32" s="80">
        <v>63</v>
      </c>
      <c r="J32" s="99">
        <v>64</v>
      </c>
      <c r="K32" s="17">
        <v>60</v>
      </c>
      <c r="L32" s="17">
        <v>79</v>
      </c>
      <c r="M32" s="17">
        <v>72</v>
      </c>
      <c r="N32" s="17">
        <v>84</v>
      </c>
      <c r="O32" s="17">
        <v>71</v>
      </c>
      <c r="P32" s="17">
        <v>76</v>
      </c>
      <c r="R32" s="99">
        <v>43</v>
      </c>
      <c r="S32" s="17">
        <v>41</v>
      </c>
      <c r="T32" s="17">
        <v>53</v>
      </c>
      <c r="U32" s="17">
        <v>48</v>
      </c>
      <c r="V32" s="17">
        <v>59</v>
      </c>
      <c r="W32" s="17">
        <v>50</v>
      </c>
      <c r="X32" s="17">
        <v>53</v>
      </c>
      <c r="Z32" s="99">
        <v>58</v>
      </c>
      <c r="AA32" s="17">
        <v>55</v>
      </c>
      <c r="AB32" s="17">
        <v>71</v>
      </c>
      <c r="AC32" s="17">
        <v>64</v>
      </c>
      <c r="AD32" s="17">
        <v>76</v>
      </c>
      <c r="AE32" s="17">
        <v>59</v>
      </c>
      <c r="AF32" s="17">
        <v>64</v>
      </c>
    </row>
    <row r="33" spans="1:33">
      <c r="A33" s="93">
        <v>10</v>
      </c>
      <c r="B33" s="99">
        <v>36</v>
      </c>
      <c r="C33" s="17">
        <v>33</v>
      </c>
      <c r="D33" s="17">
        <v>44</v>
      </c>
      <c r="E33" s="17">
        <v>41</v>
      </c>
      <c r="F33" s="17">
        <v>49</v>
      </c>
      <c r="G33" s="17">
        <v>47</v>
      </c>
      <c r="H33" s="16"/>
      <c r="J33" s="99">
        <v>48</v>
      </c>
      <c r="K33" s="17">
        <v>45</v>
      </c>
      <c r="L33" s="17">
        <v>59</v>
      </c>
      <c r="M33" s="17">
        <v>54</v>
      </c>
      <c r="N33" s="17">
        <v>62</v>
      </c>
      <c r="O33" s="17">
        <v>55</v>
      </c>
      <c r="P33" s="51"/>
      <c r="R33" s="99">
        <v>32</v>
      </c>
      <c r="S33" s="17">
        <v>31</v>
      </c>
      <c r="T33" s="17">
        <v>39</v>
      </c>
      <c r="U33" s="17">
        <v>36</v>
      </c>
      <c r="V33" s="17">
        <v>44</v>
      </c>
      <c r="W33" s="17">
        <v>39</v>
      </c>
      <c r="X33" s="51"/>
      <c r="Z33" s="99">
        <v>44</v>
      </c>
      <c r="AA33" s="17">
        <v>41</v>
      </c>
      <c r="AB33" s="17">
        <v>52</v>
      </c>
      <c r="AC33" s="17">
        <v>48</v>
      </c>
      <c r="AD33" s="17">
        <v>57</v>
      </c>
      <c r="AE33" s="17">
        <v>46</v>
      </c>
      <c r="AF33" s="51"/>
    </row>
    <row r="34" spans="1:33">
      <c r="A34" s="93">
        <v>6</v>
      </c>
      <c r="B34" s="99">
        <v>26</v>
      </c>
      <c r="C34" s="17">
        <v>25</v>
      </c>
      <c r="D34" s="17">
        <v>32</v>
      </c>
      <c r="E34" s="17">
        <v>30</v>
      </c>
      <c r="F34" s="17">
        <v>36</v>
      </c>
      <c r="G34" s="17">
        <v>36</v>
      </c>
      <c r="H34" s="16"/>
      <c r="J34" s="99">
        <v>35</v>
      </c>
      <c r="K34" s="17">
        <v>33</v>
      </c>
      <c r="L34" s="17">
        <v>43</v>
      </c>
      <c r="M34" s="17">
        <v>40</v>
      </c>
      <c r="N34" s="17">
        <v>45</v>
      </c>
      <c r="O34" s="17">
        <v>42</v>
      </c>
      <c r="P34" s="51"/>
      <c r="R34" s="99">
        <v>24</v>
      </c>
      <c r="S34" s="17">
        <v>23</v>
      </c>
      <c r="T34" s="17">
        <v>28</v>
      </c>
      <c r="U34" s="17">
        <v>27</v>
      </c>
      <c r="V34" s="17">
        <v>32</v>
      </c>
      <c r="W34" s="17">
        <v>30</v>
      </c>
      <c r="X34" s="51"/>
      <c r="Z34" s="99">
        <v>32</v>
      </c>
      <c r="AA34" s="17">
        <v>31</v>
      </c>
      <c r="AB34" s="17">
        <v>38</v>
      </c>
      <c r="AC34" s="17">
        <v>35</v>
      </c>
      <c r="AD34" s="17">
        <v>41</v>
      </c>
      <c r="AE34" s="17">
        <v>35</v>
      </c>
      <c r="AF34" s="51"/>
    </row>
    <row r="35" spans="1:33">
      <c r="A35" s="93">
        <v>4</v>
      </c>
      <c r="B35" s="99">
        <v>20</v>
      </c>
      <c r="C35" s="18">
        <v>19.5</v>
      </c>
      <c r="D35" s="17">
        <v>25</v>
      </c>
      <c r="E35" s="17">
        <v>24</v>
      </c>
      <c r="F35" s="17">
        <v>28</v>
      </c>
      <c r="G35" s="17">
        <v>29</v>
      </c>
      <c r="H35" s="16"/>
      <c r="J35" s="99">
        <v>27</v>
      </c>
      <c r="K35" s="17">
        <v>26</v>
      </c>
      <c r="L35" s="17">
        <v>33</v>
      </c>
      <c r="M35" s="17">
        <v>31</v>
      </c>
      <c r="N35" s="17">
        <v>35</v>
      </c>
      <c r="O35" s="17">
        <v>33</v>
      </c>
      <c r="P35" s="51"/>
      <c r="R35" s="98">
        <v>18.5</v>
      </c>
      <c r="S35" s="18">
        <v>17.5</v>
      </c>
      <c r="T35" s="17">
        <v>22</v>
      </c>
      <c r="U35" s="17">
        <v>21</v>
      </c>
      <c r="V35" s="17">
        <v>25</v>
      </c>
      <c r="W35" s="17">
        <v>24</v>
      </c>
      <c r="X35" s="51"/>
      <c r="Z35" s="99">
        <v>25</v>
      </c>
      <c r="AA35" s="17">
        <v>24</v>
      </c>
      <c r="AB35" s="17">
        <v>29</v>
      </c>
      <c r="AC35" s="17">
        <v>28</v>
      </c>
      <c r="AD35" s="17">
        <v>32</v>
      </c>
      <c r="AE35" s="17">
        <v>28</v>
      </c>
      <c r="AF35" s="51"/>
    </row>
    <row r="36" spans="1:33" ht="15" thickBot="1">
      <c r="A36" s="104">
        <v>2.5</v>
      </c>
      <c r="B36" s="100">
        <v>15</v>
      </c>
      <c r="C36" s="105">
        <v>14.5</v>
      </c>
      <c r="D36" s="105">
        <v>18.5</v>
      </c>
      <c r="E36" s="105">
        <v>17.5</v>
      </c>
      <c r="F36" s="81">
        <v>21</v>
      </c>
      <c r="G36" s="81">
        <v>22</v>
      </c>
      <c r="H36" s="107"/>
      <c r="J36" s="100">
        <v>20</v>
      </c>
      <c r="K36" s="105">
        <v>19.5</v>
      </c>
      <c r="L36" s="81">
        <v>25</v>
      </c>
      <c r="M36" s="81">
        <v>23</v>
      </c>
      <c r="N36" s="81">
        <v>26</v>
      </c>
      <c r="O36" s="81">
        <v>26</v>
      </c>
      <c r="P36" s="111"/>
      <c r="R36" s="100">
        <v>14</v>
      </c>
      <c r="S36" s="105">
        <v>13.5</v>
      </c>
      <c r="T36" s="105">
        <v>16.5</v>
      </c>
      <c r="U36" s="105">
        <v>15.5</v>
      </c>
      <c r="V36" s="105">
        <v>18.5</v>
      </c>
      <c r="W36" s="105">
        <v>18.5</v>
      </c>
      <c r="X36" s="111"/>
      <c r="Z36" s="100">
        <v>19</v>
      </c>
      <c r="AA36" s="81">
        <v>18</v>
      </c>
      <c r="AB36" s="81">
        <v>22</v>
      </c>
      <c r="AC36" s="81">
        <v>21</v>
      </c>
      <c r="AD36" s="81">
        <v>24</v>
      </c>
      <c r="AE36" s="81">
        <v>22</v>
      </c>
      <c r="AF36" s="111"/>
    </row>
    <row r="38" spans="1:33">
      <c r="B38" t="b">
        <f>IF($B$40="A1",INDEX('Ark4'!$A$4:$A$19,MATCH($C$41,'Ark4'!B4:B19,-1),'Ark4'!$A$2),IF($B$40="A2",INDEX('Ark4'!$A$4:$A$19,MATCH($C$41,'Ark4'!C4:C19,-1),'Ark4'!$A$2),IF($B$40="B1",INDEX('Ark4'!$A$4:$A$19,MATCH($C$41,'Ark4'!D4:D19,-1),'Ark4'!$A$2),IF($B$40="B2",INDEX('Ark4'!$A$4:$A$19,MATCH($C$41,'Ark4'!E4:E19,-1),'Ark4'!$A$2),IF($B$40="C1",INDEX('Ark4'!$A$4:$A$19,MATCH($C$41,'Ark4'!F4:F19,-1),'Ark4'!$A$2),IF($B$40="D1",INDEX('Ark4'!$A$4:$A$19,MATCH($C$41,'Ark4'!G4:G19,-1),'Ark4'!$A$2),IF($B$40="D2",INDEX('Ark4'!$A$4:$A$19,MATCH($C$41,'Ark4'!H4:H19,-1),'Ark4'!$A$2))))))))</f>
        <v>0</v>
      </c>
      <c r="C38" t="b">
        <f>IF($B$40="A2",INDEX('Ark4'!$A$4:$A$19,MATCH($C$41,'Ark4'!C4:C19,-1),'Ark4'!$A$2),IF($B$40="B1",INDEX('Ark4'!$A$4:$A$19,MATCH($C$41,'Ark4'!D4:D19,-1),'Ark4'!$A$2),IF($B$40="B2",INDEX('Ark4'!$A$4:$A$19,MATCH($C$41,'Ark4'!E4:E19,-1),'Ark4'!$A$2),IF($B$40="C1",INDEX('Ark4'!$A$4:$A$19,MATCH($C$41,'Ark4'!F4:F19,-1),'Ark4'!$A$2),IF($B$40="D1",INDEX('Ark4'!$A$4:$A$19,MATCH($C$41,'Ark4'!G4:G19,-1),'Ark4'!$A$2),IF($B$40="D2",INDEX('Ark4'!$A$4:$A$19,MATCH($C$41,'Ark4'!H4:H19,-1),'Ark4'!$A$2)))))))</f>
        <v>0</v>
      </c>
      <c r="D38" t="b">
        <f>IF($B$40="B1",INDEX('Ark4'!$A$4:$A$19,MATCH($C$41,'Ark4'!D4:D19,-1),'Ark4'!$A$2),IF($B$40="B2",INDEX('Ark4'!$A$4:$A$19,MATCH($C$41,'Ark4'!E4:E19,-1),'Ark4'!$A$2),IF($B$40="C1",INDEX('Ark4'!$A$4:$A$19,MATCH($C$41,'Ark4'!F4:F19,-1),'Ark4'!$A$2),IF($B$40="D1",INDEX('Ark4'!$A$4:$A$19,MATCH($C$41,'Ark4'!G4:G19,-1),'Ark4'!$A$2),IF($B$40="D2",INDEX('Ark4'!$A$4:$A$19,MATCH($C$41,'Ark4'!H4:H19,-1),'Ark4'!$A$2))))))</f>
        <v>0</v>
      </c>
      <c r="E38" t="b">
        <f>IF($B$40="B2",INDEX('Ark4'!$A$4:$A$19,MATCH($C$41,'Ark4'!E4:E19,-1),'Ark4'!$A$2),IF($B$40="C1",INDEX('Ark4'!$A$4:$A$19,MATCH($C$41,'Ark4'!F4:F19,-1),'Ark4'!$A$2),IF($B$40="D1",INDEX('Ark4'!$A$4:$A$19,MATCH($C$41,'Ark4'!G4:G19,-1),'Ark4'!$A$2),IF($B$40="D2",INDEX('Ark4'!$A$4:$A$19,MATCH($C$41,'Ark4'!H4:H19,-1),'Ark4'!$A$2)))))</f>
        <v>0</v>
      </c>
      <c r="F38" t="b">
        <f>IF($B$40="C1",INDEX('Ark4'!$A$4:$A$19,MATCH($C$41,'Ark4'!F4:F19,-1),'Ark4'!$A$2),IF($B$40="D1",INDEX('Ark4'!$A$4:$A$19,MATCH($C$41,'Ark4'!G4:G19,-1),'Ark4'!$A$2),IF($B$40="D2",INDEX('Ark4'!$A$4:$A$19,MATCH($C$41,'Ark4'!H4:H19,-1),'Ark4'!$A$2))))</f>
        <v>0</v>
      </c>
      <c r="G38" t="b">
        <f>IF($B$40="D1",INDEX('Ark4'!$A$4:$A$19,MATCH($C$41,'Ark4'!G4:G19,-1),'Ark4'!$A$2),IF($B$40="D2",INDEX('Ark4'!$A$4:$A$19,MATCH($C$41,'Ark4'!H4:H19,-1),'Ark4'!$A$2)))</f>
        <v>0</v>
      </c>
      <c r="H38" t="b">
        <f>IF($B$40="D2",INDEX('Ark4'!$A$4:$A$19,MATCH($C$41,'Ark4'!H4:H19,-1),'Ark4'!$A$2))</f>
        <v>0</v>
      </c>
      <c r="J38" t="b">
        <f>IF($B$40="A1",INDEX('Ark4'!$A$4:$A$19,MATCH($C$41,'Ark4'!$J$4:$J$19,-1),'Ark4'!$A$2)&amp;"mm2",IF($B$40="A2",INDEX('Ark4'!$A$4:$A$19,MATCH($C$41,'Ark4'!$K$4:$K$19,-1),'Ark4'!$A$2),IF($B$40="B1",INDEX('Ark4'!$A$4:$A$19,MATCH($C$41,'Ark4'!$L$4:$L$19,-1),'Ark4'!$A$2),IF($B$40="B2",INDEX('Ark4'!$A$4:$A$19,MATCH($C$41,'Ark4'!$M$4:$M$19,-1),'Ark4'!$A$2),IF($B$40="C1",INDEX('Ark4'!$A$4:$A$19,MATCH($C$41,'Ark4'!$N$4:$N$19,-1),'Ark4'!$A$2),IF($B$40="D1",INDEX('Ark4'!$A$4:$A$19,MATCH($C$41,'Ark4'!$O$4:$O$19,-1),'Ark4'!$A$2),IF($B$40="D2",INDEX('Ark4'!$A$4:$A$19,MATCH($C$41,'Ark4'!$P$4:$P$19,-1),'Ark4'!$A$2))))))))</f>
        <v>0</v>
      </c>
      <c r="K38" t="b">
        <f>IF($B$40="A2",INDEX('Ark4'!$A$4:$A$19,MATCH($C$41,'Ark4'!K4:K19,-1),'Ark4'!$A$2))</f>
        <v>0</v>
      </c>
      <c r="L38" t="b">
        <f>IF($B$40="B1",INDEX('Ark4'!$A$4:$A$19,MATCH($C$41,'Ark4'!L4:L19,-1),'Ark4'!$A$2))</f>
        <v>0</v>
      </c>
      <c r="M38" t="b">
        <f>IF($B$40="B2",INDEX('Ark4'!$A$4:$A$19,MATCH($C$41,'Ark4'!M4:M19,-1),'Ark4'!$A$2))</f>
        <v>0</v>
      </c>
      <c r="N38" t="b">
        <f>IF($B$40="C1",INDEX('Ark4'!$A$4:$A$19,MATCH($C$41,'Ark4'!N4:N19,-1),'Ark4'!$A$2))</f>
        <v>0</v>
      </c>
      <c r="O38" t="b">
        <f>IF($B$40="D1",INDEX('Ark4'!$A$4:$A$19,MATCH($C$41,'Ark4'!O4:O19,-1),'Ark4'!$A$2))</f>
        <v>0</v>
      </c>
      <c r="P38" t="b">
        <f>IF($B$40="D2",INDEX('Ark4'!$A$4:$A$19,MATCH($C$41,'Ark4'!P4:P19,-1),'Ark4'!$A$2))</f>
        <v>0</v>
      </c>
      <c r="R38" t="b">
        <f>IF($B$40="A1",INDEX('Ark4'!$A$4:$A$19,MATCH($C$41,'Ark4'!$R$4:$R$19,-1),'Ark4'!$A$2),IF($B$40="A2",INDEX('Ark4'!$A$4:$A$19,MATCH($C$41,'Ark4'!$S$4:$S$19,-1),'Ark4'!$A$2),IF($B$40="B1",INDEX('Ark4'!$A$4:$A$19,MATCH($C$41,'Ark4'!$T$4:$T$19,-1),'Ark4'!$A$2),IF($B$40="B2",INDEX('Ark4'!$A$4:$A$19,MATCH($C$41,'Ark4'!$U$4:$U$19,-1),'Ark4'!$A$2),IF($B$40="C1",INDEX('Ark4'!$A$4:$A$19,MATCH($C$41,'Ark4'!$V$4:$V$19,-1),'Ark4'!$A$2),IF($B$40="D1",INDEX('Ark4'!$A$4:$A$19,MATCH($C$41,'Ark4'!$W$4:$W$19,-1),'Ark4'!$A$2),IF($B$40="D2",INDEX('Ark4'!$A$4:$A$19,MATCH($C$41,'Ark4'!$X$4:$X$19,-1),'Ark4'!$A$2))))))))</f>
        <v>0</v>
      </c>
      <c r="S38" t="b">
        <f>IF($B$40="A2",INDEX('Ark4'!$A$4:$A$19,MATCH($C$41,'Ark4'!S4:S19,-1),'Ark4'!$A$2))</f>
        <v>0</v>
      </c>
      <c r="T38" t="b">
        <f>IF($B$40="B1",INDEX('Ark4'!$A$4:$A$19,MATCH($C$41,'Ark4'!T4:T19,-1),'Ark4'!$A$2))</f>
        <v>0</v>
      </c>
      <c r="U38" t="b">
        <f>IF($B$40="B2",INDEX('Ark4'!$A$4:$A$19,MATCH($C$41,'Ark4'!U4:U19,-1),'Ark4'!$A$2))</f>
        <v>0</v>
      </c>
      <c r="V38" t="b">
        <f>IF($B$40="C1",INDEX('Ark4'!$A$4:$A$19,MATCH($C$41,'Ark4'!V4:V19,-1),'Ark4'!$A$2))</f>
        <v>0</v>
      </c>
      <c r="W38" t="b">
        <f>IF($B$40="D1",INDEX('Ark4'!$A$4:$A$19,MATCH($C$41,'Ark4'!W4:W19,-1),'Ark4'!$A$2))</f>
        <v>0</v>
      </c>
      <c r="X38" t="b">
        <f>IF($B$40="D2",INDEX('Ark4'!$A$4:$A$19,MATCH($C$41,'Ark4'!X4:X19,-1),'Ark4'!$A$2))</f>
        <v>0</v>
      </c>
      <c r="Z38" t="b">
        <f>IF($B$40="A1",INDEX('Ark4'!$A$4:$A$19,MATCH($C$41,'Ark4'!$Z$4:$Z$19,-1),'Ark4'!$A$2),IF($B$40="A2",INDEX('Ark4'!$A$4:$A$19,MATCH($C$41,'Ark4'!$AA$4:$AA$19,-1),'Ark4'!$A$2),IF($B$40="B1",INDEX('Ark4'!$A$4:$A$19,MATCH($C$41,'Ark4'!$AB$4:$AB$19,-1),'Ark4'!$A$2),IF($B$40="B2",INDEX('Ark4'!$A$4:$A$19,MATCH($C$41,'Ark4'!$AC$4:$AC$19,-1),'Ark4'!$A$2),IF($B$40="C1",INDEX('Ark4'!$A$4:$A$19,MATCH($C$41,'Ark4'!$AD$4:$AD$19,-1),'Ark4'!$A$2),IF($B$40="D1",INDEX('Ark4'!$A$4:$A$19,MATCH($C$41,'Ark4'!$AE$4:$AE$19,-1),'Ark4'!$A$2),IF($B$40="D2",INDEX('Ark4'!$A$4:$A$19,MATCH($C$41,'Ark4'!$AF$4:$AF$19,-1),'Ark4'!$A$2))))))))</f>
        <v>0</v>
      </c>
      <c r="AA38" t="b">
        <f>IF($B$40="A2",INDEX('Ark4'!$A$4:$A$19,MATCH($C$41,'Ark4'!AA4:AA19,-1),'Ark4'!$A$2))</f>
        <v>0</v>
      </c>
      <c r="AB38" t="b">
        <f>IF($B$40="B1",INDEX('Ark4'!$A$4:$A$19,MATCH($C$41,'Ark4'!AB4:AB19,-1),'Ark4'!$A$2))</f>
        <v>0</v>
      </c>
      <c r="AC38" t="b">
        <f>IF($B$40="B2",INDEX('Ark4'!$A$4:$A$19,MATCH($C$41,'Ark4'!AC4:AC19,-1),'Ark4'!$A$2))</f>
        <v>0</v>
      </c>
      <c r="AD38" t="b">
        <f>IF($B$40="C1",INDEX('Ark4'!$A$4:$A$19,MATCH($C$41,'Ark4'!AD4:AD19,-1),'Ark4'!$A$2))</f>
        <v>0</v>
      </c>
      <c r="AE38" t="b">
        <f>IF($B$40="D1",INDEX('Ark4'!$A$4:$A$19,MATCH($C$41,'Ark4'!AE4:AE19,-1),'Ark4'!$A$2))</f>
        <v>0</v>
      </c>
      <c r="AF38" t="b">
        <f>IF($B$40="D2",INDEX('Ark4'!$A$4:$A$19,MATCH($C$41,'Ark4'!AF4:AF19,-1),'Ark4'!$A$2))</f>
        <v>0</v>
      </c>
    </row>
    <row r="39" spans="1:33">
      <c r="B39" t="b">
        <f>IF($B$40="A1",INDEX('Ark4'!$A$22:$A$36,MATCH($C$41,'Ark4'!B22:B36,-1),'Ark4'!$A$2),IF($B$40="A2",INDEX('Ark4'!$A$22:$A$36,MATCH($C$41,'Ark4'!C22:C36,-1),'Ark4'!$A$2),IF($B$40="B1",INDEX('Ark4'!$A$22:$A$36,MATCH($C$41,'Ark4'!D22:D36,-1),'Ark4'!$A$2),IF($B$40="B2",INDEX('Ark4'!$A$22:$A$36,MATCH($C$41,'Ark4'!E22:E36,-1),'Ark4'!$A$2),IF($B$40="C1",INDEX('Ark4'!$A$22:$A$36,MATCH($C$41,'Ark4'!F22:F36,-1),'Ark4'!$A$2),IF($B$40="D1",INDEX('Ark4'!$A$22:$A$36,MATCH($C$41,'Ark4'!G22:G36,-1),'Ark4'!$A$2),IF($B$40="D2",INDEX('Ark4'!$A$22:$A$36,MATCH($C$41,'Ark4'!H22:H36,-1),'Ark4'!$A$2))))))))</f>
        <v>0</v>
      </c>
      <c r="C39" t="b">
        <f>IF($B$40="A2",INDEX($A$22:$A$36,MATCH($C$41,C22:C36,-1),$A$2))</f>
        <v>0</v>
      </c>
      <c r="D39" t="b">
        <f>IF($B$40="B1",INDEX($A$22:$A$36,MATCH($C$41,D22:D36,-1),$A$2))</f>
        <v>0</v>
      </c>
      <c r="E39" t="b">
        <f>IF($B$40="B2",INDEX($A$22:$A$36,MATCH($C$41,E22:E36,-1),$A$2))</f>
        <v>0</v>
      </c>
      <c r="F39" t="b">
        <f>IF($B$40="C",INDEX($A$22:$A$36,MATCH($C$41,F22:F36,-1),$A$2))</f>
        <v>0</v>
      </c>
      <c r="G39" t="b">
        <f>IF($B$40="D1",INDEX($A$22:$A$36,MATCH($C$41,G22:G36,-1),$A$2))</f>
        <v>0</v>
      </c>
      <c r="H39" t="b">
        <f>IF($B$40="D2",INDEX($A$22:$A$36,MATCH($C$41,H22:H36,-1),$A$2))</f>
        <v>0</v>
      </c>
      <c r="J39" t="b">
        <f>IF($B$40="A1",INDEX('Ark4'!$A$22:$A$36,MATCH($C$41,'Ark4'!$J$22:$J$36,-1),'Ark4'!$A$2),IF($B$40="A2",INDEX('Ark4'!$A$22:$A$36,MATCH($C$41,'Ark4'!$K$22:$K$36,-1),'Ark4'!$A$2),IF($B$40="B1",INDEX('Ark4'!$A$22:$A$36,MATCH($C$41,'Ark4'!$L$22:$L$36,-1),'Ark4'!$A$2),IF($B$40="B2",INDEX('Ark4'!$A$22:$A$36,MATCH($C$41,'Ark4'!$M$22:$M$36,-1),'Ark4'!$A$2),IF($B$40="C1",INDEX('Ark4'!$A$22:$A$36,MATCH($C$41,'Ark4'!$N$22:$N$36,-1),'Ark4'!$A$2),IF($B$40="D1",INDEX('Ark4'!$A$22:$A$36,MATCH($C$41,'Ark4'!$O$22:$O$36,-1),'Ark4'!$A$2),IF($B$40="D2",INDEX('Ark4'!$A$22:$A$36,MATCH($C$41,'Ark4'!$P$22:$P$36,-1),'Ark4'!$A$2))))))))</f>
        <v>0</v>
      </c>
      <c r="K39" t="b">
        <f>IF($B$40="A2",INDEX($A$22:$A$36,MATCH($C$41,K22:K36,-1),$A$2))</f>
        <v>0</v>
      </c>
      <c r="L39" t="b">
        <f>IF($B$40="B1",INDEX($A$22:$A$36,MATCH($C$41,L22:L36,-1),$A$2))</f>
        <v>0</v>
      </c>
      <c r="M39" t="b">
        <f>IF($B$40="B2",INDEX($A$22:$A$36,MATCH($C$41,M22:M36,-1),$A$2))</f>
        <v>0</v>
      </c>
      <c r="N39" t="b">
        <f>IF($B$40="C",INDEX($A$22:$A$36,MATCH($C$41,N22:N36,-1),$A$2))</f>
        <v>0</v>
      </c>
      <c r="O39" t="b">
        <f>IF($B$40="D1",INDEX($A$22:$A$36,MATCH($C$41,O22:O36,-1),$A$2))</f>
        <v>0</v>
      </c>
      <c r="P39" t="b">
        <f>IF($B$40="D2",INDEX($A$22:$A$36,MATCH($C$41,P22:P36,-1),$A$2))</f>
        <v>0</v>
      </c>
      <c r="R39" t="b">
        <f>IF($B$40="A1",INDEX('Ark4'!$A$22:$A$36,MATCH($C$41,'Ark4'!$R$22:$R$36,-1),'Ark4'!$A$2),IF($B$40="A2",INDEX('Ark4'!$A$22:$A$36,MATCH($C$41,'Ark4'!$S$22:$S$36,-1),'Ark4'!$A$2),IF($B$40="B1",INDEX('Ark4'!$A$22:$A$36,MATCH($C$41,'Ark4'!$T$22:$T$36,-1),'Ark4'!$A$2),IF($B$40="B2",INDEX('Ark4'!$A$22:$A$36,MATCH($C$41,'Ark4'!$U$22:$U$36,-1),'Ark4'!$A$2),IF($B$40="C1",INDEX('Ark4'!$A$22:$A$36,MATCH($C$41,'Ark4'!$V$22:$V$36,-1),'Ark4'!$A$2),IF($B$40="D1",INDEX('Ark4'!$A$22:$A$36,MATCH($C$41,'Ark4'!$W$22:$W$36,-1),'Ark4'!$A$2),IF($B$40="D2",INDEX('Ark4'!$A$22:$A$36,MATCH($C$41,'Ark4'!$X$22:$X$36,-1),'Ark4'!$A$2))))))))</f>
        <v>0</v>
      </c>
      <c r="S39" t="b">
        <f>IF($B$40="A2",INDEX($A$22:$A$36,MATCH($C$41,S22:S36,-1),$A$2))</f>
        <v>0</v>
      </c>
      <c r="T39" t="b">
        <f>IF($B$40="B1",INDEX($A$22:$A$36,MATCH($C$41,T22:T36,-1),$A$2))</f>
        <v>0</v>
      </c>
      <c r="U39" t="b">
        <f>IF($B$40="B2",INDEX($A$22:$A$36,MATCH($C$41,U22:U36,-1),$A$2))</f>
        <v>0</v>
      </c>
      <c r="V39" t="b">
        <f>IF($B$40="C",INDEX($A$22:$A$36,MATCH($C$41,V22:V36,-1),$A$2))</f>
        <v>0</v>
      </c>
      <c r="W39" t="b">
        <f>IF($B$40="D1",INDEX($A$22:$A$36,MATCH($C$41,W22:W36,-1),$A$2))</f>
        <v>0</v>
      </c>
      <c r="X39" t="b">
        <f>IF($B$40="D2",INDEX($A$22:$A$36,MATCH($C$41,X22:X36,-1),$A$2))</f>
        <v>0</v>
      </c>
      <c r="Z39" t="b">
        <f>IF($B$40="A1",INDEX('Ark4'!$A$22:$A$36,MATCH($C$41,'Ark4'!$Z$22:$Z$36,-1),'Ark4'!$A$2),IF($B$40="A2",INDEX('Ark4'!$A$22:$A$36,MATCH($C$41,'Ark4'!$AA$22:$AA$36,-1),'Ark4'!$A$2),IF($B$40="B1",INDEX('Ark4'!$A$22:$A$36,MATCH($C$41,'Ark4'!$AB$22:$AB$36,-1),'Ark4'!$A$2),IF($B$40="B2",INDEX('Ark4'!$A$22:$A$36,MATCH($C$41,'Ark4'!$AC$22:$AC$36,-1),'Ark4'!$A$2),IF($B$40="C1",INDEX('Ark4'!$A$22:$A$36,MATCH($C$41,'Ark4'!$AD$22:$AD$36,-1),'Ark4'!$A$2),IF($B$40="D1",INDEX('Ark4'!$A$22:$A$36,MATCH($C$41,'Ark4'!$AE$22:$AE$36,-1),'Ark4'!$A$2),IF($B$40="D2",INDEX('Ark4'!$A$22:$A$36,MATCH($C$41,'Ark4'!$AF$22:$AF$36,-1),'Ark4'!$A$2))))))))</f>
        <v>0</v>
      </c>
      <c r="AA39" t="b">
        <f>IF($B$40="A2",INDEX($A$22:$A$36,MATCH($C$41,AA22:AA36,-1),$A$2))</f>
        <v>0</v>
      </c>
      <c r="AB39" t="b">
        <f>IF($B$40="B1",INDEX($A$22:$A$36,MATCH($C$41,AB22:AB36,-1),$A$2))</f>
        <v>0</v>
      </c>
      <c r="AC39" t="b">
        <f>IF($B$40="B2",INDEX($A$22:$A$36,MATCH($C$41,AC22:AC36,-1),$A$2))</f>
        <v>0</v>
      </c>
      <c r="AD39" t="b">
        <f>IF($B$40="C",INDEX($A$22:$A$36,MATCH($C$41,AD22:AD36,-1),$A$2))</f>
        <v>0</v>
      </c>
      <c r="AE39" t="b">
        <f>IF($B$40="D1",INDEX($A$22:$A$36,MATCH($C$41,AE22:AE36,-1),$A$2))</f>
        <v>0</v>
      </c>
      <c r="AF39" t="b">
        <f>IF($B$40="D2",INDEX($A$22:$A$36,MATCH($C$41,AF22:AF36,-1),$A$2))</f>
        <v>0</v>
      </c>
    </row>
    <row r="41" spans="1:33">
      <c r="A41" s="19"/>
      <c r="B41" t="b">
        <f>IF(AND($B$2="CU 2 belastede leder",$B$3="70°C PVC"),INDEX('Ark4'!$B$4:$H$19,MATCH('Ark1'!H39,'Ark4'!$A$4:$A$19,0),MATCH('Ark1'!H13,'Ark4'!$B$3:$H$3,0)),IF(AND($B$2="AL 2 belastede leder",$B$3="70°C PVC"),INDEX('Ark4'!$B$22:$H$36,MATCH('Ark1'!H39,'Ark4'!$A$22:$A$36,0),MATCH('Ark1'!H13,'Ark4'!$B$21:$H$21,0)),IF(AND($B$2="CU 3 belastede leder",$B$3="70°C PVC"),INDEX('Ark4'!$R$4:$X$19,MATCH('Ark1'!H39,'Ark4'!$A$4:$A$19,0),MATCH('Ark1'!H13,'Ark4'!$R$3:$X$3,0)),IF(AND($B$2="AL 3 belastede leder",$B$3="70°C PVC"),INDEX('Ark4'!$R$22:$X$36,MATCH('Ark1'!H39,'Ark4'!$A$22:$A$36,0),MATCH('Ark1'!H13,'Ark4'!$R$21:$X$21,0)),IF(AND($B$2="CU 2 belastede leder",$B$3="90°C XPLE &amp; EPR"),INDEX('Ark4'!$J$4:$P$19,MATCH('Ark1'!H39,'Ark4'!$A$4:$A$19,0),MATCH('Ark1'!H13,'Ark4'!$J$3:$P$3,0)),IF(AND($B$2="AL 2 belastede leder",$B$3="90°C XPLE &amp; EPR"),INDEX('Ark4'!$J$22:$P$36,MATCH('Ark1'!H39,'Ark4'!$A$22:$A$36,0),MATCH('Ark1'!H13,'Ark4'!$J$21:$P$21,0)),IF(AND($B$2="CU 3 belastede leder",$B$3="90°C XPLE &amp; EPR"),INDEX('Ark4'!$Z$4:$AF$19,MATCH('Ark1'!H39,'Ark4'!$A$4:$A$19,0),MATCH('Ark1'!H13,'Ark4'!$Z$3:$AF$3,0)),IF(AND($B$2="AL 3 belastede leder",$B$3="90°C XPLE &amp; EPR"),INDEX('Ark4'!$Z$22:$AF$36,MATCH('Ark1'!H39,'Ark4'!$A$22:$A$36,0),MATCH('Ark1'!H13,'Ark4'!$Z$21:$AF$21,0))))))))))</f>
        <v>0</v>
      </c>
      <c r="C41" s="19">
        <v>50</v>
      </c>
    </row>
    <row r="43" spans="1:33" ht="15" thickBot="1"/>
    <row r="44" spans="1:33">
      <c r="B44" s="14" t="s">
        <v>144</v>
      </c>
      <c r="C44" s="27"/>
      <c r="D44" s="209" t="s">
        <v>129</v>
      </c>
      <c r="E44" s="209"/>
      <c r="F44" s="209"/>
      <c r="G44" s="27"/>
      <c r="H44" s="27"/>
      <c r="I44" s="79"/>
      <c r="K44" s="27" t="s">
        <v>146</v>
      </c>
      <c r="L44" s="209" t="s">
        <v>132</v>
      </c>
      <c r="M44" s="209"/>
      <c r="N44" s="209"/>
      <c r="O44" s="27"/>
      <c r="P44" s="27"/>
      <c r="Q44" s="79"/>
      <c r="S44" s="14" t="s">
        <v>144</v>
      </c>
      <c r="T44" s="209" t="s">
        <v>136</v>
      </c>
      <c r="U44" s="209"/>
      <c r="V44" s="209"/>
      <c r="W44" s="27"/>
      <c r="X44" s="27"/>
      <c r="Y44" s="79"/>
      <c r="AA44" s="27" t="s">
        <v>146</v>
      </c>
      <c r="AB44" s="209" t="s">
        <v>137</v>
      </c>
      <c r="AC44" s="209"/>
      <c r="AD44" s="209"/>
      <c r="AE44" s="27"/>
      <c r="AF44" s="27"/>
      <c r="AG44" s="79"/>
    </row>
    <row r="45" spans="1:33" ht="15" thickBot="1">
      <c r="B45" s="1"/>
      <c r="C45" s="25"/>
      <c r="D45" s="211"/>
      <c r="E45" s="211"/>
      <c r="F45" s="211"/>
      <c r="G45" s="25"/>
      <c r="H45" s="25"/>
      <c r="I45" s="2"/>
      <c r="K45" s="25"/>
      <c r="L45" s="211"/>
      <c r="M45" s="211"/>
      <c r="N45" s="211"/>
      <c r="O45" s="25"/>
      <c r="P45" s="25"/>
      <c r="Q45" s="2"/>
      <c r="S45" s="25"/>
      <c r="T45" s="211"/>
      <c r="U45" s="211"/>
      <c r="V45" s="211"/>
      <c r="W45" s="25"/>
      <c r="X45" s="25"/>
      <c r="Y45" s="2"/>
      <c r="AA45" s="25"/>
      <c r="AB45" s="211"/>
      <c r="AC45" s="211"/>
      <c r="AD45" s="210"/>
      <c r="AE45" s="32"/>
      <c r="AF45" s="32"/>
      <c r="AG45" s="4"/>
    </row>
    <row r="46" spans="1:33">
      <c r="A46" s="7" t="s">
        <v>131</v>
      </c>
      <c r="B46" s="46" t="s">
        <v>7</v>
      </c>
      <c r="C46" s="10" t="s">
        <v>8</v>
      </c>
      <c r="D46" s="25"/>
      <c r="E46" s="25"/>
      <c r="F46" s="25"/>
      <c r="G46" s="25"/>
      <c r="H46" s="25"/>
      <c r="I46" s="25"/>
      <c r="J46" s="25"/>
      <c r="K46" s="7" t="s">
        <v>7</v>
      </c>
      <c r="L46" s="10" t="s">
        <v>8</v>
      </c>
      <c r="M46" s="25"/>
      <c r="N46" s="25"/>
      <c r="O46" s="25"/>
      <c r="P46" s="25"/>
      <c r="Q46" s="25"/>
      <c r="R46" s="25"/>
      <c r="S46" s="7" t="s">
        <v>7</v>
      </c>
      <c r="T46" s="10" t="s">
        <v>8</v>
      </c>
      <c r="U46" s="25"/>
      <c r="V46" s="25"/>
      <c r="W46" s="25"/>
      <c r="X46" s="25"/>
      <c r="Y46" s="25"/>
      <c r="Z46" s="25"/>
      <c r="AA46" s="7" t="s">
        <v>7</v>
      </c>
      <c r="AB46" s="10" t="s">
        <v>8</v>
      </c>
      <c r="AC46" s="25"/>
    </row>
    <row r="47" spans="1:33">
      <c r="A47" s="15">
        <v>630</v>
      </c>
      <c r="B47" s="51"/>
      <c r="C47" s="16">
        <v>1005</v>
      </c>
      <c r="D47" s="25"/>
      <c r="E47" s="25"/>
      <c r="F47" s="25"/>
      <c r="G47" s="25"/>
      <c r="H47" s="25"/>
      <c r="I47" s="25"/>
      <c r="J47" s="25"/>
      <c r="K47" s="15"/>
      <c r="L47" s="16">
        <v>1254</v>
      </c>
      <c r="M47" s="25"/>
      <c r="N47" s="25"/>
      <c r="O47" s="25"/>
      <c r="P47" s="25"/>
      <c r="Q47" s="25"/>
      <c r="R47" s="25"/>
      <c r="S47" s="15"/>
      <c r="T47" s="16">
        <v>855</v>
      </c>
      <c r="U47" s="25"/>
      <c r="V47" s="25"/>
      <c r="W47" s="25"/>
      <c r="X47" s="25"/>
      <c r="Y47" s="25"/>
      <c r="Z47" s="25"/>
      <c r="AA47" s="15"/>
      <c r="AB47" s="16">
        <v>1088</v>
      </c>
      <c r="AC47" s="25"/>
    </row>
    <row r="48" spans="1:33">
      <c r="A48" s="15">
        <v>500</v>
      </c>
      <c r="B48" s="51"/>
      <c r="C48" s="16">
        <v>868</v>
      </c>
      <c r="D48" s="25"/>
      <c r="E48" s="25"/>
      <c r="F48" s="25"/>
      <c r="G48" s="25"/>
      <c r="H48" s="25"/>
      <c r="I48" s="25"/>
      <c r="J48" s="25"/>
      <c r="K48" s="15"/>
      <c r="L48" s="16">
        <v>1083</v>
      </c>
      <c r="M48" s="25"/>
      <c r="N48" s="25"/>
      <c r="O48" s="25"/>
      <c r="P48" s="25"/>
      <c r="Q48" s="25"/>
      <c r="R48" s="25"/>
      <c r="S48" s="15"/>
      <c r="T48" s="16">
        <v>749</v>
      </c>
      <c r="U48" s="25"/>
      <c r="V48" s="25"/>
      <c r="W48" s="25"/>
      <c r="X48" s="25"/>
      <c r="Y48" s="25"/>
      <c r="Z48" s="25"/>
      <c r="AA48" s="15"/>
      <c r="AB48" s="16">
        <v>946</v>
      </c>
      <c r="AC48" s="25"/>
    </row>
    <row r="49" spans="1:29">
      <c r="A49" s="15">
        <v>400</v>
      </c>
      <c r="B49" s="51"/>
      <c r="C49" s="16">
        <v>754</v>
      </c>
      <c r="D49" s="25"/>
      <c r="E49" s="25"/>
      <c r="F49" s="25"/>
      <c r="G49" s="25"/>
      <c r="H49" s="25"/>
      <c r="I49" s="25"/>
      <c r="J49" s="25"/>
      <c r="K49" s="15"/>
      <c r="L49" s="16">
        <v>940</v>
      </c>
      <c r="M49" s="25"/>
      <c r="N49" s="25"/>
      <c r="O49" s="25"/>
      <c r="P49" s="25"/>
      <c r="Q49" s="25"/>
      <c r="R49" s="25"/>
      <c r="S49" s="15"/>
      <c r="T49" s="16">
        <v>656</v>
      </c>
      <c r="U49" s="25"/>
      <c r="V49" s="25"/>
      <c r="W49" s="25"/>
      <c r="X49" s="25"/>
      <c r="Y49" s="25"/>
      <c r="Z49" s="25"/>
      <c r="AA49" s="15"/>
      <c r="AB49" s="16">
        <v>823</v>
      </c>
      <c r="AC49" s="25"/>
    </row>
    <row r="50" spans="1:29">
      <c r="A50" s="113">
        <v>300</v>
      </c>
      <c r="B50" s="51"/>
      <c r="C50" s="16">
        <v>629</v>
      </c>
      <c r="D50" s="25"/>
      <c r="E50" s="25"/>
      <c r="F50" s="25"/>
      <c r="G50" s="25"/>
      <c r="H50" s="25"/>
      <c r="I50" s="25"/>
      <c r="J50" s="25"/>
      <c r="K50" s="15">
        <v>741</v>
      </c>
      <c r="L50" s="16">
        <v>783</v>
      </c>
      <c r="M50" s="25"/>
      <c r="N50" s="25"/>
      <c r="O50" s="25"/>
      <c r="P50" s="25"/>
      <c r="Q50" s="25"/>
      <c r="R50" s="25"/>
      <c r="S50" s="15">
        <v>497</v>
      </c>
      <c r="T50" s="16">
        <v>561</v>
      </c>
      <c r="U50" s="25"/>
      <c r="V50" s="25"/>
      <c r="W50" s="25"/>
      <c r="X50" s="25"/>
      <c r="Y50" s="25"/>
      <c r="Z50" s="25"/>
      <c r="AA50" s="15">
        <v>621</v>
      </c>
      <c r="AB50" s="16">
        <v>703</v>
      </c>
      <c r="AC50" s="25"/>
    </row>
    <row r="51" spans="1:29">
      <c r="A51" s="113">
        <v>240</v>
      </c>
      <c r="B51" s="112">
        <v>514</v>
      </c>
      <c r="C51" s="16">
        <v>546</v>
      </c>
      <c r="D51" s="25"/>
      <c r="E51" s="25"/>
      <c r="F51" s="25"/>
      <c r="G51" s="25"/>
      <c r="H51" s="25"/>
      <c r="I51" s="25"/>
      <c r="J51" s="25"/>
      <c r="K51" s="15">
        <v>641</v>
      </c>
      <c r="L51" s="16">
        <v>679</v>
      </c>
      <c r="M51" s="25"/>
      <c r="N51" s="25"/>
      <c r="O51" s="25"/>
      <c r="P51" s="25"/>
      <c r="Q51" s="25"/>
      <c r="R51" s="25"/>
      <c r="S51" s="15">
        <v>430</v>
      </c>
      <c r="T51" s="16">
        <v>485</v>
      </c>
      <c r="U51" s="25"/>
      <c r="V51" s="25"/>
      <c r="W51" s="25"/>
      <c r="X51" s="25"/>
      <c r="Y51" s="25"/>
      <c r="Z51" s="25"/>
      <c r="AA51" s="15">
        <v>538</v>
      </c>
      <c r="AB51" s="16">
        <v>607</v>
      </c>
      <c r="AC51" s="25"/>
    </row>
    <row r="52" spans="1:29">
      <c r="A52" s="113">
        <v>185</v>
      </c>
      <c r="B52" s="112">
        <v>434</v>
      </c>
      <c r="C52" s="16">
        <v>463</v>
      </c>
      <c r="D52" s="25"/>
      <c r="E52" s="25"/>
      <c r="F52" s="25"/>
      <c r="G52" s="25"/>
      <c r="H52" s="25"/>
      <c r="I52" s="25"/>
      <c r="J52" s="25"/>
      <c r="K52" s="15">
        <v>542</v>
      </c>
      <c r="L52" s="16">
        <v>575</v>
      </c>
      <c r="M52" s="25"/>
      <c r="N52" s="25"/>
      <c r="O52" s="25"/>
      <c r="P52" s="25"/>
      <c r="Q52" s="25"/>
      <c r="R52" s="25"/>
      <c r="S52" s="15">
        <v>364</v>
      </c>
      <c r="T52" s="16">
        <v>409</v>
      </c>
      <c r="U52" s="25"/>
      <c r="V52" s="25"/>
      <c r="W52" s="25"/>
      <c r="X52" s="25"/>
      <c r="Y52" s="25"/>
      <c r="Z52" s="25"/>
      <c r="AA52" s="15">
        <v>456</v>
      </c>
      <c r="AB52" s="16">
        <v>510</v>
      </c>
      <c r="AC52" s="25"/>
    </row>
    <row r="53" spans="1:29">
      <c r="A53" s="113">
        <v>150</v>
      </c>
      <c r="B53" s="112">
        <v>379</v>
      </c>
      <c r="C53" s="16">
        <v>406</v>
      </c>
      <c r="D53" s="25"/>
      <c r="E53" s="25"/>
      <c r="F53" s="25"/>
      <c r="G53" s="25"/>
      <c r="H53" s="25"/>
      <c r="I53" s="25"/>
      <c r="J53" s="25"/>
      <c r="K53" s="15">
        <v>473</v>
      </c>
      <c r="L53" s="16">
        <v>504</v>
      </c>
      <c r="M53" s="25"/>
      <c r="N53" s="25"/>
      <c r="O53" s="25"/>
      <c r="P53" s="25"/>
      <c r="Q53" s="25"/>
      <c r="R53" s="25"/>
      <c r="S53" s="15">
        <v>319</v>
      </c>
      <c r="T53" s="16">
        <v>356</v>
      </c>
      <c r="U53" s="25"/>
      <c r="V53" s="25"/>
      <c r="W53" s="25"/>
      <c r="X53" s="25"/>
      <c r="Y53" s="25"/>
      <c r="Z53" s="25"/>
      <c r="AA53" s="15">
        <v>399</v>
      </c>
      <c r="AB53" s="16">
        <v>444</v>
      </c>
      <c r="AC53" s="25"/>
    </row>
    <row r="54" spans="1:29">
      <c r="A54" s="113">
        <v>120</v>
      </c>
      <c r="B54" s="112">
        <v>328</v>
      </c>
      <c r="C54" s="16">
        <v>352</v>
      </c>
      <c r="D54" s="25"/>
      <c r="E54" s="25"/>
      <c r="F54" s="25"/>
      <c r="G54" s="25"/>
      <c r="H54" s="25"/>
      <c r="I54" s="25"/>
      <c r="J54" s="25"/>
      <c r="K54" s="15">
        <v>410</v>
      </c>
      <c r="L54" s="16">
        <v>437</v>
      </c>
      <c r="M54" s="25"/>
      <c r="N54" s="25"/>
      <c r="O54" s="25"/>
      <c r="P54" s="25"/>
      <c r="Q54" s="25"/>
      <c r="R54" s="25"/>
      <c r="S54" s="15">
        <v>276</v>
      </c>
      <c r="T54" s="16">
        <v>308</v>
      </c>
      <c r="U54" s="25"/>
      <c r="V54" s="25"/>
      <c r="W54" s="25"/>
      <c r="X54" s="25"/>
      <c r="Y54" s="25"/>
      <c r="Z54" s="25"/>
      <c r="AA54" s="15">
        <v>346</v>
      </c>
      <c r="AB54" s="16">
        <v>383</v>
      </c>
      <c r="AC54" s="25"/>
    </row>
    <row r="55" spans="1:29">
      <c r="A55" s="113">
        <v>95</v>
      </c>
      <c r="B55" s="112">
        <v>282</v>
      </c>
      <c r="C55" s="16">
        <v>304</v>
      </c>
      <c r="D55" s="25"/>
      <c r="E55" s="25"/>
      <c r="F55" s="25"/>
      <c r="G55" s="25"/>
      <c r="H55" s="25"/>
      <c r="I55" s="25"/>
      <c r="J55" s="25"/>
      <c r="K55" s="15">
        <v>352</v>
      </c>
      <c r="L55" s="16">
        <v>377</v>
      </c>
      <c r="M55" s="25"/>
      <c r="N55" s="25"/>
      <c r="O55" s="25"/>
      <c r="P55" s="25"/>
      <c r="Q55" s="25"/>
      <c r="R55" s="25"/>
      <c r="S55" s="15">
        <v>238</v>
      </c>
      <c r="T55" s="16">
        <v>264</v>
      </c>
      <c r="U55" s="25"/>
      <c r="V55" s="25"/>
      <c r="W55" s="25"/>
      <c r="X55" s="25"/>
      <c r="Y55" s="25"/>
      <c r="Z55" s="25"/>
      <c r="AA55" s="15">
        <v>298</v>
      </c>
      <c r="AB55" s="16">
        <v>328</v>
      </c>
      <c r="AC55" s="25"/>
    </row>
    <row r="56" spans="1:29">
      <c r="A56" s="113">
        <v>70</v>
      </c>
      <c r="B56" s="112">
        <v>232</v>
      </c>
      <c r="C56" s="16">
        <v>251</v>
      </c>
      <c r="D56" s="25"/>
      <c r="E56" s="25"/>
      <c r="F56" s="25"/>
      <c r="G56" s="25"/>
      <c r="H56" s="25"/>
      <c r="I56" s="25"/>
      <c r="J56" s="25"/>
      <c r="K56" s="15">
        <v>289</v>
      </c>
      <c r="L56" s="16">
        <v>310</v>
      </c>
      <c r="M56" s="25"/>
      <c r="N56" s="25"/>
      <c r="O56" s="25"/>
      <c r="P56" s="25"/>
      <c r="Q56" s="25"/>
      <c r="R56" s="25"/>
      <c r="S56" s="15">
        <v>196</v>
      </c>
      <c r="T56" s="16">
        <v>216</v>
      </c>
      <c r="U56" s="25"/>
      <c r="V56" s="25"/>
      <c r="W56" s="25"/>
      <c r="X56" s="25"/>
      <c r="Y56" s="25"/>
      <c r="Z56" s="25"/>
      <c r="AA56" s="15">
        <v>246</v>
      </c>
      <c r="AB56" s="16">
        <v>268</v>
      </c>
      <c r="AC56" s="25"/>
    </row>
    <row r="57" spans="1:29">
      <c r="A57" s="113">
        <v>50</v>
      </c>
      <c r="B57" s="112">
        <v>180</v>
      </c>
      <c r="C57" s="16">
        <v>196</v>
      </c>
      <c r="D57" s="25"/>
      <c r="E57" s="25"/>
      <c r="F57" s="25"/>
      <c r="G57" s="25"/>
      <c r="H57" s="25"/>
      <c r="I57" s="25"/>
      <c r="J57" s="25"/>
      <c r="K57" s="15">
        <v>225</v>
      </c>
      <c r="L57" s="16">
        <v>242</v>
      </c>
      <c r="M57" s="25"/>
      <c r="N57" s="25"/>
      <c r="O57" s="25"/>
      <c r="P57" s="25"/>
      <c r="Q57" s="25"/>
      <c r="R57" s="25"/>
      <c r="S57" s="15">
        <v>153</v>
      </c>
      <c r="T57" s="16">
        <v>167</v>
      </c>
      <c r="U57" s="25"/>
      <c r="V57" s="25"/>
      <c r="W57" s="25"/>
      <c r="X57" s="25"/>
      <c r="Y57" s="25"/>
      <c r="Z57" s="25"/>
      <c r="AA57" s="15">
        <v>192</v>
      </c>
      <c r="AB57" s="16">
        <v>207</v>
      </c>
      <c r="AC57" s="25"/>
    </row>
    <row r="58" spans="1:29">
      <c r="A58" s="113">
        <v>35</v>
      </c>
      <c r="B58" s="112">
        <v>148</v>
      </c>
      <c r="C58" s="16">
        <v>162</v>
      </c>
      <c r="D58" s="25"/>
      <c r="E58" s="25"/>
      <c r="F58" s="25"/>
      <c r="G58" s="25"/>
      <c r="H58" s="25"/>
      <c r="I58" s="25"/>
      <c r="J58" s="25"/>
      <c r="K58" s="15">
        <v>185</v>
      </c>
      <c r="L58" s="16">
        <v>200</v>
      </c>
      <c r="M58" s="25"/>
      <c r="N58" s="25"/>
      <c r="O58" s="25"/>
      <c r="P58" s="25"/>
      <c r="Q58" s="25"/>
      <c r="R58" s="25"/>
      <c r="S58" s="15">
        <v>126</v>
      </c>
      <c r="T58" s="16">
        <v>137</v>
      </c>
      <c r="U58" s="25"/>
      <c r="V58" s="25"/>
      <c r="W58" s="25"/>
      <c r="X58" s="25"/>
      <c r="Y58" s="25"/>
      <c r="Z58" s="25"/>
      <c r="AA58" s="15">
        <v>158</v>
      </c>
      <c r="AB58" s="16">
        <v>169</v>
      </c>
      <c r="AC58" s="25"/>
    </row>
    <row r="59" spans="1:29">
      <c r="A59" s="113">
        <v>25</v>
      </c>
      <c r="B59" s="112">
        <v>119</v>
      </c>
      <c r="C59" s="16">
        <v>131</v>
      </c>
      <c r="D59" s="25"/>
      <c r="E59" s="25"/>
      <c r="F59" s="25"/>
      <c r="G59" s="25"/>
      <c r="H59" s="25"/>
      <c r="I59" s="25"/>
      <c r="J59" s="25"/>
      <c r="K59" s="15">
        <v>149</v>
      </c>
      <c r="L59" s="16">
        <v>161</v>
      </c>
      <c r="M59" s="25"/>
      <c r="N59" s="25"/>
      <c r="O59" s="25"/>
      <c r="P59" s="25"/>
      <c r="Q59" s="25"/>
      <c r="R59" s="25"/>
      <c r="S59" s="15">
        <v>101</v>
      </c>
      <c r="T59" s="16">
        <v>110</v>
      </c>
      <c r="U59" s="25"/>
      <c r="V59" s="25"/>
      <c r="W59" s="25"/>
      <c r="X59" s="25"/>
      <c r="Y59" s="25"/>
      <c r="Z59" s="25"/>
      <c r="AA59" s="15">
        <v>127</v>
      </c>
      <c r="AB59" s="16">
        <v>135</v>
      </c>
      <c r="AC59" s="25"/>
    </row>
    <row r="60" spans="1:29">
      <c r="A60" s="113">
        <v>16</v>
      </c>
      <c r="B60" s="112">
        <v>94</v>
      </c>
      <c r="C60" s="16"/>
      <c r="D60" s="25"/>
      <c r="E60" s="25"/>
      <c r="F60" s="25"/>
      <c r="G60" s="25"/>
      <c r="H60" s="25"/>
      <c r="I60" s="25"/>
      <c r="J60" s="25"/>
      <c r="K60" s="15">
        <v>115</v>
      </c>
      <c r="L60" s="16"/>
      <c r="M60" s="25"/>
      <c r="N60" s="25"/>
      <c r="O60" s="25"/>
      <c r="P60" s="25"/>
      <c r="Q60" s="25"/>
      <c r="R60" s="25"/>
      <c r="S60" s="15">
        <v>80</v>
      </c>
      <c r="T60" s="16"/>
      <c r="U60" s="25"/>
      <c r="V60" s="25"/>
      <c r="W60" s="25"/>
      <c r="X60" s="25"/>
      <c r="Y60" s="25"/>
      <c r="Z60" s="25"/>
      <c r="AA60" s="15">
        <v>100</v>
      </c>
      <c r="AB60" s="16"/>
      <c r="AC60" s="25"/>
    </row>
    <row r="61" spans="1:29">
      <c r="A61" s="113">
        <v>10</v>
      </c>
      <c r="B61" s="112">
        <v>70</v>
      </c>
      <c r="C61" s="16"/>
      <c r="D61" s="25"/>
      <c r="E61" s="25"/>
      <c r="F61" s="25"/>
      <c r="G61" s="25"/>
      <c r="H61" s="25"/>
      <c r="I61" s="25"/>
      <c r="J61" s="25"/>
      <c r="K61" s="15">
        <v>86</v>
      </c>
      <c r="L61" s="16"/>
      <c r="M61" s="25"/>
      <c r="N61" s="25"/>
      <c r="O61" s="25"/>
      <c r="P61" s="25"/>
      <c r="Q61" s="25"/>
      <c r="R61" s="25"/>
      <c r="S61" s="15">
        <v>60</v>
      </c>
      <c r="T61" s="16"/>
      <c r="U61" s="25"/>
      <c r="V61" s="25"/>
      <c r="W61" s="25"/>
      <c r="X61" s="25"/>
      <c r="Y61" s="25"/>
      <c r="Z61" s="25"/>
      <c r="AA61" s="15">
        <v>75</v>
      </c>
      <c r="AB61" s="16"/>
      <c r="AC61" s="25"/>
    </row>
    <row r="62" spans="1:29">
      <c r="A62" s="113">
        <v>6</v>
      </c>
      <c r="B62" s="112">
        <v>51</v>
      </c>
      <c r="C62" s="16"/>
      <c r="D62" s="25"/>
      <c r="E62" s="25"/>
      <c r="F62" s="25"/>
      <c r="G62" s="25"/>
      <c r="H62" s="25"/>
      <c r="I62" s="25"/>
      <c r="J62" s="25"/>
      <c r="K62" s="15">
        <v>63</v>
      </c>
      <c r="L62" s="16"/>
      <c r="M62" s="25"/>
      <c r="N62" s="25"/>
      <c r="O62" s="25"/>
      <c r="P62" s="25"/>
      <c r="Q62" s="25"/>
      <c r="R62" s="25"/>
      <c r="S62" s="15">
        <v>43</v>
      </c>
      <c r="T62" s="16"/>
      <c r="U62" s="25"/>
      <c r="V62" s="25"/>
      <c r="W62" s="25"/>
      <c r="X62" s="25"/>
      <c r="Y62" s="25"/>
      <c r="Z62" s="25"/>
      <c r="AA62" s="15">
        <v>54</v>
      </c>
      <c r="AB62" s="16"/>
      <c r="AC62" s="25"/>
    </row>
    <row r="63" spans="1:29">
      <c r="A63" s="113">
        <v>4</v>
      </c>
      <c r="B63" s="112">
        <v>40</v>
      </c>
      <c r="C63" s="16"/>
      <c r="D63" s="25"/>
      <c r="E63" s="25"/>
      <c r="F63" s="25"/>
      <c r="G63" s="25"/>
      <c r="H63" s="25"/>
      <c r="I63" s="25"/>
      <c r="J63" s="25"/>
      <c r="K63" s="15">
        <v>49</v>
      </c>
      <c r="L63" s="16"/>
      <c r="M63" s="25"/>
      <c r="N63" s="25"/>
      <c r="O63" s="25"/>
      <c r="P63" s="25"/>
      <c r="Q63" s="25"/>
      <c r="R63" s="25"/>
      <c r="S63" s="15">
        <v>34</v>
      </c>
      <c r="T63" s="16"/>
      <c r="U63" s="25"/>
      <c r="V63" s="25"/>
      <c r="W63" s="25"/>
      <c r="X63" s="25"/>
      <c r="Y63" s="25"/>
      <c r="Z63" s="25"/>
      <c r="AA63" s="15">
        <v>42</v>
      </c>
      <c r="AB63" s="16"/>
      <c r="AC63" s="25"/>
    </row>
    <row r="64" spans="1:29">
      <c r="A64" s="114">
        <v>2.5</v>
      </c>
      <c r="B64" s="112">
        <v>30</v>
      </c>
      <c r="C64" s="16"/>
      <c r="D64" s="25"/>
      <c r="E64" s="25"/>
      <c r="F64" s="25"/>
      <c r="G64" s="25"/>
      <c r="H64" s="25"/>
      <c r="I64" s="25"/>
      <c r="J64" s="25"/>
      <c r="K64" s="15">
        <v>36</v>
      </c>
      <c r="L64" s="16"/>
      <c r="M64" s="25"/>
      <c r="N64" s="25"/>
      <c r="O64" s="25"/>
      <c r="P64" s="25"/>
      <c r="Q64" s="25"/>
      <c r="R64" s="25"/>
      <c r="S64" s="15">
        <v>25</v>
      </c>
      <c r="T64" s="16"/>
      <c r="U64" s="25"/>
      <c r="V64" s="25"/>
      <c r="W64" s="25"/>
      <c r="X64" s="25"/>
      <c r="Y64" s="25"/>
      <c r="Z64" s="25"/>
      <c r="AA64" s="15">
        <v>32</v>
      </c>
      <c r="AB64" s="16"/>
      <c r="AC64" s="25"/>
    </row>
    <row r="65" spans="1:29" ht="15" thickBot="1">
      <c r="A65" s="115">
        <v>1.5</v>
      </c>
      <c r="B65" s="111">
        <v>22</v>
      </c>
      <c r="C65" s="9"/>
      <c r="D65" s="25"/>
      <c r="E65" s="25"/>
      <c r="F65" s="25"/>
      <c r="G65" s="25"/>
      <c r="H65" s="25"/>
      <c r="I65" s="25"/>
      <c r="J65" s="25"/>
      <c r="K65" s="8">
        <v>26</v>
      </c>
      <c r="L65" s="9"/>
      <c r="M65" s="25"/>
      <c r="N65" s="25"/>
      <c r="O65" s="25"/>
      <c r="P65" s="25"/>
      <c r="Q65" s="25"/>
      <c r="R65" s="25"/>
      <c r="S65" s="8">
        <v>18.5</v>
      </c>
      <c r="T65" s="9"/>
      <c r="U65" s="25"/>
      <c r="V65" s="25"/>
      <c r="W65" s="25"/>
      <c r="X65" s="25"/>
      <c r="Y65" s="25"/>
      <c r="Z65" s="25"/>
      <c r="AA65" s="8">
        <v>23</v>
      </c>
      <c r="AB65" s="9"/>
      <c r="AC65" s="25"/>
    </row>
    <row r="66" spans="1:29" ht="15" thickBot="1">
      <c r="A66" s="25"/>
      <c r="B66" s="25" t="s">
        <v>145</v>
      </c>
      <c r="C66" s="25"/>
      <c r="D66" s="25"/>
      <c r="E66" s="25"/>
      <c r="F66" s="25"/>
      <c r="G66" s="25"/>
      <c r="H66" s="25"/>
      <c r="I66" s="25"/>
      <c r="J66" s="25"/>
      <c r="K66" s="25" t="s">
        <v>147</v>
      </c>
      <c r="L66" s="25"/>
      <c r="M66" s="25"/>
      <c r="N66" s="25"/>
      <c r="O66" s="25"/>
      <c r="P66" s="25"/>
      <c r="Q66" s="25"/>
      <c r="R66" s="25"/>
      <c r="S66" s="25" t="s">
        <v>145</v>
      </c>
      <c r="T66" s="25"/>
      <c r="U66" s="25"/>
      <c r="V66" s="25"/>
      <c r="W66" s="25"/>
      <c r="X66" s="25"/>
      <c r="Y66" s="25"/>
      <c r="Z66" s="25"/>
      <c r="AA66" s="25" t="s">
        <v>147</v>
      </c>
      <c r="AB66" s="25"/>
      <c r="AC66" s="25"/>
    </row>
    <row r="67" spans="1:29">
      <c r="A67" s="7" t="s">
        <v>130</v>
      </c>
      <c r="B67" s="46" t="s">
        <v>7</v>
      </c>
      <c r="C67" s="10" t="s">
        <v>8</v>
      </c>
      <c r="D67" s="25"/>
      <c r="E67" s="25"/>
      <c r="F67" s="25"/>
      <c r="G67" s="25"/>
      <c r="H67" s="25"/>
      <c r="I67" s="25"/>
      <c r="J67" s="25"/>
      <c r="K67" s="7" t="s">
        <v>7</v>
      </c>
      <c r="L67" s="10" t="s">
        <v>8</v>
      </c>
      <c r="M67" s="25"/>
      <c r="N67" s="25"/>
      <c r="O67" s="25"/>
      <c r="P67" s="25"/>
      <c r="Q67" s="25"/>
      <c r="R67" s="25"/>
      <c r="S67" s="7" t="s">
        <v>7</v>
      </c>
      <c r="T67" s="10" t="s">
        <v>8</v>
      </c>
      <c r="U67" s="25"/>
      <c r="V67" s="25"/>
      <c r="W67" s="25"/>
      <c r="X67" s="25"/>
      <c r="Y67" s="25"/>
      <c r="Z67" s="25"/>
      <c r="AA67" s="7" t="s">
        <v>7</v>
      </c>
      <c r="AB67" s="10" t="s">
        <v>8</v>
      </c>
      <c r="AC67" s="25"/>
    </row>
    <row r="68" spans="1:29">
      <c r="A68" s="15">
        <v>630</v>
      </c>
      <c r="B68" s="51"/>
      <c r="C68" s="16">
        <v>808</v>
      </c>
      <c r="D68" s="25"/>
      <c r="E68" s="25"/>
      <c r="F68" s="25"/>
      <c r="G68" s="25"/>
      <c r="H68" s="25"/>
      <c r="I68" s="25"/>
      <c r="J68" s="25"/>
      <c r="K68" s="15"/>
      <c r="L68" s="16">
        <v>996</v>
      </c>
      <c r="M68" s="25"/>
      <c r="N68" s="25"/>
      <c r="O68" s="25"/>
      <c r="P68" s="25"/>
      <c r="Q68" s="25"/>
      <c r="R68" s="25"/>
      <c r="S68" s="15"/>
      <c r="T68" s="16">
        <v>711</v>
      </c>
      <c r="U68" s="25"/>
      <c r="V68" s="25"/>
      <c r="W68" s="25"/>
      <c r="X68" s="25"/>
      <c r="Y68" s="25"/>
      <c r="Z68" s="25"/>
      <c r="AA68" s="15"/>
      <c r="AB68" s="16">
        <v>899</v>
      </c>
      <c r="AC68" s="25"/>
    </row>
    <row r="69" spans="1:29">
      <c r="A69" s="15">
        <v>500</v>
      </c>
      <c r="B69" s="51"/>
      <c r="C69" s="16">
        <v>694</v>
      </c>
      <c r="D69" s="25"/>
      <c r="E69" s="25"/>
      <c r="F69" s="25"/>
      <c r="G69" s="25"/>
      <c r="H69" s="25"/>
      <c r="I69" s="25"/>
      <c r="J69" s="25"/>
      <c r="K69" s="15"/>
      <c r="L69" s="16">
        <v>856</v>
      </c>
      <c r="M69" s="25"/>
      <c r="N69" s="25"/>
      <c r="O69" s="25"/>
      <c r="P69" s="25"/>
      <c r="Q69" s="25"/>
      <c r="R69" s="25"/>
      <c r="S69" s="15"/>
      <c r="T69" s="16">
        <v>610</v>
      </c>
      <c r="U69" s="25"/>
      <c r="V69" s="25"/>
      <c r="W69" s="25"/>
      <c r="X69" s="25"/>
      <c r="Y69" s="25"/>
      <c r="Z69" s="25"/>
      <c r="AA69" s="15"/>
      <c r="AB69" s="16">
        <v>770</v>
      </c>
      <c r="AC69" s="25"/>
    </row>
    <row r="70" spans="1:29">
      <c r="A70" s="15">
        <v>400</v>
      </c>
      <c r="B70" s="51"/>
      <c r="C70" s="16">
        <v>600</v>
      </c>
      <c r="D70" s="25"/>
      <c r="E70" s="25"/>
      <c r="F70" s="25"/>
      <c r="G70" s="25"/>
      <c r="H70" s="25"/>
      <c r="I70" s="25"/>
      <c r="J70" s="25"/>
      <c r="K70" s="15"/>
      <c r="L70" s="16">
        <v>740</v>
      </c>
      <c r="M70" s="25"/>
      <c r="N70" s="25"/>
      <c r="O70" s="25"/>
      <c r="P70" s="25"/>
      <c r="Q70" s="25"/>
      <c r="R70" s="25"/>
      <c r="S70" s="15"/>
      <c r="T70" s="16">
        <v>526</v>
      </c>
      <c r="U70" s="25"/>
      <c r="V70" s="25"/>
      <c r="W70" s="25"/>
      <c r="X70" s="25"/>
      <c r="Y70" s="25"/>
      <c r="Z70" s="25"/>
      <c r="AA70" s="15"/>
      <c r="AB70" s="16">
        <v>663</v>
      </c>
      <c r="AC70" s="25"/>
    </row>
    <row r="71" spans="1:29">
      <c r="A71" s="113">
        <v>300</v>
      </c>
      <c r="B71" s="51">
        <v>439</v>
      </c>
      <c r="C71" s="16">
        <v>497</v>
      </c>
      <c r="D71" s="25"/>
      <c r="E71" s="25"/>
      <c r="F71" s="25"/>
      <c r="G71" s="25"/>
      <c r="H71" s="25"/>
      <c r="I71" s="25"/>
      <c r="J71" s="25"/>
      <c r="K71" s="15">
        <v>543</v>
      </c>
      <c r="L71" s="16">
        <v>613</v>
      </c>
      <c r="M71" s="25"/>
      <c r="N71" s="25"/>
      <c r="O71" s="25"/>
      <c r="P71" s="25"/>
      <c r="Q71" s="25"/>
      <c r="R71" s="25"/>
      <c r="S71" s="15">
        <v>381</v>
      </c>
      <c r="T71" s="16">
        <v>434</v>
      </c>
      <c r="U71" s="25"/>
      <c r="V71" s="25"/>
      <c r="W71" s="25"/>
      <c r="X71" s="25"/>
      <c r="Y71" s="25"/>
      <c r="Z71" s="25"/>
      <c r="AA71" s="15">
        <v>471</v>
      </c>
      <c r="AB71" s="16">
        <v>547</v>
      </c>
      <c r="AC71" s="25"/>
    </row>
    <row r="72" spans="1:29">
      <c r="A72" s="113">
        <v>240</v>
      </c>
      <c r="B72" s="51">
        <v>380</v>
      </c>
      <c r="C72" s="16">
        <v>430</v>
      </c>
      <c r="D72" s="25"/>
      <c r="E72" s="25"/>
      <c r="F72" s="25"/>
      <c r="G72" s="25"/>
      <c r="H72" s="25"/>
      <c r="I72" s="25"/>
      <c r="J72" s="25"/>
      <c r="K72" s="15">
        <v>470</v>
      </c>
      <c r="L72" s="16">
        <v>530</v>
      </c>
      <c r="M72" s="25"/>
      <c r="N72" s="25"/>
      <c r="O72" s="25"/>
      <c r="P72" s="25"/>
      <c r="Q72" s="25"/>
      <c r="R72" s="25"/>
      <c r="S72" s="15">
        <v>330</v>
      </c>
      <c r="T72" s="16">
        <v>375</v>
      </c>
      <c r="U72" s="25"/>
      <c r="V72" s="25"/>
      <c r="W72" s="25"/>
      <c r="X72" s="25"/>
      <c r="Y72" s="25"/>
      <c r="Z72" s="25"/>
      <c r="AA72" s="15">
        <v>409</v>
      </c>
      <c r="AB72" s="16">
        <v>471</v>
      </c>
      <c r="AC72" s="25"/>
    </row>
    <row r="73" spans="1:29">
      <c r="A73" s="113">
        <v>185</v>
      </c>
      <c r="B73" s="51">
        <v>322</v>
      </c>
      <c r="C73" s="16">
        <v>363</v>
      </c>
      <c r="D73" s="25"/>
      <c r="E73" s="25"/>
      <c r="F73" s="25"/>
      <c r="G73" s="25"/>
      <c r="H73" s="25"/>
      <c r="I73" s="25"/>
      <c r="J73" s="25"/>
      <c r="K73" s="15">
        <v>397</v>
      </c>
      <c r="L73" s="16">
        <v>447</v>
      </c>
      <c r="M73" s="25"/>
      <c r="N73" s="25"/>
      <c r="O73" s="25"/>
      <c r="P73" s="25"/>
      <c r="Q73" s="25"/>
      <c r="R73" s="25"/>
      <c r="S73" s="15">
        <v>280</v>
      </c>
      <c r="T73" s="16">
        <v>315</v>
      </c>
      <c r="U73" s="25"/>
      <c r="V73" s="25"/>
      <c r="W73" s="25"/>
      <c r="X73" s="25"/>
      <c r="Y73" s="25"/>
      <c r="Z73" s="25"/>
      <c r="AA73" s="15">
        <v>347</v>
      </c>
      <c r="AB73" s="16">
        <v>395</v>
      </c>
      <c r="AC73" s="25"/>
    </row>
    <row r="74" spans="1:29">
      <c r="A74" s="113">
        <v>150</v>
      </c>
      <c r="B74" s="51">
        <v>282</v>
      </c>
      <c r="C74" s="16">
        <v>316</v>
      </c>
      <c r="D74" s="25"/>
      <c r="E74" s="25"/>
      <c r="F74" s="25"/>
      <c r="G74" s="25"/>
      <c r="H74" s="25"/>
      <c r="I74" s="25"/>
      <c r="J74" s="25"/>
      <c r="K74" s="15">
        <v>346</v>
      </c>
      <c r="L74" s="16">
        <v>389</v>
      </c>
      <c r="M74" s="25"/>
      <c r="N74" s="25"/>
      <c r="O74" s="25"/>
      <c r="P74" s="25"/>
      <c r="Q74" s="25"/>
      <c r="R74" s="25"/>
      <c r="S74" s="15">
        <v>245</v>
      </c>
      <c r="T74" s="16">
        <v>274</v>
      </c>
      <c r="U74" s="25"/>
      <c r="V74" s="25"/>
      <c r="W74" s="25"/>
      <c r="X74" s="25"/>
      <c r="Y74" s="25"/>
      <c r="Z74" s="25"/>
      <c r="AA74" s="15">
        <v>304</v>
      </c>
      <c r="AB74" s="16">
        <v>343</v>
      </c>
      <c r="AC74" s="25"/>
    </row>
    <row r="75" spans="1:29">
      <c r="A75" s="113">
        <v>120</v>
      </c>
      <c r="B75" s="51">
        <v>244</v>
      </c>
      <c r="C75" s="16">
        <v>273</v>
      </c>
      <c r="D75" s="25"/>
      <c r="E75" s="25"/>
      <c r="F75" s="25"/>
      <c r="G75" s="25"/>
      <c r="H75" s="25"/>
      <c r="I75" s="25"/>
      <c r="J75" s="25"/>
      <c r="K75" s="15">
        <v>300</v>
      </c>
      <c r="L75" s="16">
        <v>337</v>
      </c>
      <c r="M75" s="25"/>
      <c r="N75" s="25"/>
      <c r="O75" s="25"/>
      <c r="P75" s="25"/>
      <c r="Q75" s="25"/>
      <c r="R75" s="25"/>
      <c r="S75" s="15">
        <v>212</v>
      </c>
      <c r="T75" s="16">
        <v>237</v>
      </c>
      <c r="U75" s="25"/>
      <c r="V75" s="25"/>
      <c r="W75" s="25"/>
      <c r="X75" s="25"/>
      <c r="Y75" s="25"/>
      <c r="Z75" s="25"/>
      <c r="AA75" s="15">
        <v>263</v>
      </c>
      <c r="AB75" s="16">
        <v>296</v>
      </c>
      <c r="AC75" s="25"/>
    </row>
    <row r="76" spans="1:29">
      <c r="A76" s="113">
        <v>95</v>
      </c>
      <c r="B76" s="51">
        <v>210</v>
      </c>
      <c r="C76" s="16">
        <v>235</v>
      </c>
      <c r="D76" s="25"/>
      <c r="E76" s="25"/>
      <c r="F76" s="25"/>
      <c r="G76" s="25"/>
      <c r="H76" s="25"/>
      <c r="I76" s="25"/>
      <c r="J76" s="25"/>
      <c r="K76" s="15">
        <v>257</v>
      </c>
      <c r="L76" s="16">
        <v>289</v>
      </c>
      <c r="M76" s="25"/>
      <c r="N76" s="25"/>
      <c r="O76" s="25"/>
      <c r="P76" s="25"/>
      <c r="Q76" s="25"/>
      <c r="R76" s="25"/>
      <c r="S76" s="15">
        <v>183</v>
      </c>
      <c r="T76" s="16">
        <v>203</v>
      </c>
      <c r="U76" s="25"/>
      <c r="V76" s="25"/>
      <c r="W76" s="25"/>
      <c r="X76" s="25"/>
      <c r="Y76" s="25"/>
      <c r="Z76" s="25"/>
      <c r="AA76" s="15">
        <v>227</v>
      </c>
      <c r="AB76" s="16">
        <v>253</v>
      </c>
      <c r="AC76" s="25"/>
    </row>
    <row r="77" spans="1:29">
      <c r="A77" s="113">
        <v>70</v>
      </c>
      <c r="B77" s="51">
        <v>173</v>
      </c>
      <c r="C77" s="16">
        <v>192</v>
      </c>
      <c r="D77" s="25"/>
      <c r="E77" s="25"/>
      <c r="F77" s="25"/>
      <c r="G77" s="12" t="s">
        <v>40</v>
      </c>
      <c r="H77" s="25"/>
      <c r="I77" s="25"/>
      <c r="J77" s="25"/>
      <c r="K77" s="15">
        <v>211</v>
      </c>
      <c r="L77" s="16">
        <v>237</v>
      </c>
      <c r="M77" s="25"/>
      <c r="N77" s="25"/>
      <c r="O77" s="25"/>
      <c r="P77" s="25"/>
      <c r="Q77" s="25"/>
      <c r="R77" s="25"/>
      <c r="S77" s="15">
        <v>150</v>
      </c>
      <c r="T77" s="16">
        <v>166</v>
      </c>
      <c r="U77" s="25"/>
      <c r="V77" s="25"/>
      <c r="W77" s="25"/>
      <c r="X77" s="25"/>
      <c r="Y77" s="25"/>
      <c r="Z77" s="25"/>
      <c r="AA77" s="15">
        <v>187</v>
      </c>
      <c r="AB77" s="16">
        <v>206</v>
      </c>
      <c r="AC77" s="25"/>
    </row>
    <row r="78" spans="1:29">
      <c r="A78" s="113">
        <v>50</v>
      </c>
      <c r="B78" s="51">
        <v>135</v>
      </c>
      <c r="C78" s="16">
        <v>149</v>
      </c>
      <c r="D78" s="25"/>
      <c r="E78" s="25"/>
      <c r="F78" s="25"/>
      <c r="G78" s="12" t="s">
        <v>41</v>
      </c>
      <c r="H78" s="25"/>
      <c r="I78" s="25"/>
      <c r="J78" s="25"/>
      <c r="K78" s="15">
        <v>164</v>
      </c>
      <c r="L78" s="16">
        <v>184</v>
      </c>
      <c r="M78" s="25"/>
      <c r="N78" s="25"/>
      <c r="O78" s="25"/>
      <c r="P78" s="25"/>
      <c r="Q78" s="25"/>
      <c r="R78" s="25"/>
      <c r="S78" s="15">
        <v>117</v>
      </c>
      <c r="T78" s="16">
        <v>128</v>
      </c>
      <c r="U78" s="25"/>
      <c r="V78" s="25"/>
      <c r="W78" s="25"/>
      <c r="X78" s="25"/>
      <c r="Y78" s="25"/>
      <c r="Z78" s="25"/>
      <c r="AA78" s="15">
        <v>146</v>
      </c>
      <c r="AB78" s="16">
        <v>159</v>
      </c>
      <c r="AC78" s="25"/>
    </row>
    <row r="79" spans="1:29">
      <c r="A79" s="113">
        <v>35</v>
      </c>
      <c r="B79" s="51">
        <v>111</v>
      </c>
      <c r="C79" s="16">
        <v>122</v>
      </c>
      <c r="D79" s="25"/>
      <c r="E79" s="25"/>
      <c r="F79" s="25"/>
      <c r="G79" s="25"/>
      <c r="H79" s="25"/>
      <c r="I79" s="25"/>
      <c r="J79" s="25"/>
      <c r="K79" s="15">
        <v>135</v>
      </c>
      <c r="L79" s="16">
        <v>150</v>
      </c>
      <c r="M79" s="25"/>
      <c r="N79" s="25"/>
      <c r="O79" s="25"/>
      <c r="P79" s="25"/>
      <c r="Q79" s="25"/>
      <c r="R79" s="25"/>
      <c r="S79" s="15">
        <v>96</v>
      </c>
      <c r="T79" s="16">
        <v>105</v>
      </c>
      <c r="U79" s="25"/>
      <c r="V79" s="25"/>
      <c r="W79" s="25"/>
      <c r="X79" s="25"/>
      <c r="Y79" s="25"/>
      <c r="Z79" s="25"/>
      <c r="AA79" s="15">
        <v>120</v>
      </c>
      <c r="AB79" s="16">
        <v>129</v>
      </c>
      <c r="AC79" s="25"/>
    </row>
    <row r="80" spans="1:29">
      <c r="A80" s="113">
        <v>25</v>
      </c>
      <c r="B80" s="51">
        <v>89</v>
      </c>
      <c r="C80" s="16">
        <v>98</v>
      </c>
      <c r="D80" s="25"/>
      <c r="E80" s="25"/>
      <c r="F80" s="25"/>
      <c r="G80" s="12" t="s">
        <v>138</v>
      </c>
      <c r="H80" s="25"/>
      <c r="I80" s="25"/>
      <c r="J80" s="25"/>
      <c r="K80" s="15">
        <v>108</v>
      </c>
      <c r="L80" s="16">
        <v>121</v>
      </c>
      <c r="M80" s="25"/>
      <c r="N80" s="25"/>
      <c r="O80" s="25"/>
      <c r="P80" s="25"/>
      <c r="Q80" s="25"/>
      <c r="R80" s="25"/>
      <c r="S80" s="15">
        <v>78</v>
      </c>
      <c r="T80" s="16">
        <v>84</v>
      </c>
      <c r="U80" s="25"/>
      <c r="V80" s="25"/>
      <c r="W80" s="25"/>
      <c r="X80" s="25"/>
      <c r="Y80" s="25"/>
      <c r="Z80" s="25"/>
      <c r="AA80" s="15">
        <v>97</v>
      </c>
      <c r="AB80" s="16">
        <v>103</v>
      </c>
      <c r="AC80" s="25"/>
    </row>
    <row r="81" spans="1:29">
      <c r="A81" s="113">
        <v>16</v>
      </c>
      <c r="B81" s="51">
        <v>73</v>
      </c>
      <c r="C81" s="16"/>
      <c r="D81" s="25"/>
      <c r="E81" s="25"/>
      <c r="F81" s="25"/>
      <c r="G81" s="12" t="s">
        <v>140</v>
      </c>
      <c r="H81" s="25"/>
      <c r="I81" s="25"/>
      <c r="J81" s="25"/>
      <c r="K81" s="15">
        <v>91</v>
      </c>
      <c r="L81" s="16"/>
      <c r="M81" s="25"/>
      <c r="N81" s="25"/>
      <c r="O81" s="25"/>
      <c r="P81" s="25"/>
      <c r="Q81" s="25"/>
      <c r="R81" s="25"/>
      <c r="S81" s="15">
        <v>61</v>
      </c>
      <c r="T81" s="16"/>
      <c r="U81" s="25"/>
      <c r="V81" s="25"/>
      <c r="W81" s="25"/>
      <c r="X81" s="25"/>
      <c r="Y81" s="25"/>
      <c r="Z81" s="25"/>
      <c r="AA81" s="15">
        <v>77</v>
      </c>
      <c r="AB81" s="16"/>
      <c r="AC81" s="25"/>
    </row>
    <row r="82" spans="1:29">
      <c r="A82" s="113">
        <v>10</v>
      </c>
      <c r="B82" s="51">
        <v>54</v>
      </c>
      <c r="C82" s="16"/>
      <c r="D82" s="25"/>
      <c r="E82" s="25"/>
      <c r="F82" s="25"/>
      <c r="G82" s="12" t="s">
        <v>139</v>
      </c>
      <c r="H82" s="25"/>
      <c r="I82" s="25"/>
      <c r="J82" s="25"/>
      <c r="K82" s="15">
        <v>67</v>
      </c>
      <c r="L82" s="16"/>
      <c r="M82" s="25"/>
      <c r="N82" s="25"/>
      <c r="O82" s="25"/>
      <c r="P82" s="25"/>
      <c r="Q82" s="25"/>
      <c r="R82" s="25"/>
      <c r="S82" s="15">
        <v>46</v>
      </c>
      <c r="T82" s="16"/>
      <c r="U82" s="25"/>
      <c r="V82" s="25"/>
      <c r="W82" s="25"/>
      <c r="X82" s="25"/>
      <c r="Y82" s="25"/>
      <c r="Z82" s="25"/>
      <c r="AA82" s="15">
        <v>58</v>
      </c>
      <c r="AB82" s="16"/>
      <c r="AC82" s="25"/>
    </row>
    <row r="83" spans="1:29">
      <c r="A83" s="113">
        <v>6</v>
      </c>
      <c r="B83" s="51">
        <v>39</v>
      </c>
      <c r="C83" s="16"/>
      <c r="D83" s="25"/>
      <c r="E83" s="25"/>
      <c r="F83" s="25"/>
      <c r="G83" s="12" t="s">
        <v>141</v>
      </c>
      <c r="H83" s="25"/>
      <c r="I83" s="25"/>
      <c r="J83" s="25"/>
      <c r="K83" s="15">
        <v>49</v>
      </c>
      <c r="L83" s="16"/>
      <c r="M83" s="25"/>
      <c r="N83" s="25"/>
      <c r="O83" s="25"/>
      <c r="P83" s="25"/>
      <c r="Q83" s="25"/>
      <c r="R83" s="25"/>
      <c r="S83" s="15">
        <v>33</v>
      </c>
      <c r="T83" s="16"/>
      <c r="U83" s="25"/>
      <c r="V83" s="25"/>
      <c r="W83" s="25"/>
      <c r="X83" s="25"/>
      <c r="Y83" s="25"/>
      <c r="Z83" s="25"/>
      <c r="AA83" s="15">
        <v>42</v>
      </c>
      <c r="AB83" s="16"/>
      <c r="AC83" s="25"/>
    </row>
    <row r="84" spans="1:29">
      <c r="A84" s="113">
        <v>4</v>
      </c>
      <c r="B84" s="51">
        <v>31</v>
      </c>
      <c r="C84" s="16"/>
      <c r="D84" s="25"/>
      <c r="E84" s="25"/>
      <c r="F84" s="25"/>
      <c r="G84" s="25"/>
      <c r="H84" s="25"/>
      <c r="I84" s="25"/>
      <c r="J84" s="25"/>
      <c r="K84" s="15">
        <v>38</v>
      </c>
      <c r="L84" s="16"/>
      <c r="M84" s="25"/>
      <c r="N84" s="25"/>
      <c r="O84" s="25"/>
      <c r="P84" s="25"/>
      <c r="Q84" s="25"/>
      <c r="R84" s="25"/>
      <c r="S84" s="15">
        <v>26</v>
      </c>
      <c r="T84" s="16"/>
      <c r="U84" s="25"/>
      <c r="V84" s="25"/>
      <c r="W84" s="25"/>
      <c r="X84" s="25"/>
      <c r="Y84" s="25"/>
      <c r="Z84" s="25"/>
      <c r="AA84" s="15">
        <v>32</v>
      </c>
      <c r="AB84" s="16"/>
      <c r="AC84" s="25"/>
    </row>
    <row r="85" spans="1:29" ht="15" thickBot="1">
      <c r="A85" s="115">
        <v>2.5</v>
      </c>
      <c r="B85" s="116">
        <v>23</v>
      </c>
      <c r="C85" s="9"/>
      <c r="D85" s="25"/>
      <c r="E85" s="25"/>
      <c r="F85" s="25"/>
      <c r="G85" s="25"/>
      <c r="H85" s="25"/>
      <c r="I85" s="25"/>
      <c r="J85" s="25"/>
      <c r="K85" s="8">
        <v>28</v>
      </c>
      <c r="L85" s="9"/>
      <c r="M85" s="25"/>
      <c r="N85" s="25"/>
      <c r="O85" s="25"/>
      <c r="P85" s="25"/>
      <c r="Q85" s="25"/>
      <c r="R85" s="25"/>
      <c r="S85" s="8">
        <v>19.5</v>
      </c>
      <c r="T85" s="9"/>
      <c r="U85" s="25"/>
      <c r="V85" s="25"/>
      <c r="W85" s="25"/>
      <c r="X85" s="25"/>
      <c r="Y85" s="25"/>
      <c r="Z85" s="25"/>
      <c r="AA85" s="8">
        <v>24</v>
      </c>
      <c r="AB85" s="9"/>
      <c r="AC85" s="25"/>
    </row>
    <row r="88" spans="1:29">
      <c r="B88" t="b">
        <f>IF(AND(C9="E",$B$2="CU 2 belastede leder",$B$3="70°C PVC"),INDEX('Ark4'!$A$47:$A$65,MATCH($C$23,'Ark4'!B47:B65,-1),'Ark4'!$A$2),IF(AND(D9="F",$B$2="CU 2 belastede leder",$B$3="70°C PVC"),INDEX('Ark4'!$A$47:$A$65,MATCH($C$23,'Ark4'!C47:C65,-1),'Ark4'!$A$2),IF(AND(L9="E",$B$2="CU 3 belastede leder",$B$3="70°C PVC"),INDEX('Ark4'!$A$47:$A$65,MATCH($C$23,'Ark4'!K47:K65,-1),'Ark4'!$A$2),IF(AND(M9="F",$B$2="CU 3 belastede leder",$B$3="70°C PVC"),INDEX('Ark4'!$A$47:$A$65,MATCH($C$23,'Ark4'!L47:L65,-1),'Ark4'!$A$2),IF(AND(T9="E",$B$2="CU 2 belastede leder",$B$3="90°C XPLE &amp; EPR"),INDEX('Ark4'!$A$47:$A$65,MATCH($C$23,'Ark4'!S47:S65,-1),'Ark4'!$A$2),IF(AND(U9="F",$B$2="CU 2 belastede leder",$B$3="90°C XPLE &amp; EPR"),INDEX('Ark4'!$A$47:$A$65,MATCH($C$23,'Ark4'!T47:T65,-1),'Ark4'!$A$2),IF(AND(AB9="E",$B$2="CU 3 belastede leder",$B$3="90°C XPLE &amp; EPR"),INDEX('Ark4'!$A$47:$A$65,MATCH($C$23,'Ark4'!AA47:AA65,-1),'Ark4'!$A$2),IF(AND(AC9="F",$B$2="CU 3 belastede leder",$B$3="90°C XPLE &amp; EPR"),INDEX('Ark4'!$A$47:$A$65,MATCH($C$23,'Ark4'!AB47:AB65,-1),'Ark4'!$A$2)))))))))</f>
        <v>0</v>
      </c>
      <c r="C88" t="b">
        <f>IF(AND(D9="F",$B$2="CU 2 belastede leder",$B$3="70°C PVC"),INDEX('Ark4'!$A$47:$A$65,MATCH($C$23,'Ark4'!C47:C65,-1),'Ark4'!$A$2),IF(AND(L9="E",$B$2="CU 3 belastede leder",$B$3="70°C PVC"),INDEX('Ark4'!$A$47:$A$65,MATCH($C$23,'Ark4'!K47:K65,-1),'Ark4'!$A$2),IF(AND(M9="F",$B$2="CU 3 belastede leder",$B$3="70°C PVC"),INDEX('Ark4'!$A$47:$A$65,MATCH($C$23,'Ark4'!L47:L65,-1),'Ark4'!$A$2),IF(AND(T9="E",$B$2="CU 2 belastede leder",$B$3="90°C XPLE &amp; EPR"),INDEX('Ark4'!$A$47:$A$65,MATCH($C$23,'Ark4'!S47:S65,-1),'Ark4'!$A$2),IF(AND(U9="F",$B$2="CU 2 belastede leder",$B$3="90°C XPLE &amp; EPR"),INDEX('Ark4'!$A$47:$A$65,MATCH($C$23,'Ark4'!T47:T65,-1),'Ark4'!$A$2),IF(AND(AB9="E",$B$2="CU 3 belastede leder",$B$3="90°C XPLE &amp; EPR"),INDEX('Ark4'!$A$47:$A$65,MATCH($C$23,'Ark4'!AA47:AA65,-1),'Ark4'!$A$2),IF(AND(AC9="F",$B$2="CU 3 belastede leder",$B$3="90°C XPLE &amp; EPR"),INDEX('Ark4'!$A$47:$A$65,MATCH($C$23,'Ark4'!AB47:AB65,-1),'Ark4'!$A$2))))))))</f>
        <v>0</v>
      </c>
      <c r="K88" t="b">
        <f>IF(AND(L9="E",$B$2="CU 3 belastede leder",$B$3="70°C PVC"),INDEX('Ark4'!$A$47:$A$65,MATCH($C$23,'Ark4'!K47:K65,-1),'Ark4'!$A$2),IF(AND(M9="F",$B$2="CU 3 belastede leder",$B$3="70°C PVC"),INDEX('Ark4'!$A$47:$A$65,MATCH($C$23,'Ark4'!L47:L65,-1),'Ark4'!$A$2),IF(AND(T9="E",$B$2="CU 2 belastede leder",$B$3="90°C XPLE &amp; EPR"),INDEX('Ark4'!$A$47:$A$65,MATCH($C$23,'Ark4'!S47:S65,-1),'Ark4'!$A$2),IF(AND(U9="F",$B$2="CU 2 belastede leder",$B$3="90°C XPLE &amp; EPR"),INDEX('Ark4'!$A$47:$A$65,MATCH($C$23,'Ark4'!T47:T65,-1),'Ark4'!$A$2),IF(AND(AB9="E",$B$2="CU 3 belastede leder",$B$3="90°C XPLE &amp; EPR"),INDEX('Ark4'!$A$47:$A$65,MATCH($C$23,'Ark4'!AA47:AA65,-1),'Ark4'!$A$2),IF(AND(AC9="F",$B$2="CU 3 belastede leder",$B$3="90°C XPLE &amp; EPR"),INDEX('Ark4'!$A$47:$A$65,MATCH($C$23,'Ark4'!AB47:AB65,-1),'Ark4'!$A$2)))))))</f>
        <v>0</v>
      </c>
      <c r="L88" t="b">
        <f>IF(AND(M9="F",$B$2="CU 3 belastede leder",$B$3="70°C PVC"),INDEX('Ark4'!$A$47:$A$65,MATCH($C$23,'Ark4'!L47:L65,-1),'Ark4'!$A$2),IF(AND(T9="E",$B$2="CU 2 belastede leder",$B$3="90°C XPLE &amp; EPR"),INDEX('Ark4'!$A$47:$A$65,MATCH($C$23,'Ark4'!S47:S65,-1),'Ark4'!$A$2),IF(AND(U9="F",$B$2="CU 2 belastede leder",$B$3="90°C XPLE &amp; EPR"),INDEX('Ark4'!$A$47:$A$65,MATCH($C$23,'Ark4'!T47:T65,-1),'Ark4'!$A$2),IF(AND(AB9="E",$B$2="CU 3 belastede leder",$B$3="90°C XPLE &amp; EPR"),INDEX('Ark4'!$A$47:$A$65,MATCH($C$23,'Ark4'!AA47:AA65,-1),'Ark4'!$A$2),IF(AND(AC9="F",$B$2="CU 3 belastede leder",$B$3="90°C XPLE &amp; EPR"),INDEX('Ark4'!$A$47:$A$65,MATCH($C$23,'Ark4'!AB47:AB65,-1),'Ark4'!$A$2))))))</f>
        <v>0</v>
      </c>
      <c r="S88" t="b">
        <f>IF(AND(T9="E",$B$2="CU 2 belastede leder",$B$3="90°C XPLE &amp; EPR"),INDEX('Ark4'!$A$47:$A$65,MATCH($C$23,'Ark4'!S47:S65,-1),'Ark4'!$A$2),IF(AND(U9="F",$B$2="CU 2 belastede leder",$B$3="90°C XPLE &amp; EPR"),INDEX('Ark4'!$A$47:$A$65,MATCH($C$23,'Ark4'!T47:T65,-1),'Ark4'!$A$2),IF(AND(AB9="E",$B$2="CU 3 belastede leder",$B$3="90°C XPLE &amp; EPR"),INDEX('Ark4'!$A$47:$A$65,MATCH($C$23,'Ark4'!AA47:AA65,-1),'Ark4'!$A$2),IF(AND(AC9="F",$B$2="CU 3 belastede leder",$B$3="90°C XPLE &amp; EPR"),INDEX('Ark4'!$A$47:$A$65,MATCH($C$23,'Ark4'!AB47:AB65,-1),'Ark4'!$A$2)))))</f>
        <v>0</v>
      </c>
      <c r="T88" t="b">
        <f>IF(AND(U9="F",$B$2="CU 2 belastede leder",$B$3="90°C XPLE &amp; EPR"),INDEX('Ark4'!$A$47:$A$65,MATCH($C$23,'Ark4'!T47:T65,-1),'Ark4'!$A$2),IF(AND(AB9="E",$B$2="CU 3 belastede leder",$B$3="90°C XPLE &amp; EPR"),INDEX('Ark4'!$A$47:$A$65,MATCH($C$23,'Ark4'!AA47:AA65,-1),'Ark4'!$A$2),IF(AND(AC9="F",$B$2="CU 3 belastede leder",$B$3="90°C XPLE &amp; EPR"),INDEX('Ark4'!$A$47:$A$65,MATCH($C$23,'Ark4'!AB47:AB65,-1),'Ark4'!$A$2))))</f>
        <v>0</v>
      </c>
      <c r="AA88" t="b">
        <f>IF(AND(AB9="E",$B$2="CU 3 belastede leder",$B$3="90°C XPLE &amp; EPR"),INDEX('Ark4'!$A$47:$A$65,MATCH($C$23,'Ark4'!AA47:AA65,-1),'Ark4'!$A$2),IF(AND(AC9="F",$B$2="CU 3 belastede leder",$B$3="90°C XPLE &amp; EPR"),INDEX('Ark4'!$A$47:$A$65,MATCH($C$23,'Ark4'!AB47:AB65,-1),'Ark4'!$A$2)))</f>
        <v>0</v>
      </c>
      <c r="AB88" t="b">
        <f>IF(AND(AC9="F",$B$2="CU 3 belastede leder",$B$3="90°C XPLE &amp; EPR"),INDEX('Ark4'!$A$47:$A$65,MATCH($C$23,'Ark4'!AB47:AB65,-1),'Ark4'!$A$2))</f>
        <v>0</v>
      </c>
    </row>
    <row r="89" spans="1:29">
      <c r="B89" t="b">
        <f>IF(AND(C10="E",$B$2="AL 2 belastede leder",$B$3="70°C PVC"),INDEX('Ark4'!$A$68:$A$86,MATCH($C$23,'Ark4'!B68:B86,-1),'Ark4'!$A$2),IF(AND(C10="F",$B$2="AL 2 belastede leder",$B$3="70°C PVC"),INDEX('Ark4'!$A$68:$A$86,MATCH($C$23,'Ark4'!C68:C86,-1),'Ark4'!$A$2),IF(AND(C10="E",$B$2="AL 3 belastede leder",$B$3="70°C PVC"),INDEX('Ark4'!$A$68:$A$86,MATCH($C$23,'Ark4'!K68:K86,-1),'Ark4'!$A$2),IF(AND(C10="F",$B$2="AL 3 belastede leder",$B$3="70°C PVC"),INDEX('Ark4'!$A$68:$A$86,MATCH($C$23,'Ark4'!L68:L86,-1),'Ark4'!$A$2),IF(AND(C10="E",$B$2="AL 2 belastede leder",$B$3="90°C XPLE &amp; EPR"),INDEX('Ark4'!$A$68:$A$86,MATCH($C$23,'Ark4'!S68:S86,-1),'Ark4'!$A$2),IF(AND(C10="F",$B$2="AL 2 belastede leder",$B$3="90°C XPLE &amp; EPR"),INDEX('Ark4'!$A$68:$A$86,MATCH($C$23,'Ark4'!T68:T86,-1),'Ark4'!$A$2),IF(AND(C10="E",$B$2="AL 3 belastede leder",$B$3="90°C XPLE &amp; EPR"),INDEX('Ark4'!$A$68:$A$86,MATCH($C$23,'Ark4'!AA68:AA86,-1),'Ark4'!$A$2),IF(AND(C10="F",$B$2="AL 3 belastede leder",$B$3="90°C XPLE &amp; EPR"),INDEX('Ark4'!$A$68:$A$86,MATCH($C$23,'Ark4'!AB68:AB86,-1),'Ark4'!$A$2)))))))))</f>
        <v>0</v>
      </c>
      <c r="C89" t="b">
        <f>IF(AND(D10="F",$B$2="AL 2 belastede leder",$B$3="70°C PVC"),INDEX('Ark4'!$A$68:$A$86,MATCH($C$23,'Ark4'!C68:C86,-1),'Ark4'!$A$2),IF(AND(L10="E",$B$2="AL 3 belastede leder",$B$3="70°C PVC"),INDEX('Ark4'!$A$68:$A$86,MATCH($C$23,'Ark4'!K68:K86,-1),'Ark4'!$A$2),IF(AND(M10="F",$B$2="AL 3 belastede leder",$B$3="70°C PVC"),INDEX('Ark4'!$A$68:$A$86,MATCH($C$23,'Ark4'!L68:L86,-1),'Ark4'!$A$2),IF(AND(T10="E",$B$2="AL 2 belastede leder",$B$3="90°C XPLE &amp; EPR"),INDEX('Ark4'!$A$68:$A$86,MATCH($C$23,'Ark4'!S68:S86,-1),'Ark4'!$A$2),IF(AND(U10="F",$B$2="AL 2 belastede leder",$B$3="90°C XPLE &amp; EPR"),INDEX('Ark4'!$A$68:$A$86,MATCH($C$23,'Ark4'!T68:T86,-1),'Ark4'!$A$2),IF(AND(AB10="E",$B$2="AL 3 belastede leder",$B$3="90°C XPLE &amp; EPR"),INDEX('Ark4'!$A$68:$A$86,MATCH($C$23,'Ark4'!AA68:AA86,-1),'Ark4'!$A$2),IF(AND(AC10="F",$B$2="AL 3 belastede leder",$B$3="90°C XPLE &amp; EPR"),INDEX('Ark4'!$A$68:$A$86,MATCH($C$23,'Ark4'!AB68:AB86,-1),'Ark4'!$A$2))))))))</f>
        <v>0</v>
      </c>
      <c r="K89" t="b">
        <f>IF(AND(L10="E",$B$2="AL 3 belastede leder",$B$3="70°C PVC"),INDEX('Ark4'!$A$68:$A$86,MATCH($C$23,'Ark4'!K68:K86,-1),'Ark4'!$A$2),IF(AND(M10="F",$B$2="AL 3 belastede leder",$B$3="70°C PVC"),INDEX('Ark4'!$A$68:$A$86,MATCH($C$23,'Ark4'!L68:L86,-1),'Ark4'!$A$2),IF(AND(T10="E",$B$2="AL 2 belastede leder",$B$3="90°C XPLE &amp; EPR"),INDEX('Ark4'!$A$68:$A$86,MATCH($C$23,'Ark4'!S68:S86,-1),'Ark4'!$A$2),IF(AND(U10="F",$B$2="AL 2 belastede leder",$B$3="90°C XPLE &amp; EPR"),INDEX('Ark4'!$A$68:$A$86,MATCH($C$23,'Ark4'!T68:T86,-1),'Ark4'!$A$2),IF(AND(AB10="E",$B$2="AL 3 belastede leder",$B$3="90°C XPLE &amp; EPR"),INDEX('Ark4'!$A$68:$A$86,MATCH($C$23,'Ark4'!AA68:AA86,-1),'Ark4'!$A$2),IF(AND(AC10="F",$B$2="AL 3 belastede leder",$B$3="90°C XPLE &amp; EPR"),INDEX('Ark4'!$A$68:$A$86,MATCH($C$23,'Ark4'!AB68:AB86,-1),'Ark4'!$A$2)))))))</f>
        <v>0</v>
      </c>
      <c r="L89" t="b">
        <f>IF(AND(M10="F",$B$2="AL 3 belastede leder",$B$3="70°C PVC"),INDEX('Ark4'!$A$68:$A$86,MATCH($C$23,'Ark4'!L68:L86,-1),'Ark4'!$A$2),IF(AND(T10="E",$B$2="AL 2 belastede leder",$B$3="90°C XPLE &amp; EPR"),INDEX('Ark4'!$A$68:$A$86,MATCH($C$23,'Ark4'!S68:S86,-1),'Ark4'!$A$2),IF(AND(U10="F",$B$2="AL 2 belastede leder",$B$3="90°C XPLE &amp; EPR"),INDEX('Ark4'!$A$68:$A$86,MATCH($C$23,'Ark4'!T68:T86,-1),'Ark4'!$A$2),IF(AND(AB10="E",$B$2="AL 3 belastede leder",$B$3="90°C XPLE &amp; EPR"),INDEX('Ark4'!$A$68:$A$86,MATCH($C$23,'Ark4'!AA68:AA86,-1),'Ark4'!$A$2),IF(AND(AC10="F",$B$2="AL 3 belastede leder",$B$3="90°C XPLE &amp; EPR"),INDEX('Ark4'!$A$68:$A$86,MATCH($C$23,'Ark4'!AB68:AB86,-1),'Ark4'!$A$2))))))</f>
        <v>0</v>
      </c>
      <c r="S89" t="b">
        <f>IF(AND(T10="E",$B$2="AL 2 belastede leder",$B$3="90°C XPLE &amp; EPR"),INDEX('Ark4'!$A$68:$A$86,MATCH($C$23,'Ark4'!S68:S86,-1),'Ark4'!$A$2),IF(AND(U10="F",$B$2="AL 2 belastede leder",$B$3="90°C XPLE &amp; EPR"),INDEX('Ark4'!$A$68:$A$86,MATCH($C$23,'Ark4'!T68:T86,-1),'Ark4'!$A$2),IF(AND(AB10="E",$B$2="AL 3 belastede leder",$B$3="90°C XPLE &amp; EPR"),INDEX('Ark4'!$A$68:$A$86,MATCH($C$23,'Ark4'!AA68:AA86,-1),'Ark4'!$A$2),IF(AND(AC10="F",$B$2="AL 3 belastede leder",$B$3="90°C XPLE &amp; EPR"),INDEX('Ark4'!$A$68:$A$86,MATCH($C$23,'Ark4'!AB68:AB86,-1),'Ark4'!$A$2)))))</f>
        <v>0</v>
      </c>
      <c r="T89" t="b">
        <f>IF(AND(U10="F",$B$2="AL 2 belastede leder",$B$3="90°C XPLE &amp; EPR"),INDEX('Ark4'!$A$68:$A$86,MATCH($C$23,'Ark4'!T68:T86,-1),'Ark4'!$A$2),IF(AND(AB10="E",$B$2="AL 3 belastede leder",$B$3="90°C XPLE &amp; EPR"),INDEX('Ark4'!$A$68:$A$86,MATCH($C$23,'Ark4'!AA68:AA86,-1),'Ark4'!$A$2),IF(AND(AC10="F",$B$2="AL 3 belastede leder",$B$3="90°C XPLE &amp; EPR"),INDEX('Ark4'!$A$68:$A$86,MATCH($C$23,'Ark4'!AB68:AB86,-1),'Ark4'!$A$2))))</f>
        <v>0</v>
      </c>
      <c r="AA89" t="b">
        <f>IF(AND(AB10="E",$B$2="AL 3 belastede leder",$B$3="90°C XPLE &amp; EPR"),INDEX('Ark4'!$A$68:$A$86,MATCH($C$23,'Ark4'!AA68:AA86,-1),'Ark4'!$A$2),IF(AND(AC10="F",$B$2="AL 3 belastede leder",$B$3="90°C XPLE &amp; EPR"),INDEX('Ark4'!$A$68:$A$86,MATCH($C$23,'Ark4'!AB68:AB86,-1),'Ark4'!$A$2)))</f>
        <v>0</v>
      </c>
      <c r="AB89" t="b">
        <f>IF(AND(AC10="F",$B$2="AL 3 belastede leder",$B$3="90°C XPLE &amp; EPR"),INDEX('Ark4'!$A$68:$A$86,MATCH($C$23,'Ark4'!AB68:AB86,-1),'Ark4'!$A$2))</f>
        <v>0</v>
      </c>
    </row>
    <row r="91" spans="1:29">
      <c r="B91">
        <f>INDEX('Ark4'!$A$47:$A$65,MATCH($AC$91,'Ark4'!$B$47:$B$65,-1),'Ark4'!$A$2)</f>
        <v>1.5</v>
      </c>
      <c r="C91">
        <f>INDEX('Ark4'!$A$47:$A$65,MATCH($AC$91,'Ark4'!$C$47:$C$65,-1),'Ark4'!$A$2)</f>
        <v>25</v>
      </c>
      <c r="K91">
        <f>INDEX('Ark4'!$A$47:$A$65,MATCH($AC$91,'Ark4'!$K$47:$K$65,-1),'Ark4'!$A$2)</f>
        <v>1.5</v>
      </c>
      <c r="L91">
        <f>INDEX('Ark4'!$A$47:$A$65,MATCH($AC$91,'Ark4'!$L$47:$L$65,-1),'Ark4'!$A$2)</f>
        <v>25</v>
      </c>
      <c r="S91">
        <f>INDEX('Ark4'!$A$47:$A$65,MATCH($AC$91,'Ark4'!$S$47:$S$65,-1),'Ark4'!$A$2)</f>
        <v>2.5</v>
      </c>
      <c r="T91">
        <f>INDEX('Ark4'!$A$47:$A$65,MATCH($AC$91,'Ark4'!$T$47:$T$65,-1),'Ark4'!$A$2)</f>
        <v>25</v>
      </c>
      <c r="AA91">
        <f>INDEX('Ark4'!$A$47:$A$65,MATCH($AC$91,'Ark4'!$AA$47:$AA$65,-1),'Ark4'!$A$2)</f>
        <v>1.5</v>
      </c>
      <c r="AB91">
        <f>INDEX('Ark4'!$A$47:$A$65,MATCH($AC$91,'Ark4'!$AB$47:$AB$65,-1),'Ark4'!$A$2)</f>
        <v>25</v>
      </c>
      <c r="AC91">
        <v>20</v>
      </c>
    </row>
    <row r="92" spans="1:29">
      <c r="B92">
        <f>INDEX('Ark4'!$A$68:$A$86,MATCH(AC91,'Ark4'!$B$68:$B$86,-1),'Ark4'!$A$2)</f>
        <v>2.5</v>
      </c>
      <c r="C92">
        <f>INDEX('Ark4'!$A$68:$A$86,MATCH(AC91,'Ark4'!$C$68:$C$86,-1),'Ark4'!$A$2)</f>
        <v>25</v>
      </c>
      <c r="K92">
        <f>INDEX('Ark4'!$A$68:$A$86,MATCH(AC91,'Ark4'!$K$68:$K$86,-1),'Ark4'!$A$2)</f>
        <v>2.5</v>
      </c>
      <c r="L92">
        <f>INDEX('Ark4'!$A$68:$A$86,MATCH(M91,'Ark4'!$L$68:$L$86,-1),'Ark4'!$A$2)</f>
        <v>25</v>
      </c>
      <c r="S92">
        <f>INDEX('Ark4'!$A$68:$A$86,MATCH(AC91,'Ark4'!$S$68:$S$86,-1),'Ark4'!$A$2)</f>
        <v>4</v>
      </c>
      <c r="T92">
        <f>INDEX('Ark4'!$A$68:$A$86,MATCH(AC91,'Ark4'!$T$68:$T$86,-1),'Ark4'!$A$2)</f>
        <v>25</v>
      </c>
      <c r="AA92">
        <f>INDEX('Ark4'!$A$68:$A$86,MATCH(AC91,'Ark4'!$AA$68:$AA$86,-1),'Ark4'!$A$2)</f>
        <v>2.5</v>
      </c>
      <c r="AB92">
        <f>INDEX('Ark4'!$A$68:$A$86,MATCH(AC91,'Ark4'!$AB$68:$AB$86,-1),'Ark4'!$A$2)</f>
        <v>25</v>
      </c>
    </row>
  </sheetData>
  <sortState xmlns:xlrd2="http://schemas.microsoft.com/office/spreadsheetml/2017/richdata2" ref="B51:B65">
    <sortCondition descending="1" ref="B51"/>
  </sortState>
  <mergeCells count="8">
    <mergeCell ref="L44:N45"/>
    <mergeCell ref="T44:V45"/>
    <mergeCell ref="AB44:AD45"/>
    <mergeCell ref="C1:E2"/>
    <mergeCell ref="K1:M2"/>
    <mergeCell ref="S1:U2"/>
    <mergeCell ref="AA1:AC2"/>
    <mergeCell ref="D44:F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Ark1</vt:lpstr>
      <vt:lpstr>kt,ks,kj</vt:lpstr>
      <vt:lpstr>Ark3</vt:lpstr>
      <vt:lpstr>Ark4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Mikkel</dc:creator>
  <cp:lastModifiedBy>Mohammed al jabri</cp:lastModifiedBy>
  <dcterms:created xsi:type="dcterms:W3CDTF">2017-10-30T07:27:26Z</dcterms:created>
  <dcterms:modified xsi:type="dcterms:W3CDTF">2020-08-24T19:19:26Z</dcterms:modified>
</cp:coreProperties>
</file>