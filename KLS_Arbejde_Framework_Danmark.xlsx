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ahram\Downloads\"/>
    </mc:Choice>
  </mc:AlternateContent>
  <xr:revisionPtr revIDLastSave="0" documentId="13_ncr:1_{96A7D634-C1A5-4633-8CB5-80C6C93EDBEA}" xr6:coauthVersionLast="47" xr6:coauthVersionMax="47" xr10:uidLastSave="{00000000-0000-0000-0000-000000000000}"/>
  <bookViews>
    <workbookView xWindow="-110" yWindow="-10910" windowWidth="19420" windowHeight="10420" tabRatio="500" xr2:uid="{00000000-000D-0000-FFFF-FFFF00000000}"/>
  </bookViews>
  <sheets>
    <sheet name="Forside" sheetId="1" r:id="rId1"/>
    <sheet name="Kvalitetspolitik" sheetId="2" r:id="rId2"/>
    <sheet name="Organisation" sheetId="3" r:id="rId3"/>
    <sheet name="Procedurer" sheetId="4" r:id="rId4"/>
    <sheet name="Slutkontrol EL" sheetId="5" r:id="rId5"/>
    <sheet name="Slutkontrol VVS" sheetId="6" r:id="rId6"/>
    <sheet name="Slutkontrol Kloak" sheetId="7" r:id="rId7"/>
    <sheet name="Afvigelsesrapport" sheetId="8" r:id="rId8"/>
    <sheet name="Intern Efterprøvning" sheetId="9" r:id="rId9"/>
    <sheet name="Kompetenceskema" sheetId="10" r:id="rId10"/>
    <sheet name="Måleudstyr" sheetId="11" r:id="rId11"/>
    <sheet name="Tilsyn" sheetId="12" r:id="rId12"/>
    <sheet name="Dokumentstyring" sheetId="13" r:id="rId13"/>
    <sheet name="Dashboard"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1" i="14" l="1"/>
  <c r="H20" i="14"/>
  <c r="L17" i="14"/>
  <c r="I17" i="14"/>
  <c r="D17" i="14"/>
  <c r="L16" i="14"/>
  <c r="I16" i="14"/>
  <c r="D16" i="14"/>
  <c r="L15" i="14"/>
  <c r="I15" i="14"/>
  <c r="D15" i="14"/>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N28" i="8"/>
  <c r="A28" i="8"/>
  <c r="N27" i="8"/>
  <c r="A27" i="8"/>
  <c r="N26" i="8"/>
  <c r="A26" i="8"/>
  <c r="N25" i="8"/>
  <c r="A25" i="8"/>
  <c r="N25" i="5"/>
  <c r="N24" i="5"/>
  <c r="N23" i="5"/>
</calcChain>
</file>

<file path=xl/sharedStrings.xml><?xml version="1.0" encoding="utf-8"?>
<sst xmlns="http://schemas.openxmlformats.org/spreadsheetml/2006/main" count="715" uniqueCount="530">
  <si>
    <t>KVALITETSLEDELSESSYSTEM  ·  KLS</t>
  </si>
  <si>
    <t>Ifølge Sikkerhedsstyrelsen  ·  BEK nr. 725 / 724 / 722 af 12. juni 2024</t>
  </si>
  <si>
    <t xml:space="preserve">  ℹ️  VEJLEDNING   ·   FORSIDE  ·  Stamoplysninger</t>
  </si>
  <si>
    <t>📌  HVAD ER DETTE ARK?</t>
  </si>
  <si>
    <t xml:space="preserve">    Forsiden er KLS-systemets identitetskort. Den udfyldes én gang og holdes ajour. Informationerne her bruges af Dashboard og Tilsyn-arket til automatiske beregninger — forkerte oplysninger her smitter af på hele systemet.</t>
  </si>
  <si>
    <t xml:space="preserve">  FELTERNES BETYDNING — udfyld fra top til bund</t>
  </si>
  <si>
    <t>🏢  Virksomhedsnavn</t>
  </si>
  <si>
    <t>Skal matche præcis det navn, der er registreret på cvr.dk — brug Ctrl+C fra cvr.dk for at undgå stavefejl.</t>
  </si>
  <si>
    <t>🔢  CVR-nummer</t>
  </si>
  <si>
    <t>8-cifret. Er din autorisation tilknyttet et personligt CVR, skrives det her og ikke firmaCVR.</t>
  </si>
  <si>
    <t>⚡  Autorisationstype</t>
  </si>
  <si>
    <t>Vælg fra rullemenuen. Har virksomheden el OG VVS-autorisation, vælg den primære og skriv den anden i parentes i feltet til højre.</t>
  </si>
  <si>
    <t>🏛️  Kontrolinstans</t>
  </si>
  <si>
    <t>Normalt VALIDAN ApS. Skift kun hvis I bytter kontrolinstans — og opdater da straks også Tilsyn-arket.</t>
  </si>
  <si>
    <t>📅  KLS godkendt dato  +  udløbsdato</t>
  </si>
  <si>
    <t>Udfyldes første gang KLS godkendes. Udløb = altid præcis 2 år frem. Når I fornyer, opdateres begge datoer. Dashboard viser automatisk advarsel ved udløb.</t>
  </si>
  <si>
    <t xml:space="preserve">  ⚠️  VIGTIGT LOVKRAV:   KLS SKAL fornyes inden 2-årsperiodens udløb. Udløber autorisationen mister I retten til at udføre lovpligtigt arbejde — der er ingen grace-periode.</t>
  </si>
  <si>
    <t>VIRKSOMHEDENS STAMOPLYSNINGER  —  udfyld alle felter</t>
  </si>
  <si>
    <t>Virksomhedsnavn:</t>
  </si>
  <si>
    <t>CVR-nummer:</t>
  </si>
  <si>
    <t>Adresse:</t>
  </si>
  <si>
    <t>Postnr. &amp; By:</t>
  </si>
  <si>
    <t>Telefon:</t>
  </si>
  <si>
    <t>E-mail:</t>
  </si>
  <si>
    <t>Autorisationstype:</t>
  </si>
  <si>
    <t>El / VVS / Kloak / Gas / Asbest</t>
  </si>
  <si>
    <t>Autorisationsnummer:</t>
  </si>
  <si>
    <t>Fagligt ansvarlig:</t>
  </si>
  <si>
    <t>Kontrolinstans:</t>
  </si>
  <si>
    <t>VALIDAN ApS</t>
  </si>
  <si>
    <t>KLS godkendt dato:</t>
  </si>
  <si>
    <t>KLS udløbsdato:</t>
  </si>
  <si>
    <t>Version:</t>
  </si>
  <si>
    <t>1.0</t>
  </si>
  <si>
    <t>Revideret dato:</t>
  </si>
  <si>
    <t>02-06-2026</t>
  </si>
  <si>
    <t>SYSTEMINDHOLD  —  14 ark dækker alle krav</t>
  </si>
  <si>
    <t>1</t>
  </si>
  <si>
    <t>Forside</t>
  </si>
  <si>
    <t>Stamoplysninger og systemindhold</t>
  </si>
  <si>
    <t>—</t>
  </si>
  <si>
    <t>2</t>
  </si>
  <si>
    <t>Kvalitetspolitik</t>
  </si>
  <si>
    <t>Virksomhedens kvalitetsmål og lovgrundlag</t>
  </si>
  <si>
    <t>Ledelse</t>
  </si>
  <si>
    <t>3</t>
  </si>
  <si>
    <t>Organisation</t>
  </si>
  <si>
    <t>Roller, ansvar og medarbejderkompetencer</t>
  </si>
  <si>
    <t>4</t>
  </si>
  <si>
    <t>Procedurer</t>
  </si>
  <si>
    <t>14 arbejdsprocedurer med versionsstyring</t>
  </si>
  <si>
    <t>KLS-ansvarlig</t>
  </si>
  <si>
    <t>5</t>
  </si>
  <si>
    <t>Slutkontrol EL</t>
  </si>
  <si>
    <t>Verifikationslog for el-installationer</t>
  </si>
  <si>
    <t>FA el</t>
  </si>
  <si>
    <t>6</t>
  </si>
  <si>
    <t>Slutkontrol VVS</t>
  </si>
  <si>
    <t>Verifikationslog for VVS-arbejder</t>
  </si>
  <si>
    <t>FA vvs</t>
  </si>
  <si>
    <t>7</t>
  </si>
  <si>
    <t>Slutkontrol Kloak</t>
  </si>
  <si>
    <t>Verifikationslog for kloakinstallationer</t>
  </si>
  <si>
    <t>FA kloak</t>
  </si>
  <si>
    <t>8</t>
  </si>
  <si>
    <t>Afvigelsesrapport</t>
  </si>
  <si>
    <t>Registrering og opfølgning på afvigelser</t>
  </si>
  <si>
    <t>FA / Ledelse</t>
  </si>
  <si>
    <t>9</t>
  </si>
  <si>
    <t>Intern Efterprøvning</t>
  </si>
  <si>
    <t>Ledelsens evaluering (min. 1 × om året)</t>
  </si>
  <si>
    <t>10</t>
  </si>
  <si>
    <t>Kompetenceskema</t>
  </si>
  <si>
    <t>Medarbejderkvalifikationer og kursusplan</t>
  </si>
  <si>
    <t>11</t>
  </si>
  <si>
    <t>Måleudstyr</t>
  </si>
  <si>
    <t>Kalibrering og kontrol af instrumenter</t>
  </si>
  <si>
    <t>12</t>
  </si>
  <si>
    <t>Tilsyn</t>
  </si>
  <si>
    <t>Log over kontrolinstans-besøg og godkendelser</t>
  </si>
  <si>
    <t>13</t>
  </si>
  <si>
    <t>Dokumentstyring</t>
  </si>
  <si>
    <t>Master-liste over alle KLS-dokumenter</t>
  </si>
  <si>
    <t>14</t>
  </si>
  <si>
    <t>Dashboard</t>
  </si>
  <si>
    <t>Live-overblik og nøgletal</t>
  </si>
  <si>
    <t>KVALITETSPOLITIK</t>
  </si>
  <si>
    <t>Virksomhedens overordnede mål og forpligtelse til kvalitet</t>
  </si>
  <si>
    <t xml:space="preserve">  ℹ️  VEJLEDNING   ·   KVALITETSPOLITIK</t>
  </si>
  <si>
    <t xml:space="preserve">    Kvalitetspolitikken er det dokument der viser at virksomheden har taget et aktivt ledelsesansvar for kvalitet. Kontrolinstansen læser den og spørger: Er den underskrevet? Er målene konkrete? Er den implementeret i hverdagen?</t>
  </si>
  <si>
    <t xml:space="preserve">  KVALITETSMÅL  ·  Erstat eksempel-målene med jeres egne</t>
  </si>
  <si>
    <t>🎯  Hvad er et godt kvalitetsmål?</t>
  </si>
  <si>
    <t>Det skal være konkret og målbart — ikke en from hensigtserklæring. Tænk: Kan vi dokumentere om vi nåede målet? Hvis ikke, er det for vagt.</t>
  </si>
  <si>
    <t xml:space="preserve">  EKSEMPEL  ·  Skiv SÅDAN:</t>
  </si>
  <si>
    <t xml:space="preserve">    ✗  UNDGÅ:   'Vi leverer god kvalitet til kunderne.'</t>
  </si>
  <si>
    <t xml:space="preserve">    ✓  SKRIV:   'Vi måler kundetilfredshed via opfølgningssnak senest 14 dage efter hvert afleveret projekt. Mål: min. 90 % tilfredse kunder i 2025.'</t>
  </si>
  <si>
    <t xml:space="preserve">  LOVGRUNDLAG  ·  Tabellen er preudfyldt — hold versioner ajour</t>
  </si>
  <si>
    <t>📜  Bekendtgørelser</t>
  </si>
  <si>
    <t>De 4 BEK'er i tabellen er dem der gælder per 12. juni 2024. Hvis Sikkerhedsstyrelsen udsender nye, opdater versionsnummer og dato her.</t>
  </si>
  <si>
    <t xml:space="preserve">  ANSVARSMATRIX  ·  Brug navne, ikke kun stillinger</t>
  </si>
  <si>
    <t>👤  Ansvarsmatrix</t>
  </si>
  <si>
    <t>Skriv de konkrete personers navne ved siden af rollen. 'Faglig ansvarlig: Henrik Nielsen' er langt bedre end bare 'Faglig ansvarlig'.</t>
  </si>
  <si>
    <t xml:space="preserve">  ⚠️  VIGTIGT LOVKRAV:   Underskrift i bunden af arket er OBLIGATORISK. Uden daglig leders underskrift er kvalitetspolitikken ikke gyldig ved audit. Skriv dato for underskrift.</t>
  </si>
  <si>
    <t>KVALITETSMÅL</t>
  </si>
  <si>
    <t>Mål 1</t>
  </si>
  <si>
    <t>Vi udfører alle installationer iht. gældende lovgivning og standarder.</t>
  </si>
  <si>
    <t>Mål 2</t>
  </si>
  <si>
    <t>Vi sikrer løbende kompetenceudvikling af alle medarbejdere.</t>
  </si>
  <si>
    <t>Mål 3</t>
  </si>
  <si>
    <t>Vi registrerer og følger op på alle afvigelser for at undgå gentagelse.</t>
  </si>
  <si>
    <t>Mål 4</t>
  </si>
  <si>
    <t>Vi gennemfører ledelsens evaluering minimum én gang om året.</t>
  </si>
  <si>
    <t>Mål 5</t>
  </si>
  <si>
    <t>Vi vedligeholder og kalibrerer vores måleinstrumenter regelmæssigt.</t>
  </si>
  <si>
    <t>LOVGRUNDLAG</t>
  </si>
  <si>
    <t>BEK 725/2024</t>
  </si>
  <si>
    <t>Kvalitetsledelsessystemer — el, vvs og kloak (Sikkerhedsstyrelsen)</t>
  </si>
  <si>
    <t>BEK 724/2024</t>
  </si>
  <si>
    <t>VVS-installationsområdet</t>
  </si>
  <si>
    <t>BEK 722/2024</t>
  </si>
  <si>
    <t>Kloakinstallationsområdet</t>
  </si>
  <si>
    <t>Autorisationsloven</t>
  </si>
  <si>
    <t>Lov om autorisation af elinstallatørvirksomheder m.v.</t>
  </si>
  <si>
    <t>GODKENDELSE — daglig leders underskrift</t>
  </si>
  <si>
    <t>Navn:</t>
  </si>
  <si>
    <t>Dato:</t>
  </si>
  <si>
    <t>Underskrift:</t>
  </si>
  <si>
    <t>ORGANISATION  ·  ROLLER OG ANSVAR</t>
  </si>
  <si>
    <t xml:space="preserve">  ℹ️  VEJLEDNING   ·   ORGANISATION</t>
  </si>
  <si>
    <t xml:space="preserve">    Her dokumenterer I hvem der er ansat, hvad de kan, og hvem der bærer de specifikke KLS-roller. Kontrolinstansen ser på om antallet af autoriserede medarbejdere matcher virksomhedens arbejdsomfang.</t>
  </si>
  <si>
    <t xml:space="preserve">  MEDARBEJDERTABEL  ·  Øverste del</t>
  </si>
  <si>
    <t>👷  Hvem skal med?</t>
  </si>
  <si>
    <t>Alle der udfører autoriseret arbejde under virksomhedens autorisation — fastansatte, deltidsansatte og faste vikarer. Ikke rengøring og administration.</t>
  </si>
  <si>
    <t>🎓  Faglig kompetence</t>
  </si>
  <si>
    <t>Angiv uddannelsesniveau og år — fx 'Elektrikersvend 2019' eller 'VVS-lærling 3. år'. Jo mere præcist, jo nemmere ved audit.</t>
  </si>
  <si>
    <t xml:space="preserve">    ✗  UNDGÅ:   'Montør'</t>
  </si>
  <si>
    <t xml:space="preserve">    ✓  SKRIV:   'Autoriseret el-installatør · EUC Syd 2019 · Certifikat nr. EL-XXXX'</t>
  </si>
  <si>
    <t xml:space="preserve">  FAGLIG ANSVARLIGE  ·  Nederste del</t>
  </si>
  <si>
    <t>🔑  Autorisationsnummer</t>
  </si>
  <si>
    <t>Hentes fra Sikkerhedsstyrelsens godkendelsesbrev. Kun den fagligt ansvarlige med gyldigt autorisationsnummer må godkende slutkontroller.</t>
  </si>
  <si>
    <t xml:space="preserve">  ⚠️  VIGTIGT LOVKRAV:   Udløber en faglig ansvarlig persons certifikat, mister virksomheden sin autorisation for det pågældende fagområde øjeblikkeligt. Sæt reminder 3 måneder inden udløb.</t>
  </si>
  <si>
    <t>Navn</t>
  </si>
  <si>
    <t>Stilling</t>
  </si>
  <si>
    <t>Faglig kompetence</t>
  </si>
  <si>
    <t>KLS-ansvar</t>
  </si>
  <si>
    <t>Autoriseret</t>
  </si>
  <si>
    <t>Telefon</t>
  </si>
  <si>
    <t>E-mail</t>
  </si>
  <si>
    <t>Ansættelsesdato</t>
  </si>
  <si>
    <t>Bemærkninger</t>
  </si>
  <si>
    <t>FAGLIGT ANSVARLIGE</t>
  </si>
  <si>
    <t>Faglig ansvarlig</t>
  </si>
  <si>
    <t>Fagområde</t>
  </si>
  <si>
    <t>Autorisationsnummer</t>
  </si>
  <si>
    <t>Udstedt dato</t>
  </si>
  <si>
    <t>Udløber</t>
  </si>
  <si>
    <t>Status</t>
  </si>
  <si>
    <t>ARBEJDSPROCEDURER OG INSTRUKTIONER</t>
  </si>
  <si>
    <t xml:space="preserve">  ℹ️  VEJLEDNING   ·   PROCEDURER</t>
  </si>
  <si>
    <t xml:space="preserve">    Procedureoversigten dokumenterer at virksomheden har planlagt og beskrevet alle sine arbejdsgange skriftligt. Det er beviset på at KLS-systemet er implementeret i praksis — ikke bare et dokument der samler støv.</t>
  </si>
  <si>
    <t xml:space="preserve">  KOLONNEFORKLARING</t>
  </si>
  <si>
    <t>🏷️  Gælder for</t>
  </si>
  <si>
    <t>Angiv kun de fagområder I er autoriseret til. Har I kun el, sæt VVS/Kloak-procedurerne til 'Udgået'.</t>
  </si>
  <si>
    <t>📅  Godkendt dato</t>
  </si>
  <si>
    <t>Dato for hvornår ledelsen sidst gennemgik og godkendte proceduren. Nye procedurer godkendes ved oprettelse.</t>
  </si>
  <si>
    <t>🔢  Revision</t>
  </si>
  <si>
    <t>Start på 1.0. Hæv til 1.1 ved mindre rettelser. Hæv til 2.0 ved store ændringer i selve indholdet.</t>
  </si>
  <si>
    <t>📁  Link / Reference</t>
  </si>
  <si>
    <t>Indsæt filsti eller URL til det faktiske Word/PDF-dokument. Jo lettere det er at finde, jo bedre går auditen.</t>
  </si>
  <si>
    <t>🟢  Status: Aktiv / Under revision / Udgået</t>
  </si>
  <si>
    <t>'Udgået' bruges for procedurer der ikke er relevante — men SLET dem aldrig. Kontrolinstansen kan bede om historik op til 5 år tilbage.</t>
  </si>
  <si>
    <t xml:space="preserve">  ⚠️  VIGTIGT LOVKRAV:   Proceduren skal faktisk EKSISTERE som et dokument et sted. En linje i denne liste uden et tilknyttet dokument tæller ikke ved audit.</t>
  </si>
  <si>
    <t>Nr.</t>
  </si>
  <si>
    <t>Procedure titel</t>
  </si>
  <si>
    <t>Gælder for</t>
  </si>
  <si>
    <t>Ansvarlig</t>
  </si>
  <si>
    <t>Godkendt dato</t>
  </si>
  <si>
    <t>Rev.</t>
  </si>
  <si>
    <t>Link / Reference</t>
  </si>
  <si>
    <t>P-01</t>
  </si>
  <si>
    <t>Indgåelse af arbejdsaftale og kundedokumentation</t>
  </si>
  <si>
    <t>El, VVS, Kloak, Gas</t>
  </si>
  <si>
    <t>Aktiv</t>
  </si>
  <si>
    <t>P-02</t>
  </si>
  <si>
    <t>Projektgennemgang og risikovurdering</t>
  </si>
  <si>
    <t>P-03</t>
  </si>
  <si>
    <t>Udførelse af installation</t>
  </si>
  <si>
    <t>Installatør</t>
  </si>
  <si>
    <t>P-04</t>
  </si>
  <si>
    <t>Slutkontrol og verifikation — el</t>
  </si>
  <si>
    <t>El</t>
  </si>
  <si>
    <t>P-05</t>
  </si>
  <si>
    <t>Slutkontrol — VVS-installationer</t>
  </si>
  <si>
    <t>VVS</t>
  </si>
  <si>
    <t>P-06</t>
  </si>
  <si>
    <t>Slutkontrol — kloakinstallationer</t>
  </si>
  <si>
    <t>Kloak</t>
  </si>
  <si>
    <t>P-07</t>
  </si>
  <si>
    <t>Afvigelseshåndtering</t>
  </si>
  <si>
    <t>Alle</t>
  </si>
  <si>
    <t>P-08</t>
  </si>
  <si>
    <t>Intern efterprøvning (ledelsens evaluering)</t>
  </si>
  <si>
    <t>P-09</t>
  </si>
  <si>
    <t>Kompetencevurdering og kursusplanlægning</t>
  </si>
  <si>
    <t>P-10</t>
  </si>
  <si>
    <t>Kalibrering og kontrol af måleudstyr</t>
  </si>
  <si>
    <t>P-11</t>
  </si>
  <si>
    <t>Underleverandørstyring</t>
  </si>
  <si>
    <t>P-12</t>
  </si>
  <si>
    <t>Kundeklager og reklamationer</t>
  </si>
  <si>
    <t>P-13</t>
  </si>
  <si>
    <t>Dokumentstyring og arkivering</t>
  </si>
  <si>
    <t>P-14</t>
  </si>
  <si>
    <t>Beredskabsplan ved ulykker</t>
  </si>
  <si>
    <t>SLUTKONTROL OG VERIFIKATIONSLOG  ·  EL-INSTALLATIONER</t>
  </si>
  <si>
    <t>Jf. DS/HD 60364-6 og BEK nr. 725 af 12. juni 2024</t>
  </si>
  <si>
    <t xml:space="preserve">  ℹ️  VEJLEDNING   ·   SLUTKONTROL EL  ·  Verifikationslog</t>
  </si>
  <si>
    <t xml:space="preserve">    Hvert el-arbejde der kræver autorisation skal dokumenteres her. Arket er jeres bevis over for kontrolinstansen og kommunen på at installationerne er korrekt afprøvet og godkendt inden aflevering.</t>
  </si>
  <si>
    <t xml:space="preserve">  ⚠️  VIGTIGT LOVKRAV:   Udfyld STRAKS efter installationen — aldrig bagudrettet. En slutkontrol skrevet 3 uger senere er ubrugelig som dokumentation ved tvister.</t>
  </si>
  <si>
    <t xml:space="preserve">  KOLONNEFORKLARING  ·  Udfyld fra venstre mod højre</t>
  </si>
  <si>
    <t>🔢  Sagsnr.</t>
  </si>
  <si>
    <t>Brug et konsekvent system, fx ÅR-LØBENUMMER: '2025-001', '2025-002'... Nummeret skal matche din faktura og arbejdsseddel til kunden.</t>
  </si>
  <si>
    <t>⚡  Installationstype  (vælg fra rullemenuen)</t>
  </si>
  <si>
    <t>Nyinstallation og Udvidelse kræver ALTID fuld verifikation iht. DS/HD 60364-6. Fejlafhjælpning kræver verifikation af den berørte del.</t>
  </si>
  <si>
    <t>🔌  Isolationsmodstand (MΩ)</t>
  </si>
  <si>
    <t>Angiv den laveste målte værdi. Krav: min. 1 MΩ for 230V installationer. Lavere end 1 MΩ = afvigelse → opret straks i Afvigelsesrapport-arket.</t>
  </si>
  <si>
    <t xml:space="preserve">    ✗  UNDGÅ:   'OK'  (vagt og udokumenteret)</t>
  </si>
  <si>
    <t xml:space="preserve">    ✓  SKRIV:   '1,8 MΩ'  (præcis målt værdi — bevis der holder ved tvister)</t>
  </si>
  <si>
    <t>✅  Jordingstest  +  HPFI/HFI test</t>
  </si>
  <si>
    <t>Vælg OK eller Ikke OK. Ved Ikke OK: opret STRAKS en afvigelse. Sæt N/A kun hvis testen reelt ikke er relevant for denne type installation.</t>
  </si>
  <si>
    <t>🖊️  Godkendt af (FA)</t>
  </si>
  <si>
    <t>KUN den fagligt ansvarlige må godkende. Skriv fulde navn — ikke initialer. Initialer er ikke juridisk tilstrækkelig signatur.</t>
  </si>
  <si>
    <t>🟢  Status  (automatisk farve)</t>
  </si>
  <si>
    <t>Godkendt = grøn · Afvigelse = rød · Under behandling = orange. Afvigelse kræver at en post oprettes i Afvigelsesrapport-arket samme dag.</t>
  </si>
  <si>
    <t>Dato</t>
  </si>
  <si>
    <t>Sagsnr.</t>
  </si>
  <si>
    <t>Adresse / Projekt</t>
  </si>
  <si>
    <t>Installationstype</t>
  </si>
  <si>
    <t>Isolationsmodstand (MΩ)</t>
  </si>
  <si>
    <t>Jordingstest OK</t>
  </si>
  <si>
    <t>HPFI test OK</t>
  </si>
  <si>
    <t>Fejlstrøm (mA)</t>
  </si>
  <si>
    <t>Udført af</t>
  </si>
  <si>
    <t>Godkendt af (FA)</t>
  </si>
  <si>
    <t>STATISTIK</t>
  </si>
  <si>
    <t>Godkendte:</t>
  </si>
  <si>
    <t>Afvigelser:</t>
  </si>
  <si>
    <t>Rate:</t>
  </si>
  <si>
    <t>SLUTKONTROL OG ARBEJDSRAPPORT  ·  VVS-INSTALLATIONER</t>
  </si>
  <si>
    <t xml:space="preserve">  ℹ️  VEJLEDNING   ·   SLUTKONTROL VVS  ·  Arbejdsrapport</t>
  </si>
  <si>
    <t xml:space="preserve">    Dokumenterer at VVS-installationer er afprøvet og kontrolleret inden aflevering. Krav følger af BEK nr. 724 og gælder for alle nyinstallationer, udvidelser og ændringer under VVS-autorisation.</t>
  </si>
  <si>
    <t xml:space="preserve">  ⚠️  VIGTIGT LOVKRAV:   Udfyld INDEN aflevering til kunden — aldrig bagudrettet. Samme princip som el-arket.</t>
  </si>
  <si>
    <t>💧  Trykprøve OK</t>
  </si>
  <si>
    <t>Varmtvandsinstallationer trykprøves til 1,5 × driftstryk. Notér det faktiske prøvetryk i Bemærkninger hvis det afviger.</t>
  </si>
  <si>
    <t>🔒  Tæthedsprøve OK</t>
  </si>
  <si>
    <t>Bruges primært på gasinstallationer (BEK nr. 30). Gasspecifikke krav — sørg for at FA kender de præcise procedurer.</t>
  </si>
  <si>
    <t>🌡️  Temperaturkontrol</t>
  </si>
  <si>
    <t>Angiv målt temperatur på varmt vand: min. 60°C ved varmtvandsbeholder, max. 50°C ved udtag. Forebygger legionella og er et sundhedskrav.</t>
  </si>
  <si>
    <t xml:space="preserve">    ✗  UNDGÅ:   'Temp. OK'</t>
  </si>
  <si>
    <t xml:space="preserve">    ✓  SKRIV:   '62°C ved beholder · 48°C ved håndvask  (begge inden for krav)'</t>
  </si>
  <si>
    <t>Kun autoriseret VVS-installatør med gyldig VVS-autorisation må godkende.</t>
  </si>
  <si>
    <t>Arbejdstype</t>
  </si>
  <si>
    <t>Trykprøve OK</t>
  </si>
  <si>
    <t>Tæthedsprøve OK</t>
  </si>
  <si>
    <t>Temperaturkontrol</t>
  </si>
  <si>
    <t>SLUTKONTROL OG ARBEJDSRAPPORT  ·  KLOAKINSTALLATIONER</t>
  </si>
  <si>
    <t xml:space="preserve">  ℹ️  VEJLEDNING   ·   SLUTKONTROL KLOAK  ·  Arbejdsrapport</t>
  </si>
  <si>
    <t xml:space="preserve">    Dokumenterer at kloakinstallationer overholder DS 432 og er godkendt inden tildækning eller aflevering. Krav følger BEK nr. 722. Manglende dokumentation kan føre til at kommunen kræver opgravning.</t>
  </si>
  <si>
    <t xml:space="preserve">  ⚠️  VIGTIGT LOVKRAV:   VIGTIGST AF ALT: Slutkontrol skal udfyldes INDEN tildækning af ledninger. Efterfølgende dokumentation accepteres ikke ved kommunalt tilsyn.</t>
  </si>
  <si>
    <t>📹  TV-inspektion</t>
  </si>
  <si>
    <t>Kræves typisk ved afløbsledninger &gt; DN110 eller ved renovering. Vedhæft inspektionsrapporten som fil og notér filnavn i sagsnr.-feltet.</t>
  </si>
  <si>
    <t>💨  Tæthedsprøve OK</t>
  </si>
  <si>
    <t>Udføres iht. DS 432 med lufttryk: normalt 50 mbar, 5 minutters holdetid. Angiv faktisk prøvetryk og holdetid i Bemærkninger-kolonnen.</t>
  </si>
  <si>
    <t>📐  Fald kontrolleret</t>
  </si>
  <si>
    <t>Minimum 10‰ fald for afløbsledninger (DS 432). For lavt fald giver stående vand og tilstopningsrisiko — skal registreres som afvigelse.</t>
  </si>
  <si>
    <t xml:space="preserve">    ✗  UNDGÅ:   'Fald OK'</t>
  </si>
  <si>
    <t xml:space="preserve">    ✓  SKRIV:   'Målt fald: 15‰  (krav min. 10‰)  —  tæthedsprøve 50 mbar, holdt 5 min.'</t>
  </si>
  <si>
    <t>🏛️  Arbejdstype 'Separering'</t>
  </si>
  <si>
    <t>Kræver ALTID kommunal godkendelse inden arbejdet påbegyndes. Notér kommunens sagsnummer i sagsnr.-kolonnen.</t>
  </si>
  <si>
    <t>TV-inspektion</t>
  </si>
  <si>
    <t>Fald kontrolleret</t>
  </si>
  <si>
    <t>AFVIGELSESRAPPORT OG KORRIGERENDE HANDLINGER</t>
  </si>
  <si>
    <t>Alle afvigelser registreres, analyseres og følges op — ingen undtagelser</t>
  </si>
  <si>
    <t xml:space="preserve">  ℹ️  VEJLEDNING   ·   AFVIGELSESRAPPORT  ·  Det vigtigste dokument ved audit</t>
  </si>
  <si>
    <t xml:space="preserve">    Kontrolinstansen kigger ALTID grundigt her. De ser på tre ting: (1) Er alle afvigelser registreret? (2) Er der lavet årsagsanalyse? (3) Er der fulgt op med konkret handling?</t>
  </si>
  <si>
    <t xml:space="preserve">  ⚠️  VIGTIGT LOVKRAV:   Et TOMT afvigelsesark tolkes som at KLS-systemet ikke er implementeret i praksis. Det er bedre at have 10 afvigelser og lukke dem, end slet ingen — det viser at systemet virker.</t>
  </si>
  <si>
    <t xml:space="preserve">  HVORNÅR OPRETTES EN AFVIGELSE?</t>
  </si>
  <si>
    <t>🔴  Opret STRAKS ved:</t>
  </si>
  <si>
    <t>Fejl i installation · Kundeklage · Manglende slutkontrol · Udstyr der ikke virker · Afvigelse fra procedure · Lovkrav der ikke er overholdt</t>
  </si>
  <si>
    <t xml:space="preserve">  KOLONNEFORKLARING  ·  Udfyld alle felter</t>
  </si>
  <si>
    <t>🔢  Afv.nr.</t>
  </si>
  <si>
    <t>Genereres automatisk: AFV-001, AFV-002... Ændr det IKKE — det er en unik reference.</t>
  </si>
  <si>
    <t>📝  Beskrivelse af afvigelse</t>
  </si>
  <si>
    <t>Vær konkret og faktabaseret. Brug tal og målinger hvor det er muligt.</t>
  </si>
  <si>
    <t xml:space="preserve">    ✗  UNDGÅ:   'Installation var dårlig.'</t>
  </si>
  <si>
    <t xml:space="preserve">    ✓  SKRIV:   'Isolationsmodstand målt til 0,3 MΩ på kurs XXX — krav er min. 1 MΩ. Sag 2025-014, adresse XYZ.'</t>
  </si>
  <si>
    <t>🔍  Årsagsanalyse  (rodårsag, ikke symptom)</t>
  </si>
  <si>
    <t>Stil 5× 'Hvorfor?' Fx: Forkert kabel → valgt fra lager → lager ikke opdateret → indkøbsprocedure mangler specifikation → ingen ansvarlig for lageropdatering.</t>
  </si>
  <si>
    <t>🛠️  Korrigerende handling</t>
  </si>
  <si>
    <t>Beskriv BÅDE hvad der rettes nu OG hvad der forhindrer gentagelse. De to ting er ikke det samme — begge dele skal med.</t>
  </si>
  <si>
    <t>📅  Frist</t>
  </si>
  <si>
    <t>Sæt en realistisk dato og overhold den. Gentagne overskredet frister er i sig selv en afvigelse ved næste audit.</t>
  </si>
  <si>
    <t>🟢  Status: Afsluttet</t>
  </si>
  <si>
    <t>Sæt IKKE 'Afsluttet' når handlingen er udført — sæt det når I har verificeret at handlingen faktisk virker og fejlen ikke er gentaget.</t>
  </si>
  <si>
    <t>Afv.nr.</t>
  </si>
  <si>
    <t>Dato opdaget</t>
  </si>
  <si>
    <t>Opdaget af</t>
  </si>
  <si>
    <t>Beskrivelse af afvigelse</t>
  </si>
  <si>
    <t>Årsagsanalyse</t>
  </si>
  <si>
    <t>Korrigerende handling</t>
  </si>
  <si>
    <t>Frist</t>
  </si>
  <si>
    <t>Afsluttet</t>
  </si>
  <si>
    <t>STAT.</t>
  </si>
  <si>
    <t>Åbne:</t>
  </si>
  <si>
    <t>Igangsat:</t>
  </si>
  <si>
    <t>Afsluttet:</t>
  </si>
  <si>
    <t>Total:</t>
  </si>
  <si>
    <t>LEDELSENS EVALUERING  ·  INTERN EFTERPRØVNING</t>
  </si>
  <si>
    <t>Lovkrav: Min. én gang om året — max. 12 måneders interval  ·  BEK nr. 725 §8</t>
  </si>
  <si>
    <t xml:space="preserve">  ℹ️  VEJLEDNING   ·   INTERN EFTERPRØVNING  ·  Ledelsens evaluering</t>
  </si>
  <si>
    <t xml:space="preserve">    Ledelsens evaluering er et direkte lovkrav. Kontrolinstansen kontrollerer specifikt om det er gennemført inden for de seneste 12 måneder. Er dokumentationen ikke der, er det en kritisk afvigelse der kan koste autorisationen.</t>
  </si>
  <si>
    <t xml:space="preserve">  ⚠️  VIGTIGT LOVKRAV:   Mangler dokumentation for ledelsens evaluering = kritisk afvigelse ved audit. Sæt en fast dato i virksomhedens kalender hvert år — det er nemmere end at jage den.</t>
  </si>
  <si>
    <t xml:space="preserve">  TRIN FOR TRIN  ·  Sådan gennemføres evalueringen</t>
  </si>
  <si>
    <t>1️⃣  Indkald møde</t>
  </si>
  <si>
    <t>Sæt dato i kalenderen. Deltagere: daglig leder + faglig ansvarlig(e). Minimum 1 time afsat. Dokumentér hvem der deltog.</t>
  </si>
  <si>
    <t>2️⃣  Gå igennem alle 12 punkter</t>
  </si>
  <si>
    <t>Spring INGEN over. 'Ikke relevant' bruges kun for fagområder I ikke er autoriseret til. Alle andre punkter kommenteres.</t>
  </si>
  <si>
    <t>3️⃣  Skriv konkrete beslutninger</t>
  </si>
  <si>
    <t>Ikke bare 'alt er OK'. Skriv hvad I besluttede at gøre, hvem der er ansvarlig, og hvornår.</t>
  </si>
  <si>
    <t xml:space="preserve">    ✗  UNDGÅ:   'Evaluering gennemgået. Alt tilfredsstillende.'</t>
  </si>
  <si>
    <t xml:space="preserve">    ✓  SKRIV:   'Punkt 4 (afvigelser): 2 åbne afvigelser lukkes inden 1. marts af Henrik. Punkt 5 (kompetencer): Brian starter DS 60364-6 kursus i april.'</t>
  </si>
  <si>
    <t>4️⃣  Underskrift</t>
  </si>
  <si>
    <t>Daglig leder underskriver i bunden. Gem kopi som PDF i KLS-mappen. Uden underskrift er dokumentet ikke gyldigt.</t>
  </si>
  <si>
    <t>5️⃣  Sæt dato for næste evaluering</t>
  </si>
  <si>
    <t>Gør det MENS I er samlet. Max 12 måneder frem. Notér det i virksomhedens kalender med reminder 1 måned forinden.</t>
  </si>
  <si>
    <t>EVALUERINGSOPLYSNINGER</t>
  </si>
  <si>
    <t>Evalueringsperiode (fx '1. jan 2025 – 31. dec 2025'):</t>
  </si>
  <si>
    <t>Mødedato:</t>
  </si>
  <si>
    <t>Deltagere (fulde navne):</t>
  </si>
  <si>
    <t>Næste evaluering planlagt til:</t>
  </si>
  <si>
    <t>EVALUERINGSPUNKTER  —  Gennemgå alle 12  ·  Ingen må springes over</t>
  </si>
  <si>
    <t>Evalueringspunkt</t>
  </si>
  <si>
    <t>Vurdering</t>
  </si>
  <si>
    <t>Handling krævet</t>
  </si>
  <si>
    <t>Opfølgning fra forrige evaluering</t>
  </si>
  <si>
    <t>KLS-dokumentation er opdateret og tilgængelig</t>
  </si>
  <si>
    <t>Antal udførte installationer og slutkontroller</t>
  </si>
  <si>
    <t>Afvigelser registreret og afsluttet</t>
  </si>
  <si>
    <t>Medarbejderkompetencer og uddannelse</t>
  </si>
  <si>
    <t>Tilstand og kalibrering af måleudstyr</t>
  </si>
  <si>
    <t>Underleverandørers præstation</t>
  </si>
  <si>
    <t>Lovgivningsændringer siden sidst</t>
  </si>
  <si>
    <t>Forbedringsforslag fra medarbejdere</t>
  </si>
  <si>
    <t>Ressourcebehov og kapacitet</t>
  </si>
  <si>
    <t>KLS systemets samlede effektivitet</t>
  </si>
  <si>
    <t>SAMLET KONKLUSION OG BESLUTNINGER</t>
  </si>
  <si>
    <t>Konklusioner:</t>
  </si>
  <si>
    <t>Forbedringspunkter:</t>
  </si>
  <si>
    <t>Beslutninger taget:</t>
  </si>
  <si>
    <t>UNDERSKRIFT — Ledelsens evaluering er gennemført</t>
  </si>
  <si>
    <t>Daglig leder — navn:</t>
  </si>
  <si>
    <t>KOMPETENCEVURDERING OG KURSUSPLAN</t>
  </si>
  <si>
    <t xml:space="preserve">  ℹ️  VEJLEDNING   ·   KOMPETENCESKEMA</t>
  </si>
  <si>
    <t xml:space="preserve">    Dokumenterer at alle ansatte har de nødvendige kvalifikationer. Kontrolinstansen spørger direkte: 'Kan I dokumentere at jeres folk er kompetente?' Dette skema er jeres svar.</t>
  </si>
  <si>
    <t>🎓  Grunduddannelse</t>
  </si>
  <si>
    <t>Angiv uddannelsens fulde navn + år + skole. Fx 'Elektrikersvend, EUC Syd, 2019' eller 'VVS-installatør, Erhvervsskolen Nordsjælland, 2021'.</t>
  </si>
  <si>
    <t>📜  Certifikater (El / VVS / Kloak)</t>
  </si>
  <si>
    <t>Vælg Ja / Nej / Under uddannelse. 'Ja' kræver at certifikatnummer og udstedelsesdato kan fremvises. Gem scannede kopier i KLS-mappen.</t>
  </si>
  <si>
    <t>🦺  Arbejdsmiljø</t>
  </si>
  <si>
    <t>Alle ansatte skal have gennemført grundlæggende arbejdsmiljøuddannelse (32 timer). Asbest, tagarbejde og stilladser kræver yderligere certifikater.</t>
  </si>
  <si>
    <t xml:space="preserve">    ✗  UNDGÅ:   'Kursus: Arbejdsmiljø'</t>
  </si>
  <si>
    <t xml:space="preserve">    ✓  SKRIV:   'AMU Grundlæggende arbejdsmiljø, 32 timer, Teknisk Skole Aarhus, marts 2024 · Cert.nr. AM-2024-1234'</t>
  </si>
  <si>
    <t>📅  Næste kursus</t>
  </si>
  <si>
    <t>Planlæg kompetenceløft FREMAD — ikke kun bag ud. Sæt konkrete kursusnavne, ikke bare 'diverse kurser'.</t>
  </si>
  <si>
    <t xml:space="preserve">  ⚠️  VIGTIGT LOVKRAV:   Opdater skemaet ved ansættelse af ny medarbejder og ved gennemførelse af kurser. Forældet data er værre end intet data.</t>
  </si>
  <si>
    <t>Grunduddannelse</t>
  </si>
  <si>
    <t>El-cert.</t>
  </si>
  <si>
    <t>VVS-cert.</t>
  </si>
  <si>
    <t>Kloak-cert.</t>
  </si>
  <si>
    <t>Arbejdsmiljø</t>
  </si>
  <si>
    <t>Kursus / Kompetenceløft</t>
  </si>
  <si>
    <t>Kursusdato</t>
  </si>
  <si>
    <t>Næste kursus</t>
  </si>
  <si>
    <t>Niveau</t>
  </si>
  <si>
    <t>Bem.</t>
  </si>
  <si>
    <t>REGISTRERING OG KALIBRERING AF MÅLEUDSTYR</t>
  </si>
  <si>
    <t xml:space="preserve">  ℹ️  VEJLEDNING   ·   MÅLEUDSTYR  ·  Kalibrering og kontrol</t>
  </si>
  <si>
    <t xml:space="preserve">    Dokumenterer at alle instrumenter der bruges til verifikationsmålinger er i korrekt stand og kalibreret. Et HPFI-test med ukalibreret udstyr er retlig set ugyldig og kan give problemer ved forsikringssager.</t>
  </si>
  <si>
    <t xml:space="preserve">  ⚠️  VIGTIGT LOVKRAV:   Et instrument med udløbet kalibrering MÅ IKKE bruges til godkendelsesprøvninger. Brug i stedet reserveudstyr eller lej kalibreret udstyr midlertidigt.</t>
  </si>
  <si>
    <t>🔢  Inv.nr.</t>
  </si>
  <si>
    <t>De første 8 rækker er preudfyldt med typiske instrumenter. Tilret fabrikat og serienummer. Tilføj ALT udstyr til verifikation — håndtermometre, trykmålere, kameraer mv.</t>
  </si>
  <si>
    <t>📜  Kalibreret dato  +  Kalibreret af</t>
  </si>
  <si>
    <t>Angiv dato og firmanavn. Gem kalibreringsattesten — den skal fremvises ved audit. 'Intern kalibrering' er kun acceptabelt for simpelt mekanisk udstyr.</t>
  </si>
  <si>
    <t xml:space="preserve">    ✗  UNDGÅ:   'Kalibreret: OK'</t>
  </si>
  <si>
    <t xml:space="preserve">    ✓  SKRIV:   'Kalibreret: Fluke Nordic A/S · 15. jan 2025 · Cert.nr. KAL-2025-0042 · Næste: jan 2026'</t>
  </si>
  <si>
    <t>📐  Tolerancegrænse</t>
  </si>
  <si>
    <t>Angiv hvad instrumentet er kalibreret til — fx '±2% ved 10 MΩ' eller '±0,5°C'. Bruges til at vurdere om en måling er valid.</t>
  </si>
  <si>
    <t>📅  Næste kalibrering</t>
  </si>
  <si>
    <t>Typisk 1 år for elektriske instrumenter, 2 år for mekaniske. Sæt datoen i virksomhedskalenderen med 30-dages forvarsel.</t>
  </si>
  <si>
    <t>Inv.nr.</t>
  </si>
  <si>
    <t>Instrument</t>
  </si>
  <si>
    <t>Fabrikat / Model</t>
  </si>
  <si>
    <t>Serienr.</t>
  </si>
  <si>
    <t>Kalibreret dato</t>
  </si>
  <si>
    <t>Kalibreret af</t>
  </si>
  <si>
    <t>Næste kalibrering</t>
  </si>
  <si>
    <t>Tolerancegrænse</t>
  </si>
  <si>
    <t>Kontrolleret OK</t>
  </si>
  <si>
    <t>INV-001</t>
  </si>
  <si>
    <t>Installationstester / HPFI-tester</t>
  </si>
  <si>
    <t>INV-002</t>
  </si>
  <si>
    <t>Multimeter</t>
  </si>
  <si>
    <t>INV-003</t>
  </si>
  <si>
    <t>Jordingsmåler</t>
  </si>
  <si>
    <t>INV-004</t>
  </si>
  <si>
    <t>Lekkagestrøms-amperemeter</t>
  </si>
  <si>
    <t>INV-005</t>
  </si>
  <si>
    <t>Isolationstester (Megger)</t>
  </si>
  <si>
    <t>INV-006</t>
  </si>
  <si>
    <t>Termostat-kalibreringsinstrument</t>
  </si>
  <si>
    <t>INV-007</t>
  </si>
  <si>
    <t>Manometer (trykprøve VVS)</t>
  </si>
  <si>
    <t>INV-008</t>
  </si>
  <si>
    <t>Rørinspektionskamera (Kloak)</t>
  </si>
  <si>
    <t>TILSYNSLOG  ·  KONTROLINSTANS OG SIKKERHEDSSTYRELSEN</t>
  </si>
  <si>
    <t xml:space="preserve">  ℹ️  VEJLEDNING   ·   TILSYN  ·  Godkendelsescyklus og log</t>
  </si>
  <si>
    <t xml:space="preserve">    Tilsynsloggen registrerer alle besøg og godkendelser fra kontrolinstansen og Sikkerhedsstyrelsen. Det er jeres historik over KLS-godkendelsesstatus og kan bruges som bevis ved tvister eller forsikringssager.</t>
  </si>
  <si>
    <t xml:space="preserve">  KLS-GODKENDELSESCYKLUSSEN  ·  Kend den udenad</t>
  </si>
  <si>
    <t>1️⃣  Fase 1  —  Præaudit (dokumentgennemgang)</t>
  </si>
  <si>
    <t>Kontrolinstansen gennemgår KLS-dokumentationen. Foregår typisk som videoopkald eller ved besøg. Her opdager I 'huller' inden den rigtige audit.</t>
  </si>
  <si>
    <t>2️⃣  Fase 2  —  Godkendelse (fysisk besøg)</t>
  </si>
  <si>
    <t>Kontrolinstansen besøger virksomheden, taler med personalet og gennemgår konkrete sager. Resulterer i: Godkendt / Betinget godkendt / Ikke godkendt.</t>
  </si>
  <si>
    <t>🔄  Gengodkendelse  —  Inden 2 år</t>
  </si>
  <si>
    <t>Kontakt kontrolinstansen min. 3 måneder inden udløb — de har ventetider. Udløbet KLS = øjeblikkelig suspension af autorisation.</t>
  </si>
  <si>
    <t>⚠️  Betinget godkendt  —  Hvad nu?</t>
  </si>
  <si>
    <t>Alle afvigelser i auditrapporterne SKAL lukkes inden aftalt frist. Opret dem STRAKS i Afvigelsesrapport-arket med reference til auditrapporten.</t>
  </si>
  <si>
    <t>📄  Rapport modtaget</t>
  </si>
  <si>
    <t>I har ret til at modtage den skriftlige auditrapport. Kræv den hvis den ikke kommer inden for 14 dage efter besøget.</t>
  </si>
  <si>
    <t xml:space="preserve">  ⚠️  VIGTIGT LOVKRAV:   Sikkerhedsstyrelsen kan til enhver tid foretage uanmeldt tilsyn. Hele KLS-systemet inkl. dette ark skal til enhver tid kunne fremvises.</t>
  </si>
  <si>
    <t>Besøgstype</t>
  </si>
  <si>
    <t>Kontrolinstans</t>
  </si>
  <si>
    <t>Auditor</t>
  </si>
  <si>
    <t>Afvigelser fundet</t>
  </si>
  <si>
    <t>Krav om handling</t>
  </si>
  <si>
    <t>Rapport modtaget</t>
  </si>
  <si>
    <t>KLS GODKENDELSESHISTORIK</t>
  </si>
  <si>
    <t>Certifikatnr.</t>
  </si>
  <si>
    <t>Fornyelse søgt</t>
  </si>
  <si>
    <t>DOKUMENTSTYRING  ·  AKTIVE KLS-DOKUMENTER</t>
  </si>
  <si>
    <t xml:space="preserve">  ℹ️  VEJLEDNING   ·   DOKUMENTSTYRING  ·  Master-liste</t>
  </si>
  <si>
    <t xml:space="preserve">    Dette er master-listen over alle KLS-dokumenter. Kontrolinstansen bruger den til at verificere at systemet er komplet og at versionsstyringen fungerer. Et dokument der ikke er på listen, er ikke en del af KLS-systemet.</t>
  </si>
  <si>
    <t xml:space="preserve">  VERSIONSSTYRING  ·  Sådan fungerer det</t>
  </si>
  <si>
    <t>🔢  Versionnumre: 1.0 / 1.1 / 2.0</t>
  </si>
  <si>
    <t>1.0 → 1.1: Mindre rettelser (stavefejl, præcisering af formulering). 1.0 → 2.0: Væsentlig ændring af selve indholdet eller proceduren.</t>
  </si>
  <si>
    <t xml:space="preserve">    ✗  UNDGÅ:   Slette et dokument fra listen når det ikke bruges mere.</t>
  </si>
  <si>
    <t xml:space="preserve">    ✓  SKRIV:   Sæt status til 'Udgået' og bevar dokumentet på listen. Kontrolinstansen kan bede om historik op til 5 år tilbage.</t>
  </si>
  <si>
    <t>🔗  Placering / Link</t>
  </si>
  <si>
    <t>Indsæt fuld filsti eller URL. Brug UNC-stier på netværk: \\server\KLS\DOK-001.docx  —  virker fra alle computere.</t>
  </si>
  <si>
    <t>📅  Næste revision</t>
  </si>
  <si>
    <t>Sæt revisionsdato på alle dokumenter — typisk 1-2 år frem. Dokumenter uden revisionsdato er per definition forældet.</t>
  </si>
  <si>
    <t>🟢  Status</t>
  </si>
  <si>
    <t>Aktiv: Gældende version. Under revision: I gang med at opdatere. Udgået: Erstattet af ny version — beholdes på listen.</t>
  </si>
  <si>
    <t xml:space="preserve">  ⚠️  VIGTIGT LOVKRAV:   Gennemgå denne liste ved den årlige ledelsesgennemgang — opdater revisionsdatoer og verificer at alle links stadig virker.</t>
  </si>
  <si>
    <t>Dok.nr.</t>
  </si>
  <si>
    <t>Dokumenttitel</t>
  </si>
  <si>
    <t>Ver.</t>
  </si>
  <si>
    <t>Næste revision</t>
  </si>
  <si>
    <t>Placering / Link</t>
  </si>
  <si>
    <t>DOK-001</t>
  </si>
  <si>
    <t>KLS Håndbog (hoveddokument)</t>
  </si>
  <si>
    <t>DOK-002</t>
  </si>
  <si>
    <t>DOK-003</t>
  </si>
  <si>
    <t>Organisationsdiagram og roller</t>
  </si>
  <si>
    <t>DOK-004</t>
  </si>
  <si>
    <t>Procedurer P-01 til P-14</t>
  </si>
  <si>
    <t>DOK-005</t>
  </si>
  <si>
    <t>Slutkontrolskema EL</t>
  </si>
  <si>
    <t>DOK-006</t>
  </si>
  <si>
    <t>Slutkontrolskema VVS</t>
  </si>
  <si>
    <t>DOK-007</t>
  </si>
  <si>
    <t>Slutkontrolskema Kloak</t>
  </si>
  <si>
    <t>DOK-008</t>
  </si>
  <si>
    <t>Afvigelsesrapport skabelon</t>
  </si>
  <si>
    <t>DOK-009</t>
  </si>
  <si>
    <t>Kompetencevurderingsskema</t>
  </si>
  <si>
    <t>DOK-010</t>
  </si>
  <si>
    <t>Måleudstyrsliste og kalibrering</t>
  </si>
  <si>
    <t>DOK-011</t>
  </si>
  <si>
    <t>Ledelsens evalueringsrapport</t>
  </si>
  <si>
    <t>DOK-012</t>
  </si>
  <si>
    <t>Kundeklage procedure</t>
  </si>
  <si>
    <t>DOK-013</t>
  </si>
  <si>
    <t>Underleverandørliste</t>
  </si>
  <si>
    <t>DOK-014</t>
  </si>
  <si>
    <t>Beredskabsplan</t>
  </si>
  <si>
    <t>KLS DASHBOARD  ·  STATUS OVERBLIK</t>
  </si>
  <si>
    <t>Alle nøgletal hentes automatisk · Opdateret: 02-06-2026</t>
  </si>
  <si>
    <t xml:space="preserve">  ℹ️  VEJLEDNING   ·   DASHBOARD  ·  Jeres KLS-cockpit</t>
  </si>
  <si>
    <t xml:space="preserve">    Dashboard-arket opdateres automatisk baseret på data i de øvrige ark. Start altid her når I åbner systemet — et hurtigt kig fortæller jer om alt er grønt, eller om noget kræver opmærksomhed.</t>
  </si>
  <si>
    <t xml:space="preserve">  BRUGSGUIDE  ·  3 ting I skal tjekke</t>
  </si>
  <si>
    <t>📊  Nøgletal  (opdateres automatisk)</t>
  </si>
  <si>
    <t>Tallene hentes live fra Slutkontrol EL, Afvigelsesrapport og Dokumentstyring. I behøver ikke gøre noget manuelt her — bare hold de øvrige ark ajour.</t>
  </si>
  <si>
    <t>📅  KLS udløbsdato  (kritisk at holde øje med)</t>
  </si>
  <si>
    <t>Hentes fra Forsiden. Er udløbsdatoen inden for 3 måneder: kontakt STRAKS kontrolinstansen for at booke gengodkendelse.</t>
  </si>
  <si>
    <t>☑️  Årlig tjekliste  (eneste manuelle del)</t>
  </si>
  <si>
    <t>Gennemgå de 8 spørgsmål én gang om året — helst i forbindelse med ledelsens evaluering. 'Nej' på et punkt er et signal om at noget mangler.</t>
  </si>
  <si>
    <t>EL  ·  SLUTKONTROLLER</t>
  </si>
  <si>
    <t>AFVIGELSESLOG  ·  STATUS</t>
  </si>
  <si>
    <t>DOK. STATUS</t>
  </si>
  <si>
    <t>Åbne afvigelser:</t>
  </si>
  <si>
    <t>Aktive:</t>
  </si>
  <si>
    <t>Under behandling:</t>
  </si>
  <si>
    <t>Udgåede:</t>
  </si>
  <si>
    <t>Godkendelsesprocent:</t>
  </si>
  <si>
    <t>Afsluttede:</t>
  </si>
  <si>
    <t>Under rev.:</t>
  </si>
  <si>
    <t>⚠️  KLS UDLØBSDATO  ·  Hold øje med denne</t>
  </si>
  <si>
    <t>KLS godkendt dato (fra Forside):</t>
  </si>
  <si>
    <t>KLS udløber (fra Forside):</t>
  </si>
  <si>
    <t>☑️  ÅRLIG KLS TJEKLISTE  ·  Gennemgås ved ledelsens evaluering</t>
  </si>
  <si>
    <t>Er ledelsens evaluering gennemført inden for de seneste 12 måneder?</t>
  </si>
  <si>
    <t>LOVKRAV</t>
  </si>
  <si>
    <t>Er alle slutkontroller dokumenteret og arkiveret for perioden?</t>
  </si>
  <si>
    <t>Er alle afvigelsesrapporter oprettet og fulgt op?</t>
  </si>
  <si>
    <t>Er medarbejdernes certifikater og kompetencer gyldige?</t>
  </si>
  <si>
    <t>VIGTIGT</t>
  </si>
  <si>
    <t>Er alt måleudstyr kalibreret og kontrolleret inden for fristen?</t>
  </si>
  <si>
    <t>Er KLS-dokumentationen opdateret med korrekte versioner?</t>
  </si>
  <si>
    <t>Er kontrolinstansen kontaktet for gengodkendelse (inden 2 år)?</t>
  </si>
  <si>
    <t>Er ændringer i lovgivning implementeret i KLS-systemet?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</si>
</sst>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charset val="1"/>
    </font>
    <font>
      <b/>
      <sz val="24"/>
      <color rgb="FFFFFFFF"/>
      <name val="Arial"/>
      <charset val="1"/>
    </font>
    <font>
      <i/>
      <sz val="10"/>
      <color rgb="FF00314A"/>
      <name val="Arial"/>
      <charset val="1"/>
    </font>
    <font>
      <b/>
      <sz val="11"/>
      <color rgb="FFFFFFFF"/>
      <name val="Arial"/>
      <charset val="1"/>
    </font>
    <font>
      <b/>
      <sz val="9"/>
      <color rgb="FF1A5276"/>
      <name val="Arial"/>
      <charset val="1"/>
    </font>
    <font>
      <sz val="9"/>
      <color rgb="FF1C2833"/>
      <name val="Arial"/>
      <charset val="1"/>
    </font>
    <font>
      <b/>
      <sz val="9"/>
      <color rgb="FFFFFFFF"/>
      <name val="Arial"/>
      <charset val="1"/>
    </font>
    <font>
      <b/>
      <sz val="9"/>
      <color rgb="FF7D3C00"/>
      <name val="Arial"/>
      <charset val="1"/>
    </font>
    <font>
      <b/>
      <sz val="9"/>
      <color rgb="FF7D6608"/>
      <name val="Arial"/>
      <charset val="1"/>
    </font>
    <font>
      <b/>
      <sz val="10"/>
      <color rgb="FF404040"/>
      <name val="Arial"/>
      <charset val="1"/>
    </font>
    <font>
      <sz val="10"/>
      <color rgb="FF404040"/>
      <name val="Arial"/>
      <charset val="1"/>
    </font>
    <font>
      <b/>
      <sz val="18"/>
      <color rgb="FFFFFFFF"/>
      <name val="Arial"/>
      <charset val="1"/>
    </font>
    <font>
      <sz val="9"/>
      <color rgb="FF005F8E"/>
      <name val="Arial"/>
      <charset val="1"/>
    </font>
    <font>
      <b/>
      <sz val="8"/>
      <color rgb="FF1E8449"/>
      <name val="Arial"/>
      <charset val="1"/>
    </font>
    <font>
      <i/>
      <sz val="9"/>
      <color rgb="FFC0392B"/>
      <name val="Arial"/>
      <charset val="1"/>
    </font>
    <font>
      <b/>
      <sz val="9"/>
      <color rgb="FF1E8449"/>
      <name val="Arial"/>
      <charset val="1"/>
    </font>
    <font>
      <b/>
      <sz val="16"/>
      <color rgb="FFFFFFFF"/>
      <name val="Arial"/>
      <charset val="1"/>
    </font>
    <font>
      <sz val="9"/>
      <color rgb="FF404040"/>
      <name val="Arial"/>
      <charset val="1"/>
    </font>
    <font>
      <b/>
      <sz val="9"/>
      <color rgb="FF145A32"/>
      <name val="Arial"/>
      <charset val="1"/>
    </font>
    <font>
      <b/>
      <sz val="9"/>
      <name val="Arial"/>
      <charset val="1"/>
    </font>
    <font>
      <b/>
      <sz val="14"/>
      <color rgb="FFFFFFFF"/>
      <name val="Arial"/>
      <charset val="1"/>
    </font>
    <font>
      <sz val="9"/>
      <color rgb="FF1E8449"/>
      <name val="Arial"/>
      <charset val="1"/>
    </font>
    <font>
      <b/>
      <sz val="11"/>
      <name val="Arial"/>
      <charset val="1"/>
    </font>
    <font>
      <b/>
      <sz val="9"/>
      <color rgb="FFC0392B"/>
      <name val="Arial"/>
      <charset val="1"/>
    </font>
    <font>
      <sz val="9"/>
      <color rgb="FF00314A"/>
      <name val="Arial"/>
      <charset val="1"/>
    </font>
    <font>
      <b/>
      <sz val="10"/>
      <color rgb="FFFFFFFF"/>
      <name val="Arial"/>
      <charset val="1"/>
    </font>
    <font>
      <b/>
      <sz val="14"/>
      <color rgb="FF1E8449"/>
      <name val="Arial"/>
      <charset val="1"/>
    </font>
    <font>
      <b/>
      <sz val="14"/>
      <color rgb="FFC0392B"/>
      <name val="Arial"/>
      <charset val="1"/>
    </font>
    <font>
      <b/>
      <sz val="14"/>
      <color rgb="FF00314A"/>
      <name val="Arial"/>
      <charset val="1"/>
    </font>
    <font>
      <b/>
      <sz val="13"/>
      <color rgb="FF00314A"/>
      <name val="Arial"/>
      <charset val="1"/>
    </font>
    <font>
      <b/>
      <sz val="13"/>
      <color rgb="FFC0392B"/>
      <name val="Arial"/>
      <charset val="1"/>
    </font>
    <font>
      <b/>
      <sz val="10"/>
      <color rgb="FFC0392B"/>
      <name val="Arial"/>
      <charset val="1"/>
    </font>
    <font>
      <b/>
      <sz val="10"/>
      <color rgb="FFE67E22"/>
      <name val="Arial"/>
      <charset val="1"/>
    </font>
  </fonts>
  <fills count="27">
    <fill>
      <patternFill patternType="none"/>
    </fill>
    <fill>
      <patternFill patternType="gray125"/>
    </fill>
    <fill>
      <patternFill patternType="solid">
        <fgColor rgb="FF00314A"/>
        <bgColor rgb="FF1C2833"/>
      </patternFill>
    </fill>
    <fill>
      <patternFill patternType="solid">
        <fgColor rgb="FFEBF5FB"/>
        <bgColor rgb="FFE8F4FD"/>
      </patternFill>
    </fill>
    <fill>
      <patternFill patternType="solid">
        <fgColor rgb="FF1B4F72"/>
        <bgColor rgb="FF1A5276"/>
      </patternFill>
    </fill>
    <fill>
      <patternFill patternType="solid">
        <fgColor rgb="FFE8F4FD"/>
        <bgColor rgb="FFEBF5FB"/>
      </patternFill>
    </fill>
    <fill>
      <patternFill patternType="solid">
        <fgColor rgb="FFE8EAED"/>
        <bgColor rgb="FFEAECEE"/>
      </patternFill>
    </fill>
    <fill>
      <patternFill patternType="solid">
        <fgColor rgb="FF005F8E"/>
        <bgColor rgb="FF1A5276"/>
      </patternFill>
    </fill>
    <fill>
      <patternFill patternType="solid">
        <fgColor rgb="FFFDEBD0"/>
        <bgColor rgb="FFFADBD8"/>
      </patternFill>
    </fill>
    <fill>
      <patternFill patternType="solid">
        <fgColor rgb="FFFEF9E7"/>
        <bgColor rgb="FFFFF8F5"/>
      </patternFill>
    </fill>
    <fill>
      <patternFill patternType="solid">
        <fgColor rgb="FFD6EAF8"/>
        <bgColor rgb="FFE8EAED"/>
      </patternFill>
    </fill>
    <fill>
      <patternFill patternType="solid">
        <fgColor rgb="FFFFFFFF"/>
        <bgColor rgb="FFF8FBFF"/>
      </patternFill>
    </fill>
    <fill>
      <patternFill patternType="solid">
        <fgColor rgb="FFF8FBFF"/>
        <bgColor rgb="FFFFFFFF"/>
      </patternFill>
    </fill>
    <fill>
      <patternFill patternType="solid">
        <fgColor rgb="FFEAFAF1"/>
        <bgColor rgb="FFEBF5FB"/>
      </patternFill>
    </fill>
    <fill>
      <patternFill patternType="solid">
        <fgColor rgb="FF1E8449"/>
        <bgColor rgb="FF145A32"/>
      </patternFill>
    </fill>
    <fill>
      <patternFill patternType="solid">
        <fgColor rgb="FFD5F5E3"/>
        <bgColor rgb="FFD6EAF8"/>
      </patternFill>
    </fill>
    <fill>
      <patternFill patternType="solid">
        <fgColor rgb="FF6B3A2A"/>
        <bgColor rgb="FF7D3C00"/>
      </patternFill>
    </fill>
    <fill>
      <patternFill patternType="solid">
        <fgColor rgb="FFFFF8F5"/>
        <bgColor rgb="FFFEF9E7"/>
      </patternFill>
    </fill>
    <fill>
      <patternFill patternType="solid">
        <fgColor rgb="FFC0392B"/>
        <bgColor rgb="FF8B4513"/>
      </patternFill>
    </fill>
    <fill>
      <patternFill patternType="solid">
        <fgColor rgb="FFFADBD8"/>
        <bgColor rgb="FFFDEBD0"/>
      </patternFill>
    </fill>
    <fill>
      <patternFill patternType="solid">
        <fgColor rgb="FFE67E22"/>
        <bgColor rgb="FFF0A500"/>
      </patternFill>
    </fill>
    <fill>
      <patternFill patternType="solid">
        <fgColor rgb="FF8E44AD"/>
        <bgColor rgb="FF666699"/>
      </patternFill>
    </fill>
    <fill>
      <patternFill patternType="solid">
        <fgColor rgb="FFF5EEF8"/>
        <bgColor rgb="FFEAECEE"/>
      </patternFill>
    </fill>
    <fill>
      <patternFill patternType="solid">
        <fgColor rgb="FF1A5276"/>
        <bgColor rgb="FF1B4F72"/>
      </patternFill>
    </fill>
    <fill>
      <patternFill patternType="solid">
        <fgColor rgb="FF17202A"/>
        <bgColor rgb="FF1C2833"/>
      </patternFill>
    </fill>
    <fill>
      <patternFill patternType="solid">
        <fgColor rgb="FFEAECEE"/>
        <bgColor rgb="FFE8EAED"/>
      </patternFill>
    </fill>
    <fill>
      <patternFill patternType="solid">
        <fgColor rgb="FF7D6608"/>
        <bgColor rgb="FF8B4513"/>
      </patternFill>
    </fill>
  </fills>
  <borders count="20">
    <border>
      <left/>
      <right/>
      <top/>
      <bottom/>
      <diagonal/>
    </border>
    <border>
      <left style="thin">
        <color rgb="FF1B4F72"/>
      </left>
      <right/>
      <top style="thin">
        <color rgb="FF1B4F72"/>
      </top>
      <bottom style="thin">
        <color rgb="FF1B4F72"/>
      </bottom>
      <diagonal/>
    </border>
    <border>
      <left style="thick">
        <color rgb="FF2980B9"/>
      </left>
      <right/>
      <top style="thin">
        <color rgb="FFE0E0E0"/>
      </top>
      <bottom style="thin">
        <color rgb="FFE0E0E0"/>
      </bottom>
      <diagonal/>
    </border>
    <border>
      <left style="thin">
        <color rgb="FFE8EAED"/>
      </left>
      <right/>
      <top style="thin">
        <color rgb="FFE8EAED"/>
      </top>
      <bottom style="thin">
        <color rgb="FFE8EAED"/>
      </bottom>
      <diagonal/>
    </border>
    <border>
      <left style="thin">
        <color rgb="FF005F8E"/>
      </left>
      <right/>
      <top style="thin">
        <color rgb="FF005F8E"/>
      </top>
      <bottom style="thin">
        <color rgb="FF005F8E"/>
      </bottom>
      <diagonal/>
    </border>
    <border>
      <left style="thick">
        <color rgb="FFE67E22"/>
      </left>
      <right/>
      <top style="thin">
        <color rgb="FFE0E0E0"/>
      </top>
      <bottom style="thin">
        <color rgb="FFE0E0E0"/>
      </bottom>
      <diagonal/>
    </border>
    <border>
      <left style="thick">
        <color rgb="FFF0A500"/>
      </left>
      <right/>
      <top style="thin">
        <color rgb="FFE0E0E0"/>
      </top>
      <bottom style="thin">
        <color rgb="FFE0E0E0"/>
      </bottom>
      <diagonal/>
    </border>
    <border>
      <left style="thin">
        <color rgb="FF00314A"/>
      </left>
      <right/>
      <top style="thin">
        <color rgb="FF00314A"/>
      </top>
      <bottom style="thin">
        <color rgb="FF00314A"/>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ck">
        <color rgb="FF1E8449"/>
      </left>
      <right/>
      <top style="thin">
        <color rgb="FFE0E0E0"/>
      </top>
      <bottom style="thin">
        <color rgb="FFE0E0E0"/>
      </bottom>
      <diagonal/>
    </border>
    <border>
      <left style="thin">
        <color rgb="FF1E8449"/>
      </left>
      <right/>
      <top style="thin">
        <color rgb="FF1E8449"/>
      </top>
      <bottom style="thin">
        <color rgb="FF1E8449"/>
      </bottom>
      <diagonal/>
    </border>
    <border>
      <left style="thin">
        <color rgb="FFAAAAAA"/>
      </left>
      <right style="thin">
        <color rgb="FFAAAAAA"/>
      </right>
      <top style="thin">
        <color rgb="FFAAAAAA"/>
      </top>
      <bottom style="thin">
        <color rgb="FFAAAAAA"/>
      </bottom>
      <diagonal/>
    </border>
    <border>
      <left style="thin">
        <color rgb="FF6B3A2A"/>
      </left>
      <right/>
      <top style="thin">
        <color rgb="FF6B3A2A"/>
      </top>
      <bottom style="thin">
        <color rgb="FF6B3A2A"/>
      </bottom>
      <diagonal/>
    </border>
    <border>
      <left style="thin">
        <color rgb="FFC0392B"/>
      </left>
      <right/>
      <top style="thin">
        <color rgb="FFC0392B"/>
      </top>
      <bottom style="thin">
        <color rgb="FFC0392B"/>
      </bottom>
      <diagonal/>
    </border>
    <border>
      <left style="thin">
        <color rgb="FFE67E22"/>
      </left>
      <right/>
      <top style="thin">
        <color rgb="FFE67E22"/>
      </top>
      <bottom style="thin">
        <color rgb="FFE67E22"/>
      </bottom>
      <diagonal/>
    </border>
    <border>
      <left style="thin">
        <color rgb="FF8E44AD"/>
      </left>
      <right/>
      <top style="thin">
        <color rgb="FF8E44AD"/>
      </top>
      <bottom style="thin">
        <color rgb="FF8E44AD"/>
      </bottom>
      <diagonal/>
    </border>
    <border>
      <left style="thin">
        <color rgb="FF1A5276"/>
      </left>
      <right/>
      <top style="thin">
        <color rgb="FF1A5276"/>
      </top>
      <bottom style="thin">
        <color rgb="FF1A5276"/>
      </bottom>
      <diagonal/>
    </border>
    <border>
      <left style="thin">
        <color rgb="FF17202A"/>
      </left>
      <right/>
      <top style="thin">
        <color rgb="FF17202A"/>
      </top>
      <bottom style="thin">
        <color rgb="FF17202A"/>
      </bottom>
      <diagonal/>
    </border>
    <border>
      <left style="thin">
        <color rgb="FF7D6608"/>
      </left>
      <right/>
      <top style="thin">
        <color rgb="FF7D6608"/>
      </top>
      <bottom style="thin">
        <color rgb="FF7D6608"/>
      </bottom>
      <diagonal/>
    </border>
  </borders>
  <cellStyleXfs count="1">
    <xf numFmtId="0" fontId="0" fillId="0" borderId="0"/>
  </cellStyleXfs>
  <cellXfs count="104">
    <xf numFmtId="0" fontId="0" fillId="0" borderId="0" xfId="0"/>
    <xf numFmtId="0" fontId="10" fillId="11" borderId="9"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8" fillId="9" borderId="6" xfId="0" applyFont="1" applyFill="1" applyBorder="1" applyAlignment="1">
      <alignment horizontal="left" vertical="center" wrapText="1" indent="1"/>
    </xf>
    <xf numFmtId="0" fontId="5" fillId="8" borderId="5" xfId="0" applyFont="1" applyFill="1" applyBorder="1" applyAlignment="1">
      <alignment horizontal="left" vertical="top" wrapText="1" indent="1"/>
    </xf>
    <xf numFmtId="0" fontId="7" fillId="8" borderId="5" xfId="0" applyFont="1" applyFill="1" applyBorder="1" applyAlignment="1">
      <alignment horizontal="left" vertical="top" wrapText="1" indent="1"/>
    </xf>
    <xf numFmtId="0" fontId="5" fillId="5" borderId="2" xfId="0" applyFont="1" applyFill="1" applyBorder="1" applyAlignment="1">
      <alignment horizontal="left" vertical="top" wrapText="1" indent="1"/>
    </xf>
    <xf numFmtId="0" fontId="4" fillId="5" borderId="2" xfId="0" applyFont="1" applyFill="1" applyBorder="1" applyAlignment="1">
      <alignment horizontal="left" vertical="top" wrapText="1" indent="1"/>
    </xf>
    <xf numFmtId="0" fontId="6" fillId="7" borderId="4" xfId="0" applyFont="1" applyFill="1" applyBorder="1" applyAlignment="1">
      <alignment horizontal="left" vertical="center" indent="1"/>
    </xf>
    <xf numFmtId="0" fontId="0" fillId="6" borderId="3" xfId="0" applyFill="1" applyBorder="1"/>
    <xf numFmtId="0" fontId="5" fillId="5" borderId="2" xfId="0" applyFont="1" applyFill="1" applyBorder="1" applyAlignment="1">
      <alignment horizontal="left" vertical="center" wrapText="1" indent="2"/>
    </xf>
    <xf numFmtId="0" fontId="4" fillId="5" borderId="2" xfId="0" applyFont="1" applyFill="1" applyBorder="1" applyAlignment="1">
      <alignment horizontal="left" vertical="center" indent="1"/>
    </xf>
    <xf numFmtId="0" fontId="3" fillId="4" borderId="1" xfId="0" applyFont="1" applyFill="1" applyBorder="1" applyAlignment="1">
      <alignment horizontal="left" vertical="center" inden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9" fillId="10" borderId="8" xfId="0" applyFont="1" applyFill="1" applyBorder="1" applyAlignment="1">
      <alignment horizontal="left" vertical="center" wrapText="1"/>
    </xf>
    <xf numFmtId="0" fontId="10" fillId="10" borderId="8" xfId="0" applyFont="1" applyFill="1" applyBorder="1" applyAlignment="1">
      <alignment horizontal="left" vertical="center" wrapText="1"/>
    </xf>
    <xf numFmtId="0" fontId="9" fillId="3" borderId="8"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9" fillId="10" borderId="8" xfId="0" applyFont="1" applyFill="1" applyBorder="1" applyAlignment="1">
      <alignment horizontal="center" vertical="center" wrapText="1"/>
    </xf>
    <xf numFmtId="0" fontId="9" fillId="11" borderId="8" xfId="0" applyFont="1" applyFill="1" applyBorder="1" applyAlignment="1">
      <alignment horizontal="center" vertical="center" wrapText="1"/>
    </xf>
    <xf numFmtId="0" fontId="9" fillId="11" borderId="8" xfId="0" applyFont="1" applyFill="1" applyBorder="1" applyAlignment="1">
      <alignment horizontal="left" vertical="center" wrapText="1"/>
    </xf>
    <xf numFmtId="0" fontId="9" fillId="15" borderId="8" xfId="0" applyFont="1" applyFill="1" applyBorder="1" applyAlignment="1">
      <alignment horizontal="left" vertical="center" wrapText="1"/>
    </xf>
    <xf numFmtId="0" fontId="6" fillId="7" borderId="12" xfId="0" applyFont="1" applyFill="1" applyBorder="1" applyAlignment="1">
      <alignment horizontal="center" vertical="center" wrapText="1"/>
    </xf>
    <xf numFmtId="0" fontId="17" fillId="11" borderId="8" xfId="0" applyFont="1" applyFill="1" applyBorder="1" applyAlignment="1">
      <alignment horizontal="left" vertical="center" wrapText="1"/>
    </xf>
    <xf numFmtId="0" fontId="17" fillId="3" borderId="8" xfId="0" applyFont="1" applyFill="1" applyBorder="1" applyAlignment="1">
      <alignment horizontal="left" vertical="center" wrapText="1"/>
    </xf>
    <xf numFmtId="0" fontId="6" fillId="2" borderId="12" xfId="0" applyFont="1" applyFill="1" applyBorder="1" applyAlignment="1">
      <alignment horizontal="center" vertical="center" wrapText="1"/>
    </xf>
    <xf numFmtId="0" fontId="17" fillId="10" borderId="8" xfId="0" applyFont="1" applyFill="1" applyBorder="1" applyAlignment="1">
      <alignment horizontal="left" vertical="center" wrapText="1"/>
    </xf>
    <xf numFmtId="0" fontId="19" fillId="10" borderId="8" xfId="0" applyFont="1" applyFill="1" applyBorder="1" applyAlignment="1">
      <alignment horizontal="left" vertical="center" wrapText="1"/>
    </xf>
    <xf numFmtId="0" fontId="17" fillId="10" borderId="8" xfId="0" applyFont="1" applyFill="1" applyBorder="1" applyAlignment="1">
      <alignment horizontal="center"/>
    </xf>
    <xf numFmtId="0" fontId="19" fillId="11" borderId="8" xfId="0" applyFont="1" applyFill="1" applyBorder="1" applyAlignment="1">
      <alignment horizontal="left" vertical="center" wrapText="1"/>
    </xf>
    <xf numFmtId="0" fontId="17" fillId="11" borderId="8" xfId="0" applyFont="1" applyFill="1" applyBorder="1" applyAlignment="1">
      <alignment horizontal="center"/>
    </xf>
    <xf numFmtId="0" fontId="6" fillId="14" borderId="12" xfId="0" applyFont="1" applyFill="1" applyBorder="1" applyAlignment="1">
      <alignment horizontal="center" vertical="center" wrapText="1"/>
    </xf>
    <xf numFmtId="0" fontId="22" fillId="11" borderId="0" xfId="0" applyFont="1" applyFill="1" applyAlignment="1">
      <alignment horizontal="center" vertical="center"/>
    </xf>
    <xf numFmtId="0" fontId="17" fillId="15" borderId="8" xfId="0" applyFont="1" applyFill="1" applyBorder="1" applyAlignment="1">
      <alignment horizontal="left" vertical="center" wrapText="1"/>
    </xf>
    <xf numFmtId="9" fontId="22" fillId="11" borderId="0" xfId="0" applyNumberFormat="1" applyFont="1" applyFill="1" applyAlignment="1">
      <alignment horizontal="center" vertical="center"/>
    </xf>
    <xf numFmtId="0" fontId="6" fillId="16" borderId="12" xfId="0" applyFont="1" applyFill="1" applyBorder="1" applyAlignment="1">
      <alignment horizontal="center" vertical="center" wrapText="1"/>
    </xf>
    <xf numFmtId="0" fontId="17" fillId="17" borderId="8" xfId="0" applyFont="1" applyFill="1" applyBorder="1" applyAlignment="1">
      <alignment horizontal="left" vertical="center" wrapText="1"/>
    </xf>
    <xf numFmtId="0" fontId="6" fillId="18" borderId="12" xfId="0" applyFont="1" applyFill="1" applyBorder="1" applyAlignment="1">
      <alignment horizontal="center" vertical="center" wrapText="1"/>
    </xf>
    <xf numFmtId="0" fontId="9" fillId="19" borderId="8" xfId="0" applyFont="1" applyFill="1" applyBorder="1" applyAlignment="1">
      <alignment horizontal="left" vertical="center" wrapText="1"/>
    </xf>
    <xf numFmtId="0" fontId="22" fillId="0" borderId="0" xfId="0" applyFont="1" applyAlignment="1">
      <alignment horizontal="center"/>
    </xf>
    <xf numFmtId="0" fontId="19" fillId="19" borderId="8" xfId="0" applyFont="1" applyFill="1" applyBorder="1" applyAlignment="1">
      <alignment horizontal="left" vertical="center" wrapText="1"/>
    </xf>
    <xf numFmtId="0" fontId="17" fillId="19" borderId="8" xfId="0" applyFont="1" applyFill="1" applyBorder="1" applyAlignment="1">
      <alignment horizontal="left" vertical="center" wrapText="1"/>
    </xf>
    <xf numFmtId="0" fontId="9" fillId="8" borderId="8" xfId="0" applyFont="1" applyFill="1" applyBorder="1" applyAlignment="1">
      <alignment horizontal="left" vertical="center" wrapText="1"/>
    </xf>
    <xf numFmtId="0" fontId="9" fillId="8" borderId="8" xfId="0" applyFont="1" applyFill="1" applyBorder="1" applyAlignment="1">
      <alignment horizontal="center" vertical="center" wrapText="1"/>
    </xf>
    <xf numFmtId="0" fontId="10" fillId="8" borderId="8"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6" fillId="21" borderId="12" xfId="0" applyFont="1" applyFill="1" applyBorder="1" applyAlignment="1">
      <alignment horizontal="center" vertical="center" wrapText="1"/>
    </xf>
    <xf numFmtId="0" fontId="17" fillId="22" borderId="8" xfId="0" applyFont="1" applyFill="1" applyBorder="1" applyAlignment="1">
      <alignment horizontal="left" vertical="center" wrapText="1"/>
    </xf>
    <xf numFmtId="0" fontId="6" fillId="23" borderId="12" xfId="0" applyFont="1" applyFill="1" applyBorder="1" applyAlignment="1">
      <alignment horizontal="center" vertical="center" wrapText="1"/>
    </xf>
    <xf numFmtId="0" fontId="6" fillId="24" borderId="12" xfId="0" applyFont="1" applyFill="1" applyBorder="1" applyAlignment="1">
      <alignment horizontal="center" vertical="center" wrapText="1"/>
    </xf>
    <xf numFmtId="0" fontId="17" fillId="25" borderId="8" xfId="0" applyFont="1" applyFill="1" applyBorder="1" applyAlignment="1">
      <alignment horizontal="left" vertical="center" wrapText="1"/>
    </xf>
    <xf numFmtId="0" fontId="6" fillId="26" borderId="12" xfId="0" applyFont="1" applyFill="1" applyBorder="1" applyAlignment="1">
      <alignment horizontal="center" vertical="center" wrapText="1"/>
    </xf>
    <xf numFmtId="0" fontId="19" fillId="9" borderId="8" xfId="0" applyFont="1" applyFill="1" applyBorder="1" applyAlignment="1">
      <alignment horizontal="left" vertical="center" wrapText="1"/>
    </xf>
    <xf numFmtId="0" fontId="17" fillId="9" borderId="8" xfId="0" applyFont="1" applyFill="1" applyBorder="1" applyAlignment="1">
      <alignment horizontal="left" vertical="center" wrapText="1"/>
    </xf>
    <xf numFmtId="0" fontId="17" fillId="9" borderId="8" xfId="0" applyFont="1" applyFill="1" applyBorder="1" applyAlignment="1">
      <alignment horizontal="center"/>
    </xf>
    <xf numFmtId="0" fontId="26" fillId="11" borderId="0" xfId="0" applyFont="1" applyFill="1" applyAlignment="1">
      <alignment horizontal="center" vertical="center"/>
    </xf>
    <xf numFmtId="0" fontId="27" fillId="11" borderId="0" xfId="0" applyFont="1" applyFill="1" applyAlignment="1">
      <alignment horizontal="center" vertical="center"/>
    </xf>
    <xf numFmtId="0" fontId="28" fillId="11" borderId="0" xfId="0" applyFont="1" applyFill="1" applyAlignment="1">
      <alignment horizontal="center" vertical="center"/>
    </xf>
    <xf numFmtId="9" fontId="26" fillId="11" borderId="0" xfId="0" applyNumberFormat="1" applyFont="1" applyFill="1" applyAlignment="1">
      <alignment horizontal="center" vertical="center"/>
    </xf>
    <xf numFmtId="0" fontId="31" fillId="19" borderId="8"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0" fillId="11" borderId="8" xfId="0" applyFont="1" applyFill="1" applyBorder="1" applyAlignment="1">
      <alignment horizontal="center" vertical="center" wrapText="1"/>
    </xf>
    <xf numFmtId="0" fontId="32" fillId="8" borderId="8" xfId="0" applyFont="1" applyFill="1" applyBorder="1" applyAlignment="1">
      <alignment horizontal="center" vertical="center" wrapText="1"/>
    </xf>
    <xf numFmtId="0" fontId="10" fillId="12" borderId="9" xfId="0" applyFont="1" applyFill="1" applyBorder="1" applyAlignment="1">
      <alignment horizontal="left" vertical="center" wrapText="1"/>
    </xf>
    <xf numFmtId="0" fontId="10" fillId="10" borderId="9" xfId="0" applyFont="1" applyFill="1" applyBorder="1" applyAlignment="1">
      <alignment horizontal="left" vertical="center" wrapText="1"/>
    </xf>
    <xf numFmtId="0" fontId="10" fillId="10" borderId="9" xfId="0" applyFont="1" applyFill="1" applyBorder="1" applyAlignment="1">
      <alignment horizontal="center" vertical="center" wrapText="1"/>
    </xf>
    <xf numFmtId="0" fontId="10" fillId="11" borderId="9"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3" fillId="13" borderId="10" xfId="0" applyFont="1" applyFill="1" applyBorder="1" applyAlignment="1">
      <alignment horizontal="left" vertical="center" indent="1"/>
    </xf>
    <xf numFmtId="0" fontId="14" fillId="13" borderId="10" xfId="0" applyFont="1" applyFill="1" applyBorder="1" applyAlignment="1">
      <alignment horizontal="left" vertical="center" wrapText="1" indent="2"/>
    </xf>
    <xf numFmtId="0" fontId="15" fillId="13" borderId="10" xfId="0" applyFont="1" applyFill="1" applyBorder="1" applyAlignment="1">
      <alignment horizontal="left" vertical="center" wrapText="1" indent="2"/>
    </xf>
    <xf numFmtId="0" fontId="3" fillId="14" borderId="11" xfId="0" applyFont="1" applyFill="1" applyBorder="1" applyAlignment="1">
      <alignment horizontal="center" vertical="center" wrapText="1"/>
    </xf>
    <xf numFmtId="0" fontId="10" fillId="15" borderId="9" xfId="0" applyFont="1" applyFill="1" applyBorder="1" applyAlignment="1">
      <alignment horizontal="left" vertical="center" wrapText="1"/>
    </xf>
    <xf numFmtId="0" fontId="16" fillId="7" borderId="4" xfId="0" applyFont="1" applyFill="1" applyBorder="1" applyAlignment="1">
      <alignment horizontal="center" vertical="center" wrapText="1"/>
    </xf>
    <xf numFmtId="0" fontId="18" fillId="15" borderId="10" xfId="0" applyFont="1" applyFill="1" applyBorder="1" applyAlignment="1">
      <alignment horizontal="left" vertical="top" wrapText="1" indent="1"/>
    </xf>
    <xf numFmtId="0" fontId="5" fillId="15" borderId="10" xfId="0" applyFont="1" applyFill="1" applyBorder="1" applyAlignment="1">
      <alignment horizontal="left" vertical="top" wrapText="1" indent="1"/>
    </xf>
    <xf numFmtId="0" fontId="20" fillId="14" borderId="11" xfId="0" applyFont="1" applyFill="1" applyBorder="1" applyAlignment="1">
      <alignment horizontal="center" vertical="center" wrapText="1"/>
    </xf>
    <xf numFmtId="0" fontId="21" fillId="15" borderId="9" xfId="0" applyFont="1" applyFill="1" applyBorder="1" applyAlignment="1">
      <alignment horizontal="center" vertical="center" wrapText="1"/>
    </xf>
    <xf numFmtId="0" fontId="6" fillId="14" borderId="11" xfId="0" applyFont="1" applyFill="1" applyBorder="1" applyAlignment="1">
      <alignment horizontal="center" vertical="center" wrapText="1"/>
    </xf>
    <xf numFmtId="0" fontId="20" fillId="7" borderId="4" xfId="0" applyFont="1" applyFill="1" applyBorder="1" applyAlignment="1">
      <alignment horizontal="center" vertical="center" wrapText="1"/>
    </xf>
    <xf numFmtId="0" fontId="20" fillId="16" borderId="13" xfId="0" applyFont="1" applyFill="1" applyBorder="1" applyAlignment="1">
      <alignment horizontal="center" vertical="center" wrapText="1"/>
    </xf>
    <xf numFmtId="0" fontId="20" fillId="18" borderId="14" xfId="0" applyFont="1" applyFill="1" applyBorder="1" applyAlignment="1">
      <alignment horizontal="center" vertical="center" wrapText="1"/>
    </xf>
    <xf numFmtId="0" fontId="23" fillId="19" borderId="9" xfId="0" applyFont="1" applyFill="1" applyBorder="1" applyAlignment="1">
      <alignment horizontal="center" vertical="center" wrapText="1"/>
    </xf>
    <xf numFmtId="0" fontId="6" fillId="18" borderId="14" xfId="0" applyFont="1" applyFill="1" applyBorder="1" applyAlignment="1">
      <alignment horizontal="center" vertical="center" wrapText="1"/>
    </xf>
    <xf numFmtId="0" fontId="20" fillId="20" borderId="15"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0" fillId="11" borderId="0" xfId="0" applyFill="1" applyAlignment="1">
      <alignment vertical="top" wrapText="1"/>
    </xf>
    <xf numFmtId="0" fontId="20" fillId="21" borderId="16" xfId="0" applyFont="1" applyFill="1" applyBorder="1" applyAlignment="1">
      <alignment horizontal="center" vertical="center" wrapText="1"/>
    </xf>
    <xf numFmtId="0" fontId="20" fillId="23" borderId="17" xfId="0" applyFont="1" applyFill="1" applyBorder="1" applyAlignment="1">
      <alignment horizontal="center" vertical="center" wrapText="1"/>
    </xf>
    <xf numFmtId="0" fontId="20" fillId="24" borderId="18" xfId="0" applyFont="1" applyFill="1" applyBorder="1" applyAlignment="1">
      <alignment horizontal="center" vertical="center" wrapText="1"/>
    </xf>
    <xf numFmtId="0" fontId="20" fillId="26" borderId="19"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24" fillId="3" borderId="9" xfId="0" applyFont="1" applyFill="1" applyBorder="1" applyAlignment="1">
      <alignment horizontal="center" vertical="center" wrapText="1"/>
    </xf>
    <xf numFmtId="0" fontId="25" fillId="14" borderId="11" xfId="0" applyFont="1" applyFill="1" applyBorder="1" applyAlignment="1">
      <alignment horizontal="center" vertical="center" wrapText="1"/>
    </xf>
    <xf numFmtId="0" fontId="25" fillId="18" borderId="14"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9" fillId="15" borderId="9" xfId="0" applyFont="1" applyFill="1" applyBorder="1" applyAlignment="1">
      <alignment horizontal="left" vertical="center" wrapText="1"/>
    </xf>
    <xf numFmtId="0" fontId="9" fillId="19" borderId="9" xfId="0" applyFont="1" applyFill="1" applyBorder="1" applyAlignment="1">
      <alignment horizontal="left" vertical="center" wrapText="1"/>
    </xf>
    <xf numFmtId="0" fontId="3" fillId="20" borderId="15"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29" fillId="11" borderId="0" xfId="0" applyFont="1" applyFill="1" applyAlignment="1">
      <alignment horizontal="center"/>
    </xf>
    <xf numFmtId="0" fontId="30" fillId="11" borderId="0" xfId="0" applyFont="1" applyFill="1" applyAlignment="1">
      <alignment horizontal="center"/>
    </xf>
  </cellXfs>
  <cellStyles count="1">
    <cellStyle name="Normal" xfId="0" builtinId="0"/>
  </cellStyles>
  <dxfs count="21">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
      <font>
        <b/>
        <color rgb="FFE67E22"/>
      </font>
      <fill>
        <patternFill>
          <bgColor rgb="FFFDEBD0"/>
        </patternFill>
      </fill>
    </dxf>
    <dxf>
      <font>
        <b/>
        <color rgb="FFC0392B"/>
      </font>
      <fill>
        <patternFill>
          <bgColor rgb="FFFADBD8"/>
        </patternFill>
      </fill>
    </dxf>
    <dxf>
      <font>
        <b/>
        <color rgb="FF1E8449"/>
      </font>
      <fill>
        <patternFill>
          <bgColor rgb="FFD5F5E3"/>
        </patternFill>
      </fill>
    </dxf>
  </dxfs>
  <tableStyles count="0" defaultTableStyle="TableStyleMedium2" defaultPivotStyle="PivotStyleLight16"/>
  <colors>
    <indexedColors>
      <rgbColor rgb="FF000000"/>
      <rgbColor rgb="FFFFFFFF"/>
      <rgbColor rgb="FFFF0000"/>
      <rgbColor rgb="FF00FF00"/>
      <rgbColor rgb="FF0000FF"/>
      <rgbColor rgb="FFFFF8F5"/>
      <rgbColor rgb="FFFF00FF"/>
      <rgbColor rgb="FF00FFFF"/>
      <rgbColor rgb="FF6B3A2A"/>
      <rgbColor rgb="FF145A32"/>
      <rgbColor rgb="FF000080"/>
      <rgbColor rgb="FF7D6608"/>
      <rgbColor rgb="FF800080"/>
      <rgbColor rgb="FF2980B9"/>
      <rgbColor rgb="FFCCCCCC"/>
      <rgbColor rgb="FF808080"/>
      <rgbColor rgb="FFE8F4FD"/>
      <rgbColor rgb="FF8E44AD"/>
      <rgbColor rgb="FFFEF9E7"/>
      <rgbColor rgb="FFD6EAF8"/>
      <rgbColor rgb="FF660066"/>
      <rgbColor rgb="FFFF8080"/>
      <rgbColor rgb="FF005F8E"/>
      <rgbColor rgb="FFE0E0E0"/>
      <rgbColor rgb="FF000080"/>
      <rgbColor rgb="FFFF00FF"/>
      <rgbColor rgb="FFEBF5FB"/>
      <rgbColor rgb="FF00FFFF"/>
      <rgbColor rgb="FF800080"/>
      <rgbColor rgb="FF8B4513"/>
      <rgbColor rgb="FF1A5276"/>
      <rgbColor rgb="FF0000FF"/>
      <rgbColor rgb="FF00CCFF"/>
      <rgbColor rgb="FFEAFAF1"/>
      <rgbColor rgb="FFD5F5E3"/>
      <rgbColor rgb="FFFDEBD0"/>
      <rgbColor rgb="FFE8EAED"/>
      <rgbColor rgb="FFEAECEE"/>
      <rgbColor rgb="FFF5EEF8"/>
      <rgbColor rgb="FFFADBD8"/>
      <rgbColor rgb="FF3366FF"/>
      <rgbColor rgb="FF33CCCC"/>
      <rgbColor rgb="FF99CC00"/>
      <rgbColor rgb="FFF8FBFF"/>
      <rgbColor rgb="FFF0A500"/>
      <rgbColor rgb="FFE67E22"/>
      <rgbColor rgb="FF666699"/>
      <rgbColor rgb="FFAAAAAA"/>
      <rgbColor rgb="FF00314A"/>
      <rgbColor rgb="FF1E8449"/>
      <rgbColor rgb="FF17202A"/>
      <rgbColor rgb="FF1C2833"/>
      <rgbColor rgb="FF7D3C00"/>
      <rgbColor rgb="FFC0392B"/>
      <rgbColor rgb="FF1B4F72"/>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14A"/>
    <pageSetUpPr fitToPage="1"/>
  </sheetPr>
  <dimension ref="A1:H48"/>
  <sheetViews>
    <sheetView tabSelected="1" topLeftCell="A9" zoomScaleNormal="100" workbookViewId="0">
      <selection sqref="A1:H1"/>
    </sheetView>
  </sheetViews>
  <sheetFormatPr defaultColWidth="8.6640625" defaultRowHeight="14.4" x14ac:dyDescent="0.3"/>
  <cols>
    <col min="1" max="1" width="5" customWidth="1"/>
    <col min="2" max="2" width="26" customWidth="1"/>
    <col min="3" max="3" width="30" customWidth="1"/>
    <col min="4" max="6" width="15" customWidth="1"/>
    <col min="7" max="7" width="18" customWidth="1"/>
    <col min="8" max="8" width="15" customWidth="1"/>
  </cols>
  <sheetData>
    <row r="1" spans="1:8" ht="54.75" customHeight="1" x14ac:dyDescent="0.3">
      <c r="A1" s="14" t="s">
        <v>0</v>
      </c>
      <c r="B1" s="14"/>
      <c r="C1" s="14"/>
      <c r="D1" s="14"/>
      <c r="E1" s="14"/>
      <c r="F1" s="14"/>
      <c r="G1" s="14"/>
      <c r="H1" s="14"/>
    </row>
    <row r="2" spans="1:8" ht="19.5" customHeight="1" x14ac:dyDescent="0.3">
      <c r="A2" s="13" t="s">
        <v>1</v>
      </c>
      <c r="B2" s="13"/>
      <c r="C2" s="13"/>
      <c r="D2" s="13"/>
      <c r="E2" s="13"/>
      <c r="F2" s="13"/>
      <c r="G2" s="13"/>
      <c r="H2" s="13"/>
    </row>
    <row r="3" spans="1:8" ht="15" customHeight="1" x14ac:dyDescent="0.3"/>
    <row r="4" spans="1:8" ht="21.75" customHeight="1" x14ac:dyDescent="0.3">
      <c r="A4" s="12" t="s">
        <v>2</v>
      </c>
      <c r="B4" s="12"/>
      <c r="C4" s="12"/>
      <c r="D4" s="12"/>
      <c r="E4" s="12"/>
      <c r="F4" s="12"/>
      <c r="G4" s="12"/>
      <c r="H4" s="12"/>
    </row>
    <row r="5" spans="1:8" ht="19.5" customHeight="1" x14ac:dyDescent="0.3">
      <c r="A5" s="11" t="s">
        <v>3</v>
      </c>
      <c r="B5" s="11"/>
      <c r="C5" s="11"/>
      <c r="D5" s="11"/>
      <c r="E5" s="11"/>
      <c r="F5" s="11"/>
      <c r="G5" s="11"/>
      <c r="H5" s="11"/>
    </row>
    <row r="6" spans="1:8" ht="36" customHeight="1" x14ac:dyDescent="0.3">
      <c r="A6" s="10" t="s">
        <v>4</v>
      </c>
      <c r="B6" s="10"/>
      <c r="C6" s="10"/>
      <c r="D6" s="10"/>
      <c r="E6" s="10"/>
      <c r="F6" s="10"/>
      <c r="G6" s="10"/>
      <c r="H6" s="10"/>
    </row>
    <row r="7" spans="1:8" ht="4.5" customHeight="1" x14ac:dyDescent="0.3">
      <c r="A7" s="9"/>
      <c r="B7" s="9"/>
      <c r="C7" s="9"/>
      <c r="D7" s="9"/>
      <c r="E7" s="9"/>
      <c r="F7" s="9"/>
      <c r="G7" s="9"/>
      <c r="H7" s="9"/>
    </row>
    <row r="8" spans="1:8" ht="19.5" customHeight="1" x14ac:dyDescent="0.3">
      <c r="A8" s="8" t="s">
        <v>5</v>
      </c>
      <c r="B8" s="8"/>
      <c r="C8" s="8"/>
      <c r="D8" s="8"/>
      <c r="E8" s="8"/>
      <c r="F8" s="8"/>
      <c r="G8" s="8"/>
      <c r="H8" s="8"/>
    </row>
    <row r="9" spans="1:8" ht="36" customHeight="1" x14ac:dyDescent="0.3">
      <c r="A9" s="7" t="s">
        <v>6</v>
      </c>
      <c r="B9" s="7"/>
      <c r="C9" s="6" t="s">
        <v>7</v>
      </c>
      <c r="D9" s="6"/>
      <c r="E9" s="6"/>
      <c r="F9" s="6"/>
      <c r="G9" s="6"/>
      <c r="H9" s="6"/>
    </row>
    <row r="10" spans="1:8" ht="36" customHeight="1" x14ac:dyDescent="0.3">
      <c r="A10" s="7" t="s">
        <v>8</v>
      </c>
      <c r="B10" s="7"/>
      <c r="C10" s="6" t="s">
        <v>9</v>
      </c>
      <c r="D10" s="6"/>
      <c r="E10" s="6"/>
      <c r="F10" s="6"/>
      <c r="G10" s="6"/>
      <c r="H10" s="6"/>
    </row>
    <row r="11" spans="1:8" ht="36" customHeight="1" x14ac:dyDescent="0.3">
      <c r="A11" s="7" t="s">
        <v>10</v>
      </c>
      <c r="B11" s="7"/>
      <c r="C11" s="6" t="s">
        <v>11</v>
      </c>
      <c r="D11" s="6"/>
      <c r="E11" s="6"/>
      <c r="F11" s="6"/>
      <c r="G11" s="6"/>
      <c r="H11" s="6"/>
    </row>
    <row r="12" spans="1:8" ht="36" customHeight="1" x14ac:dyDescent="0.3">
      <c r="A12" s="7" t="s">
        <v>12</v>
      </c>
      <c r="B12" s="7"/>
      <c r="C12" s="6" t="s">
        <v>13</v>
      </c>
      <c r="D12" s="6"/>
      <c r="E12" s="6"/>
      <c r="F12" s="6"/>
      <c r="G12" s="6"/>
      <c r="H12" s="6"/>
    </row>
    <row r="13" spans="1:8" ht="36" customHeight="1" x14ac:dyDescent="0.3">
      <c r="A13" s="5" t="s">
        <v>14</v>
      </c>
      <c r="B13" s="5"/>
      <c r="C13" s="4" t="s">
        <v>15</v>
      </c>
      <c r="D13" s="4"/>
      <c r="E13" s="4"/>
      <c r="F13" s="4"/>
      <c r="G13" s="4"/>
      <c r="H13" s="4"/>
    </row>
    <row r="14" spans="1:8" ht="4.5" customHeight="1" x14ac:dyDescent="0.3">
      <c r="A14" s="9"/>
      <c r="B14" s="9"/>
      <c r="C14" s="9"/>
      <c r="D14" s="9"/>
      <c r="E14" s="9"/>
      <c r="F14" s="9"/>
      <c r="G14" s="9"/>
      <c r="H14" s="9"/>
    </row>
    <row r="15" spans="1:8" ht="27.75" customHeight="1" x14ac:dyDescent="0.3">
      <c r="A15" s="3" t="s">
        <v>16</v>
      </c>
      <c r="B15" s="3"/>
      <c r="C15" s="3"/>
      <c r="D15" s="3"/>
      <c r="E15" s="3"/>
      <c r="F15" s="3"/>
      <c r="G15" s="3"/>
      <c r="H15" s="3"/>
    </row>
    <row r="16" spans="1:8" ht="4.5" customHeight="1" x14ac:dyDescent="0.3"/>
    <row r="17" spans="1:8" ht="21.75" customHeight="1" x14ac:dyDescent="0.3">
      <c r="A17" s="2" t="s">
        <v>17</v>
      </c>
      <c r="B17" s="2"/>
      <c r="C17" s="2"/>
      <c r="D17" s="2"/>
      <c r="E17" s="2"/>
      <c r="F17" s="2"/>
      <c r="G17" s="2"/>
      <c r="H17" s="2"/>
    </row>
    <row r="18" spans="1:8" ht="19.5" customHeight="1" x14ac:dyDescent="0.3">
      <c r="A18" s="15" t="s">
        <v>18</v>
      </c>
      <c r="B18" s="16"/>
      <c r="C18" s="1"/>
      <c r="D18" s="1"/>
      <c r="E18" s="1"/>
      <c r="F18" s="1"/>
      <c r="G18" s="1"/>
      <c r="H18" s="1"/>
    </row>
    <row r="19" spans="1:8" ht="19.5" customHeight="1" x14ac:dyDescent="0.3">
      <c r="A19" s="17" t="s">
        <v>19</v>
      </c>
      <c r="B19" s="18"/>
      <c r="C19" s="64"/>
      <c r="D19" s="64"/>
      <c r="E19" s="64"/>
    </row>
    <row r="20" spans="1:8" ht="19.5" customHeight="1" x14ac:dyDescent="0.3">
      <c r="A20" s="15" t="s">
        <v>20</v>
      </c>
      <c r="B20" s="16"/>
      <c r="C20" s="1"/>
      <c r="D20" s="1"/>
      <c r="E20" s="1"/>
      <c r="F20" s="1"/>
      <c r="G20" s="1"/>
      <c r="H20" s="1"/>
    </row>
    <row r="21" spans="1:8" ht="19.5" customHeight="1" x14ac:dyDescent="0.3">
      <c r="A21" s="17" t="s">
        <v>21</v>
      </c>
      <c r="B21" s="18"/>
      <c r="C21" s="64"/>
      <c r="D21" s="64"/>
      <c r="E21" s="64"/>
      <c r="F21" s="64"/>
    </row>
    <row r="22" spans="1:8" ht="19.5" customHeight="1" x14ac:dyDescent="0.3">
      <c r="A22" s="15" t="s">
        <v>22</v>
      </c>
      <c r="B22" s="16"/>
      <c r="C22" s="1"/>
      <c r="D22" s="1"/>
      <c r="E22" s="1"/>
    </row>
    <row r="23" spans="1:8" ht="19.5" customHeight="1" x14ac:dyDescent="0.3">
      <c r="A23" s="17" t="s">
        <v>23</v>
      </c>
      <c r="B23" s="18"/>
      <c r="C23" s="64"/>
      <c r="D23" s="64"/>
      <c r="E23" s="64"/>
      <c r="F23" s="64"/>
      <c r="G23" s="64"/>
      <c r="H23" s="64"/>
    </row>
    <row r="24" spans="1:8" ht="19.5" customHeight="1" x14ac:dyDescent="0.3">
      <c r="A24" s="15" t="s">
        <v>24</v>
      </c>
      <c r="B24" s="16"/>
      <c r="C24" s="1" t="s">
        <v>25</v>
      </c>
      <c r="D24" s="1"/>
      <c r="E24" s="1"/>
      <c r="F24" s="1"/>
      <c r="G24" s="1"/>
      <c r="H24" s="1"/>
    </row>
    <row r="25" spans="1:8" ht="19.5" customHeight="1" x14ac:dyDescent="0.3">
      <c r="A25" s="17" t="s">
        <v>26</v>
      </c>
      <c r="B25" s="18"/>
      <c r="C25" s="64"/>
      <c r="D25" s="64"/>
      <c r="E25" s="64"/>
      <c r="F25" s="64"/>
      <c r="G25" s="64"/>
      <c r="H25" s="64"/>
    </row>
    <row r="26" spans="1:8" ht="19.5" customHeight="1" x14ac:dyDescent="0.3">
      <c r="A26" s="15" t="s">
        <v>27</v>
      </c>
      <c r="B26" s="16"/>
      <c r="C26" s="1"/>
      <c r="D26" s="1"/>
      <c r="E26" s="1"/>
      <c r="F26" s="1"/>
      <c r="G26" s="1"/>
      <c r="H26" s="1"/>
    </row>
    <row r="27" spans="1:8" ht="19.5" customHeight="1" x14ac:dyDescent="0.3">
      <c r="A27" s="17" t="s">
        <v>28</v>
      </c>
      <c r="B27" s="18"/>
      <c r="C27" s="64" t="s">
        <v>29</v>
      </c>
      <c r="D27" s="64"/>
      <c r="E27" s="64"/>
      <c r="F27" s="64"/>
      <c r="G27" s="64"/>
      <c r="H27" s="64"/>
    </row>
    <row r="28" spans="1:8" ht="19.5" customHeight="1" x14ac:dyDescent="0.3">
      <c r="A28" s="15" t="s">
        <v>30</v>
      </c>
      <c r="B28" s="16"/>
      <c r="C28" s="1"/>
      <c r="D28" s="1"/>
      <c r="E28" s="1"/>
    </row>
    <row r="29" spans="1:8" ht="19.5" customHeight="1" x14ac:dyDescent="0.3">
      <c r="A29" s="17" t="s">
        <v>31</v>
      </c>
      <c r="B29" s="18"/>
      <c r="C29" s="64"/>
      <c r="D29" s="64"/>
      <c r="E29" s="64"/>
    </row>
    <row r="30" spans="1:8" ht="19.5" customHeight="1" x14ac:dyDescent="0.3">
      <c r="A30" s="15" t="s">
        <v>32</v>
      </c>
      <c r="B30" s="16"/>
      <c r="C30" s="1" t="s">
        <v>33</v>
      </c>
      <c r="D30" s="1"/>
    </row>
    <row r="31" spans="1:8" ht="19.5" customHeight="1" x14ac:dyDescent="0.3">
      <c r="A31" s="17" t="s">
        <v>34</v>
      </c>
      <c r="B31" s="18"/>
      <c r="C31" s="64" t="s">
        <v>35</v>
      </c>
      <c r="D31" s="64"/>
      <c r="E31" s="64"/>
    </row>
    <row r="32" spans="1:8" ht="15" customHeight="1" x14ac:dyDescent="0.3"/>
    <row r="33" spans="1:8" ht="15" customHeight="1" x14ac:dyDescent="0.3"/>
    <row r="34" spans="1:8" ht="21.75" customHeight="1" x14ac:dyDescent="0.3">
      <c r="A34" s="2" t="s">
        <v>36</v>
      </c>
      <c r="B34" s="2"/>
      <c r="C34" s="2"/>
      <c r="D34" s="2"/>
      <c r="E34" s="2"/>
      <c r="F34" s="2"/>
      <c r="G34" s="2"/>
      <c r="H34" s="2"/>
    </row>
    <row r="35" spans="1:8" ht="19.5" customHeight="1" x14ac:dyDescent="0.3">
      <c r="A35" s="19" t="s">
        <v>37</v>
      </c>
      <c r="B35" s="15" t="s">
        <v>38</v>
      </c>
      <c r="C35" s="65" t="s">
        <v>39</v>
      </c>
      <c r="D35" s="65"/>
      <c r="E35" s="65"/>
      <c r="F35" s="65"/>
      <c r="G35" s="66" t="s">
        <v>40</v>
      </c>
      <c r="H35" s="66"/>
    </row>
    <row r="36" spans="1:8" ht="19.5" customHeight="1" x14ac:dyDescent="0.3">
      <c r="A36" s="20" t="s">
        <v>41</v>
      </c>
      <c r="B36" s="21" t="s">
        <v>42</v>
      </c>
      <c r="C36" s="1" t="s">
        <v>43</v>
      </c>
      <c r="D36" s="1"/>
      <c r="E36" s="1"/>
      <c r="F36" s="1"/>
      <c r="G36" s="67" t="s">
        <v>44</v>
      </c>
      <c r="H36" s="67"/>
    </row>
    <row r="37" spans="1:8" ht="19.5" customHeight="1" x14ac:dyDescent="0.3">
      <c r="A37" s="19" t="s">
        <v>45</v>
      </c>
      <c r="B37" s="15" t="s">
        <v>46</v>
      </c>
      <c r="C37" s="65" t="s">
        <v>47</v>
      </c>
      <c r="D37" s="65"/>
      <c r="E37" s="65"/>
      <c r="F37" s="65"/>
      <c r="G37" s="66" t="s">
        <v>44</v>
      </c>
      <c r="H37" s="66"/>
    </row>
    <row r="38" spans="1:8" ht="19.5" customHeight="1" x14ac:dyDescent="0.3">
      <c r="A38" s="20" t="s">
        <v>48</v>
      </c>
      <c r="B38" s="21" t="s">
        <v>49</v>
      </c>
      <c r="C38" s="1" t="s">
        <v>50</v>
      </c>
      <c r="D38" s="1"/>
      <c r="E38" s="1"/>
      <c r="F38" s="1"/>
      <c r="G38" s="67" t="s">
        <v>51</v>
      </c>
      <c r="H38" s="67"/>
    </row>
    <row r="39" spans="1:8" ht="19.5" customHeight="1" x14ac:dyDescent="0.3">
      <c r="A39" s="19" t="s">
        <v>52</v>
      </c>
      <c r="B39" s="15" t="s">
        <v>53</v>
      </c>
      <c r="C39" s="65" t="s">
        <v>54</v>
      </c>
      <c r="D39" s="65"/>
      <c r="E39" s="65"/>
      <c r="F39" s="65"/>
      <c r="G39" s="66" t="s">
        <v>55</v>
      </c>
      <c r="H39" s="66"/>
    </row>
    <row r="40" spans="1:8" ht="19.5" customHeight="1" x14ac:dyDescent="0.3">
      <c r="A40" s="20" t="s">
        <v>56</v>
      </c>
      <c r="B40" s="21" t="s">
        <v>57</v>
      </c>
      <c r="C40" s="1" t="s">
        <v>58</v>
      </c>
      <c r="D40" s="1"/>
      <c r="E40" s="1"/>
      <c r="F40" s="1"/>
      <c r="G40" s="67" t="s">
        <v>59</v>
      </c>
      <c r="H40" s="67"/>
    </row>
    <row r="41" spans="1:8" ht="19.5" customHeight="1" x14ac:dyDescent="0.3">
      <c r="A41" s="19" t="s">
        <v>60</v>
      </c>
      <c r="B41" s="15" t="s">
        <v>61</v>
      </c>
      <c r="C41" s="65" t="s">
        <v>62</v>
      </c>
      <c r="D41" s="65"/>
      <c r="E41" s="65"/>
      <c r="F41" s="65"/>
      <c r="G41" s="66" t="s">
        <v>63</v>
      </c>
      <c r="H41" s="66"/>
    </row>
    <row r="42" spans="1:8" ht="19.5" customHeight="1" x14ac:dyDescent="0.3">
      <c r="A42" s="20" t="s">
        <v>64</v>
      </c>
      <c r="B42" s="21" t="s">
        <v>65</v>
      </c>
      <c r="C42" s="1" t="s">
        <v>66</v>
      </c>
      <c r="D42" s="1"/>
      <c r="E42" s="1"/>
      <c r="F42" s="1"/>
      <c r="G42" s="67" t="s">
        <v>67</v>
      </c>
      <c r="H42" s="67"/>
    </row>
    <row r="43" spans="1:8" ht="19.5" customHeight="1" x14ac:dyDescent="0.3">
      <c r="A43" s="19" t="s">
        <v>68</v>
      </c>
      <c r="B43" s="15" t="s">
        <v>69</v>
      </c>
      <c r="C43" s="65" t="s">
        <v>70</v>
      </c>
      <c r="D43" s="65"/>
      <c r="E43" s="65"/>
      <c r="F43" s="65"/>
      <c r="G43" s="66" t="s">
        <v>44</v>
      </c>
      <c r="H43" s="66"/>
    </row>
    <row r="44" spans="1:8" ht="19.5" customHeight="1" x14ac:dyDescent="0.3">
      <c r="A44" s="20" t="s">
        <v>71</v>
      </c>
      <c r="B44" s="21" t="s">
        <v>72</v>
      </c>
      <c r="C44" s="1" t="s">
        <v>73</v>
      </c>
      <c r="D44" s="1"/>
      <c r="E44" s="1"/>
      <c r="F44" s="1"/>
      <c r="G44" s="67" t="s">
        <v>44</v>
      </c>
      <c r="H44" s="67"/>
    </row>
    <row r="45" spans="1:8" ht="19.5" customHeight="1" x14ac:dyDescent="0.3">
      <c r="A45" s="19" t="s">
        <v>74</v>
      </c>
      <c r="B45" s="15" t="s">
        <v>75</v>
      </c>
      <c r="C45" s="65" t="s">
        <v>76</v>
      </c>
      <c r="D45" s="65"/>
      <c r="E45" s="65"/>
      <c r="F45" s="65"/>
      <c r="G45" s="66" t="s">
        <v>55</v>
      </c>
      <c r="H45" s="66"/>
    </row>
    <row r="46" spans="1:8" ht="19.5" customHeight="1" x14ac:dyDescent="0.3">
      <c r="A46" s="20" t="s">
        <v>77</v>
      </c>
      <c r="B46" s="21" t="s">
        <v>78</v>
      </c>
      <c r="C46" s="1" t="s">
        <v>79</v>
      </c>
      <c r="D46" s="1"/>
      <c r="E46" s="1"/>
      <c r="F46" s="1"/>
      <c r="G46" s="67" t="s">
        <v>44</v>
      </c>
      <c r="H46" s="67"/>
    </row>
    <row r="47" spans="1:8" ht="19.5" customHeight="1" x14ac:dyDescent="0.3">
      <c r="A47" s="19" t="s">
        <v>80</v>
      </c>
      <c r="B47" s="15" t="s">
        <v>81</v>
      </c>
      <c r="C47" s="65" t="s">
        <v>82</v>
      </c>
      <c r="D47" s="65"/>
      <c r="E47" s="65"/>
      <c r="F47" s="65"/>
      <c r="G47" s="66" t="s">
        <v>51</v>
      </c>
      <c r="H47" s="66"/>
    </row>
    <row r="48" spans="1:8" ht="19.5" customHeight="1" x14ac:dyDescent="0.3">
      <c r="A48" s="20" t="s">
        <v>83</v>
      </c>
      <c r="B48" s="21" t="s">
        <v>84</v>
      </c>
      <c r="C48" s="1" t="s">
        <v>85</v>
      </c>
      <c r="D48" s="1"/>
      <c r="E48" s="1"/>
      <c r="F48" s="1"/>
      <c r="G48" s="67" t="s">
        <v>40</v>
      </c>
      <c r="H48" s="67"/>
    </row>
  </sheetData>
  <mergeCells count="63">
    <mergeCell ref="C48:F48"/>
    <mergeCell ref="G48:H48"/>
    <mergeCell ref="C45:F45"/>
    <mergeCell ref="G45:H45"/>
    <mergeCell ref="C46:F46"/>
    <mergeCell ref="G46:H46"/>
    <mergeCell ref="C47:F47"/>
    <mergeCell ref="G47:H47"/>
    <mergeCell ref="C42:F42"/>
    <mergeCell ref="G42:H42"/>
    <mergeCell ref="C43:F43"/>
    <mergeCell ref="G43:H43"/>
    <mergeCell ref="C44:F44"/>
    <mergeCell ref="G44:H44"/>
    <mergeCell ref="C39:F39"/>
    <mergeCell ref="G39:H39"/>
    <mergeCell ref="C40:F40"/>
    <mergeCell ref="G40:H40"/>
    <mergeCell ref="C41:F41"/>
    <mergeCell ref="G41:H41"/>
    <mergeCell ref="C36:F36"/>
    <mergeCell ref="G36:H36"/>
    <mergeCell ref="C37:F37"/>
    <mergeCell ref="G37:H37"/>
    <mergeCell ref="C38:F38"/>
    <mergeCell ref="G38:H38"/>
    <mergeCell ref="C30:D30"/>
    <mergeCell ref="C31:E31"/>
    <mergeCell ref="A34:H34"/>
    <mergeCell ref="C35:F35"/>
    <mergeCell ref="G35:H35"/>
    <mergeCell ref="C25:H25"/>
    <mergeCell ref="C26:H26"/>
    <mergeCell ref="C27:H27"/>
    <mergeCell ref="C28:E28"/>
    <mergeCell ref="C29:E29"/>
    <mergeCell ref="C20:H20"/>
    <mergeCell ref="C21:F21"/>
    <mergeCell ref="C22:E22"/>
    <mergeCell ref="C23:H23"/>
    <mergeCell ref="C24:H24"/>
    <mergeCell ref="A14:H14"/>
    <mergeCell ref="A15:H15"/>
    <mergeCell ref="A17:H17"/>
    <mergeCell ref="C18:H18"/>
    <mergeCell ref="C19:E19"/>
    <mergeCell ref="A11:B11"/>
    <mergeCell ref="C11:H11"/>
    <mergeCell ref="A12:B12"/>
    <mergeCell ref="C12:H12"/>
    <mergeCell ref="A13:B13"/>
    <mergeCell ref="C13:H13"/>
    <mergeCell ref="A7:H7"/>
    <mergeCell ref="A8:H8"/>
    <mergeCell ref="A9:B9"/>
    <mergeCell ref="C9:H9"/>
    <mergeCell ref="A10:B10"/>
    <mergeCell ref="C10:H10"/>
    <mergeCell ref="A1:H1"/>
    <mergeCell ref="A2:H2"/>
    <mergeCell ref="A4:H4"/>
    <mergeCell ref="A5:H5"/>
    <mergeCell ref="A6:H6"/>
  </mergeCells>
  <dataValidations count="1">
    <dataValidation type="list" allowBlank="1" showErrorMessage="1" errorTitle="Ugyldig" error="Vælg fra listen." sqref="C24" xr:uid="{00000000-0002-0000-0000-000000000000}">
      <formula1>"El,VVS,Kloak,Gas,Asbest,Selektiv Nedrivning,El og VVS"</formula1>
      <formula2>0</formula2>
    </dataValidation>
  </dataValidations>
  <pageMargins left="0.5" right="0.5" top="0.75" bottom="0.75" header="0.5" footer="0.5"/>
  <pageSetup orientation="landscape" horizontalDpi="300" verticalDpi="300"/>
  <headerFooter>
    <oddHeader>&amp;CKLS — Forside</oddHeader>
    <oddFooter>&amp;CKLS Kvalitetsledelsessystem  ·  Side &amp;P af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F8E"/>
    <pageSetUpPr fitToPage="1"/>
  </sheetPr>
  <dimension ref="A1:G38"/>
  <sheetViews>
    <sheetView zoomScaleNormal="100" workbookViewId="0">
      <selection sqref="A1:G1"/>
    </sheetView>
  </sheetViews>
  <sheetFormatPr defaultColWidth="8.6640625" defaultRowHeight="14.4" x14ac:dyDescent="0.3"/>
  <cols>
    <col min="1" max="1" width="22" customWidth="1"/>
    <col min="2" max="2" width="55" customWidth="1"/>
    <col min="3" max="7" width="12" customWidth="1"/>
  </cols>
  <sheetData>
    <row r="1" spans="1:7" ht="42" customHeight="1" x14ac:dyDescent="0.3">
      <c r="A1" s="68" t="s">
        <v>86</v>
      </c>
      <c r="B1" s="68"/>
      <c r="C1" s="68"/>
      <c r="D1" s="68"/>
      <c r="E1" s="68"/>
      <c r="F1" s="68"/>
      <c r="G1" s="68"/>
    </row>
    <row r="2" spans="1:7" ht="19.5" customHeight="1" x14ac:dyDescent="0.3">
      <c r="A2" s="69" t="s">
        <v>87</v>
      </c>
      <c r="B2" s="69"/>
      <c r="C2" s="69"/>
      <c r="D2" s="69"/>
      <c r="E2" s="69"/>
      <c r="F2" s="69"/>
      <c r="G2" s="69"/>
    </row>
    <row r="3" spans="1:7" ht="15" customHeight="1" x14ac:dyDescent="0.3"/>
    <row r="4" spans="1:7" ht="21.75" customHeight="1" x14ac:dyDescent="0.3">
      <c r="A4" s="12" t="s">
        <v>88</v>
      </c>
      <c r="B4" s="12"/>
      <c r="C4" s="12"/>
      <c r="D4" s="12"/>
      <c r="E4" s="12"/>
      <c r="F4" s="12"/>
      <c r="G4" s="12"/>
    </row>
    <row r="5" spans="1:7" ht="19.5" customHeight="1" x14ac:dyDescent="0.3">
      <c r="A5" s="11" t="s">
        <v>3</v>
      </c>
      <c r="B5" s="11"/>
      <c r="C5" s="11"/>
      <c r="D5" s="11"/>
      <c r="E5" s="11"/>
      <c r="F5" s="11"/>
      <c r="G5" s="11"/>
    </row>
    <row r="6" spans="1:7" ht="36" customHeight="1" x14ac:dyDescent="0.3">
      <c r="A6" s="10" t="s">
        <v>89</v>
      </c>
      <c r="B6" s="10"/>
      <c r="C6" s="10"/>
      <c r="D6" s="10"/>
      <c r="E6" s="10"/>
      <c r="F6" s="10"/>
      <c r="G6" s="10"/>
    </row>
    <row r="7" spans="1:7" ht="4.5" customHeight="1" x14ac:dyDescent="0.3">
      <c r="A7" s="9"/>
      <c r="B7" s="9"/>
      <c r="C7" s="9"/>
      <c r="D7" s="9"/>
      <c r="E7" s="9"/>
      <c r="F7" s="9"/>
      <c r="G7" s="9"/>
    </row>
    <row r="8" spans="1:7" ht="19.5" customHeight="1" x14ac:dyDescent="0.3">
      <c r="A8" s="8" t="s">
        <v>90</v>
      </c>
      <c r="B8" s="8"/>
      <c r="C8" s="8"/>
      <c r="D8" s="8"/>
      <c r="E8" s="8"/>
      <c r="F8" s="8"/>
      <c r="G8" s="8"/>
    </row>
    <row r="9" spans="1:7" ht="36" customHeight="1" x14ac:dyDescent="0.3">
      <c r="A9" s="7" t="s">
        <v>91</v>
      </c>
      <c r="B9" s="7"/>
      <c r="C9" s="6" t="s">
        <v>92</v>
      </c>
      <c r="D9" s="6"/>
      <c r="E9" s="6"/>
      <c r="F9" s="6"/>
      <c r="G9" s="6"/>
    </row>
    <row r="10" spans="1:7" ht="15" customHeight="1" x14ac:dyDescent="0.3">
      <c r="A10" s="70" t="s">
        <v>93</v>
      </c>
      <c r="B10" s="70"/>
      <c r="C10" s="70"/>
      <c r="D10" s="70"/>
      <c r="E10" s="70"/>
      <c r="F10" s="70"/>
      <c r="G10" s="70"/>
    </row>
    <row r="11" spans="1:7" ht="19.5" customHeight="1" x14ac:dyDescent="0.3">
      <c r="A11" s="71" t="s">
        <v>94</v>
      </c>
      <c r="B11" s="71"/>
      <c r="C11" s="71"/>
      <c r="D11" s="71"/>
      <c r="E11" s="71"/>
      <c r="F11" s="71"/>
      <c r="G11" s="71"/>
    </row>
    <row r="12" spans="1:7" ht="19.5" customHeight="1" x14ac:dyDescent="0.3">
      <c r="A12" s="72" t="s">
        <v>95</v>
      </c>
      <c r="B12" s="72"/>
      <c r="C12" s="72"/>
      <c r="D12" s="72"/>
      <c r="E12" s="72"/>
      <c r="F12" s="72"/>
      <c r="G12" s="72"/>
    </row>
    <row r="13" spans="1:7" ht="4.5" customHeight="1" x14ac:dyDescent="0.3">
      <c r="A13" s="9"/>
      <c r="B13" s="9"/>
      <c r="C13" s="9"/>
      <c r="D13" s="9"/>
      <c r="E13" s="9"/>
      <c r="F13" s="9"/>
      <c r="G13" s="9"/>
    </row>
    <row r="14" spans="1:7" ht="19.5" customHeight="1" x14ac:dyDescent="0.3">
      <c r="A14" s="8" t="s">
        <v>96</v>
      </c>
      <c r="B14" s="8"/>
      <c r="C14" s="8"/>
      <c r="D14" s="8"/>
      <c r="E14" s="8"/>
      <c r="F14" s="8"/>
      <c r="G14" s="8"/>
    </row>
    <row r="15" spans="1:7" ht="36" customHeight="1" x14ac:dyDescent="0.3">
      <c r="A15" s="7" t="s">
        <v>97</v>
      </c>
      <c r="B15" s="7"/>
      <c r="C15" s="6" t="s">
        <v>98</v>
      </c>
      <c r="D15" s="6"/>
      <c r="E15" s="6"/>
      <c r="F15" s="6"/>
      <c r="G15" s="6"/>
    </row>
    <row r="16" spans="1:7" ht="4.5" customHeight="1" x14ac:dyDescent="0.3">
      <c r="A16" s="9"/>
      <c r="B16" s="9"/>
      <c r="C16" s="9"/>
      <c r="D16" s="9"/>
      <c r="E16" s="9"/>
      <c r="F16" s="9"/>
      <c r="G16" s="9"/>
    </row>
    <row r="17" spans="1:7" ht="19.5" customHeight="1" x14ac:dyDescent="0.3">
      <c r="A17" s="8" t="s">
        <v>99</v>
      </c>
      <c r="B17" s="8"/>
      <c r="C17" s="8"/>
      <c r="D17" s="8"/>
      <c r="E17" s="8"/>
      <c r="F17" s="8"/>
      <c r="G17" s="8"/>
    </row>
    <row r="18" spans="1:7" ht="36" customHeight="1" x14ac:dyDescent="0.3">
      <c r="A18" s="7" t="s">
        <v>100</v>
      </c>
      <c r="B18" s="7"/>
      <c r="C18" s="6" t="s">
        <v>101</v>
      </c>
      <c r="D18" s="6"/>
      <c r="E18" s="6"/>
      <c r="F18" s="6"/>
      <c r="G18" s="6"/>
    </row>
    <row r="19" spans="1:7" ht="27.75" customHeight="1" x14ac:dyDescent="0.3">
      <c r="A19" s="3" t="s">
        <v>102</v>
      </c>
      <c r="B19" s="3"/>
      <c r="C19" s="3"/>
      <c r="D19" s="3"/>
      <c r="E19" s="3"/>
      <c r="F19" s="3"/>
      <c r="G19" s="3"/>
    </row>
    <row r="20" spans="1:7" ht="15" customHeight="1" x14ac:dyDescent="0.3"/>
    <row r="21" spans="1:7" ht="15" customHeight="1" x14ac:dyDescent="0.3"/>
    <row r="22" spans="1:7" ht="21.75" customHeight="1" x14ac:dyDescent="0.3">
      <c r="A22" s="2" t="s">
        <v>103</v>
      </c>
      <c r="B22" s="2"/>
      <c r="C22" s="2"/>
      <c r="D22" s="2"/>
      <c r="E22" s="2"/>
      <c r="F22" s="2"/>
      <c r="G22" s="2"/>
    </row>
    <row r="23" spans="1:7" ht="19.5" customHeight="1" x14ac:dyDescent="0.3">
      <c r="A23" s="15" t="s">
        <v>104</v>
      </c>
      <c r="B23" s="65" t="s">
        <v>105</v>
      </c>
      <c r="C23" s="65"/>
      <c r="D23" s="65"/>
      <c r="E23" s="65"/>
      <c r="F23" s="65"/>
      <c r="G23" s="65"/>
    </row>
    <row r="24" spans="1:7" ht="19.5" customHeight="1" x14ac:dyDescent="0.3">
      <c r="A24" s="21" t="s">
        <v>106</v>
      </c>
      <c r="B24" s="1" t="s">
        <v>107</v>
      </c>
      <c r="C24" s="1"/>
      <c r="D24" s="1"/>
      <c r="E24" s="1"/>
      <c r="F24" s="1"/>
      <c r="G24" s="1"/>
    </row>
    <row r="25" spans="1:7" ht="19.5" customHeight="1" x14ac:dyDescent="0.3">
      <c r="A25" s="15" t="s">
        <v>108</v>
      </c>
      <c r="B25" s="65" t="s">
        <v>109</v>
      </c>
      <c r="C25" s="65"/>
      <c r="D25" s="65"/>
      <c r="E25" s="65"/>
      <c r="F25" s="65"/>
      <c r="G25" s="65"/>
    </row>
    <row r="26" spans="1:7" ht="19.5" customHeight="1" x14ac:dyDescent="0.3">
      <c r="A26" s="21" t="s">
        <v>110</v>
      </c>
      <c r="B26" s="1" t="s">
        <v>111</v>
      </c>
      <c r="C26" s="1"/>
      <c r="D26" s="1"/>
      <c r="E26" s="1"/>
      <c r="F26" s="1"/>
      <c r="G26" s="1"/>
    </row>
    <row r="27" spans="1:7" ht="19.5" customHeight="1" x14ac:dyDescent="0.3">
      <c r="A27" s="15" t="s">
        <v>112</v>
      </c>
      <c r="B27" s="65" t="s">
        <v>113</v>
      </c>
      <c r="C27" s="65"/>
      <c r="D27" s="65"/>
      <c r="E27" s="65"/>
      <c r="F27" s="65"/>
      <c r="G27" s="65"/>
    </row>
    <row r="28" spans="1:7" ht="15" customHeight="1" x14ac:dyDescent="0.3"/>
    <row r="29" spans="1:7" ht="21.75" customHeight="1" x14ac:dyDescent="0.3">
      <c r="A29" s="2" t="s">
        <v>114</v>
      </c>
      <c r="B29" s="2"/>
      <c r="C29" s="2"/>
      <c r="D29" s="2"/>
      <c r="E29" s="2"/>
      <c r="F29" s="2"/>
      <c r="G29" s="2"/>
    </row>
    <row r="30" spans="1:7" ht="19.5" customHeight="1" x14ac:dyDescent="0.3">
      <c r="A30" s="15" t="s">
        <v>115</v>
      </c>
      <c r="B30" s="65" t="s">
        <v>116</v>
      </c>
      <c r="C30" s="65"/>
      <c r="D30" s="65"/>
      <c r="E30" s="65"/>
      <c r="F30" s="65"/>
      <c r="G30" s="65"/>
    </row>
    <row r="31" spans="1:7" ht="19.5" customHeight="1" x14ac:dyDescent="0.3">
      <c r="A31" s="21" t="s">
        <v>117</v>
      </c>
      <c r="B31" s="1" t="s">
        <v>118</v>
      </c>
      <c r="C31" s="1"/>
      <c r="D31" s="1"/>
      <c r="E31" s="1"/>
      <c r="F31" s="1"/>
      <c r="G31" s="1"/>
    </row>
    <row r="32" spans="1:7" ht="19.5" customHeight="1" x14ac:dyDescent="0.3">
      <c r="A32" s="15" t="s">
        <v>119</v>
      </c>
      <c r="B32" s="65" t="s">
        <v>120</v>
      </c>
      <c r="C32" s="65"/>
      <c r="D32" s="65"/>
      <c r="E32" s="65"/>
      <c r="F32" s="65"/>
      <c r="G32" s="65"/>
    </row>
    <row r="33" spans="1:7" ht="19.5" customHeight="1" x14ac:dyDescent="0.3">
      <c r="A33" s="21" t="s">
        <v>121</v>
      </c>
      <c r="B33" s="1" t="s">
        <v>122</v>
      </c>
      <c r="C33" s="1"/>
      <c r="D33" s="1"/>
      <c r="E33" s="1"/>
      <c r="F33" s="1"/>
      <c r="G33" s="1"/>
    </row>
    <row r="34" spans="1:7" ht="15" customHeight="1" x14ac:dyDescent="0.3"/>
    <row r="35" spans="1:7" ht="15" customHeight="1" x14ac:dyDescent="0.3">
      <c r="A35" s="73" t="s">
        <v>123</v>
      </c>
      <c r="B35" s="73"/>
      <c r="C35" s="73"/>
      <c r="D35" s="73"/>
      <c r="E35" s="73"/>
      <c r="F35" s="73"/>
      <c r="G35" s="73"/>
    </row>
    <row r="36" spans="1:7" ht="27.75" customHeight="1" x14ac:dyDescent="0.3">
      <c r="A36" s="22" t="s">
        <v>124</v>
      </c>
      <c r="B36" s="74"/>
      <c r="C36" s="74"/>
      <c r="D36" s="74"/>
      <c r="E36" s="74"/>
      <c r="F36" s="74"/>
      <c r="G36" s="74"/>
    </row>
    <row r="37" spans="1:7" ht="27.75" customHeight="1" x14ac:dyDescent="0.3">
      <c r="A37" s="21" t="s">
        <v>125</v>
      </c>
      <c r="B37" s="1"/>
      <c r="C37" s="1"/>
      <c r="D37" s="1"/>
      <c r="E37" s="1"/>
      <c r="F37" s="1"/>
      <c r="G37" s="1"/>
    </row>
    <row r="38" spans="1:7" ht="27.75" customHeight="1" x14ac:dyDescent="0.3">
      <c r="A38" s="22" t="s">
        <v>126</v>
      </c>
      <c r="B38" s="74"/>
      <c r="C38" s="74"/>
      <c r="D38" s="74"/>
      <c r="E38" s="74"/>
      <c r="F38" s="74"/>
      <c r="G38" s="74"/>
    </row>
  </sheetData>
  <mergeCells count="36">
    <mergeCell ref="B33:G33"/>
    <mergeCell ref="A35:G35"/>
    <mergeCell ref="B36:G36"/>
    <mergeCell ref="B37:G37"/>
    <mergeCell ref="B38:G38"/>
    <mergeCell ref="B27:G27"/>
    <mergeCell ref="A29:G29"/>
    <mergeCell ref="B30:G30"/>
    <mergeCell ref="B31:G31"/>
    <mergeCell ref="B32:G32"/>
    <mergeCell ref="A22:G22"/>
    <mergeCell ref="B23:G23"/>
    <mergeCell ref="B24:G24"/>
    <mergeCell ref="B25:G25"/>
    <mergeCell ref="B26:G26"/>
    <mergeCell ref="A16:G16"/>
    <mergeCell ref="A17:G17"/>
    <mergeCell ref="A18:B18"/>
    <mergeCell ref="C18:G18"/>
    <mergeCell ref="A19:G19"/>
    <mergeCell ref="A11:G11"/>
    <mergeCell ref="A12:G12"/>
    <mergeCell ref="A13:G13"/>
    <mergeCell ref="A14:G14"/>
    <mergeCell ref="A15:B15"/>
    <mergeCell ref="C15:G15"/>
    <mergeCell ref="A7:G7"/>
    <mergeCell ref="A8:G8"/>
    <mergeCell ref="A9:B9"/>
    <mergeCell ref="C9:G9"/>
    <mergeCell ref="A10:G10"/>
    <mergeCell ref="A1:G1"/>
    <mergeCell ref="A2:G2"/>
    <mergeCell ref="A4:G4"/>
    <mergeCell ref="A5:G5"/>
    <mergeCell ref="A6:G6"/>
  </mergeCells>
  <pageMargins left="0.5" right="0.5" top="0.75" bottom="0.75" header="0.5" footer="0.5"/>
  <pageSetup orientation="landscape" horizontalDpi="300" verticalDpi="300"/>
  <headerFooter>
    <oddHeader>&amp;CKLS — Kvalitetspolitik</oddHeader>
    <oddFooter>&amp;CKLS Kvalitetsledelsessystem  ·  Side &amp;P af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5F8E"/>
    <pageSetUpPr fitToPage="1"/>
  </sheetPr>
  <dimension ref="A1:I43"/>
  <sheetViews>
    <sheetView zoomScaleNormal="100" workbookViewId="0">
      <pane ySplit="19" topLeftCell="A62" activePane="bottomLeft" state="frozen"/>
      <selection pane="bottomLeft" activeCell="C9" sqref="C9:I9"/>
    </sheetView>
  </sheetViews>
  <sheetFormatPr defaultColWidth="8.6640625" defaultRowHeight="14.4" x14ac:dyDescent="0.3"/>
  <cols>
    <col min="1" max="1" width="22" customWidth="1"/>
    <col min="2" max="2" width="20" customWidth="1"/>
    <col min="3" max="4" width="22" customWidth="1"/>
    <col min="5" max="5" width="14" customWidth="1"/>
    <col min="6" max="6" width="17" customWidth="1"/>
    <col min="7" max="7" width="28" customWidth="1"/>
    <col min="8" max="8" width="18" customWidth="1"/>
    <col min="9" max="9" width="20" customWidth="1"/>
  </cols>
  <sheetData>
    <row r="1" spans="1:9" ht="42" customHeight="1" x14ac:dyDescent="0.3">
      <c r="A1" s="75" t="s">
        <v>127</v>
      </c>
      <c r="B1" s="75"/>
      <c r="C1" s="75"/>
      <c r="D1" s="75"/>
      <c r="E1" s="75"/>
      <c r="F1" s="75"/>
      <c r="G1" s="75"/>
      <c r="H1" s="75"/>
      <c r="I1" s="75"/>
    </row>
    <row r="2" spans="1:9" ht="15" customHeight="1" x14ac:dyDescent="0.3"/>
    <row r="3" spans="1:9" ht="21.75" customHeight="1" x14ac:dyDescent="0.3">
      <c r="A3" s="12" t="s">
        <v>128</v>
      </c>
      <c r="B3" s="12"/>
      <c r="C3" s="12"/>
      <c r="D3" s="12"/>
      <c r="E3" s="12"/>
      <c r="F3" s="12"/>
      <c r="G3" s="12"/>
      <c r="H3" s="12"/>
      <c r="I3" s="12"/>
    </row>
    <row r="4" spans="1:9" ht="19.5" customHeight="1" x14ac:dyDescent="0.3">
      <c r="A4" s="11" t="s">
        <v>3</v>
      </c>
      <c r="B4" s="11"/>
      <c r="C4" s="11"/>
      <c r="D4" s="11"/>
      <c r="E4" s="11"/>
      <c r="F4" s="11"/>
      <c r="G4" s="11"/>
      <c r="H4" s="11"/>
      <c r="I4" s="11"/>
    </row>
    <row r="5" spans="1:9" ht="36" customHeight="1" x14ac:dyDescent="0.3">
      <c r="A5" s="10" t="s">
        <v>129</v>
      </c>
      <c r="B5" s="10"/>
      <c r="C5" s="10"/>
      <c r="D5" s="10"/>
      <c r="E5" s="10"/>
      <c r="F5" s="10"/>
      <c r="G5" s="10"/>
      <c r="H5" s="10"/>
      <c r="I5" s="10"/>
    </row>
    <row r="6" spans="1:9" ht="4.5" customHeight="1" x14ac:dyDescent="0.3">
      <c r="A6" s="9"/>
      <c r="B6" s="9"/>
      <c r="C6" s="9"/>
      <c r="D6" s="9"/>
      <c r="E6" s="9"/>
      <c r="F6" s="9"/>
      <c r="G6" s="9"/>
      <c r="H6" s="9"/>
      <c r="I6" s="9"/>
    </row>
    <row r="7" spans="1:9" ht="19.5" customHeight="1" x14ac:dyDescent="0.3">
      <c r="A7" s="8" t="s">
        <v>130</v>
      </c>
      <c r="B7" s="8"/>
      <c r="C7" s="8"/>
      <c r="D7" s="8"/>
      <c r="E7" s="8"/>
      <c r="F7" s="8"/>
      <c r="G7" s="8"/>
      <c r="H7" s="8"/>
      <c r="I7" s="8"/>
    </row>
    <row r="8" spans="1:9" ht="36" customHeight="1" x14ac:dyDescent="0.3">
      <c r="A8" s="7" t="s">
        <v>131</v>
      </c>
      <c r="B8" s="7"/>
      <c r="C8" s="6" t="s">
        <v>132</v>
      </c>
      <c r="D8" s="6"/>
      <c r="E8" s="6"/>
      <c r="F8" s="6"/>
      <c r="G8" s="6"/>
      <c r="H8" s="6"/>
      <c r="I8" s="6"/>
    </row>
    <row r="9" spans="1:9" ht="36" customHeight="1" x14ac:dyDescent="0.3">
      <c r="A9" s="7" t="s">
        <v>133</v>
      </c>
      <c r="B9" s="7"/>
      <c r="C9" s="6" t="s">
        <v>134</v>
      </c>
      <c r="D9" s="6"/>
      <c r="E9" s="6"/>
      <c r="F9" s="6"/>
      <c r="G9" s="6"/>
      <c r="H9" s="6"/>
      <c r="I9" s="6"/>
    </row>
    <row r="10" spans="1:9" ht="15" customHeight="1" x14ac:dyDescent="0.3">
      <c r="A10" s="70" t="s">
        <v>93</v>
      </c>
      <c r="B10" s="70"/>
      <c r="C10" s="70"/>
      <c r="D10" s="70"/>
      <c r="E10" s="70"/>
      <c r="F10" s="70"/>
      <c r="G10" s="70"/>
      <c r="H10" s="70"/>
      <c r="I10" s="70"/>
    </row>
    <row r="11" spans="1:9" ht="19.5" customHeight="1" x14ac:dyDescent="0.3">
      <c r="A11" s="71" t="s">
        <v>135</v>
      </c>
      <c r="B11" s="71"/>
      <c r="C11" s="71"/>
      <c r="D11" s="71"/>
      <c r="E11" s="71"/>
      <c r="F11" s="71"/>
      <c r="G11" s="71"/>
      <c r="H11" s="71"/>
      <c r="I11" s="71"/>
    </row>
    <row r="12" spans="1:9" ht="19.5" customHeight="1" x14ac:dyDescent="0.3">
      <c r="A12" s="72" t="s">
        <v>136</v>
      </c>
      <c r="B12" s="72"/>
      <c r="C12" s="72"/>
      <c r="D12" s="72"/>
      <c r="E12" s="72"/>
      <c r="F12" s="72"/>
      <c r="G12" s="72"/>
      <c r="H12" s="72"/>
      <c r="I12" s="72"/>
    </row>
    <row r="13" spans="1:9" ht="4.5" customHeight="1" x14ac:dyDescent="0.3">
      <c r="A13" s="9"/>
      <c r="B13" s="9"/>
      <c r="C13" s="9"/>
      <c r="D13" s="9"/>
      <c r="E13" s="9"/>
      <c r="F13" s="9"/>
      <c r="G13" s="9"/>
      <c r="H13" s="9"/>
      <c r="I13" s="9"/>
    </row>
    <row r="14" spans="1:9" ht="19.5" customHeight="1" x14ac:dyDescent="0.3">
      <c r="A14" s="8" t="s">
        <v>137</v>
      </c>
      <c r="B14" s="8"/>
      <c r="C14" s="8"/>
      <c r="D14" s="8"/>
      <c r="E14" s="8"/>
      <c r="F14" s="8"/>
      <c r="G14" s="8"/>
      <c r="H14" s="8"/>
      <c r="I14" s="8"/>
    </row>
    <row r="15" spans="1:9" ht="36" customHeight="1" x14ac:dyDescent="0.3">
      <c r="A15" s="7" t="s">
        <v>138</v>
      </c>
      <c r="B15" s="7"/>
      <c r="C15" s="6" t="s">
        <v>139</v>
      </c>
      <c r="D15" s="6"/>
      <c r="E15" s="6"/>
      <c r="F15" s="6"/>
      <c r="G15" s="6"/>
      <c r="H15" s="6"/>
      <c r="I15" s="6"/>
    </row>
    <row r="16" spans="1:9" ht="27.75" customHeight="1" x14ac:dyDescent="0.3">
      <c r="A16" s="3" t="s">
        <v>140</v>
      </c>
      <c r="B16" s="3"/>
      <c r="C16" s="3"/>
      <c r="D16" s="3"/>
      <c r="E16" s="3"/>
      <c r="F16" s="3"/>
      <c r="G16" s="3"/>
      <c r="H16" s="3"/>
      <c r="I16" s="3"/>
    </row>
    <row r="17" spans="1:9" ht="15" customHeight="1" x14ac:dyDescent="0.3"/>
    <row r="18" spans="1:9" ht="15" customHeight="1" x14ac:dyDescent="0.3"/>
    <row r="19" spans="1:9" ht="27.75" customHeight="1" x14ac:dyDescent="0.3">
      <c r="A19" s="23" t="s">
        <v>141</v>
      </c>
      <c r="B19" s="23" t="s">
        <v>142</v>
      </c>
      <c r="C19" s="23" t="s">
        <v>143</v>
      </c>
      <c r="D19" s="23" t="s">
        <v>144</v>
      </c>
      <c r="E19" s="23" t="s">
        <v>145</v>
      </c>
      <c r="F19" s="23" t="s">
        <v>146</v>
      </c>
      <c r="G19" s="23" t="s">
        <v>147</v>
      </c>
      <c r="H19" s="23" t="s">
        <v>148</v>
      </c>
      <c r="I19" s="23" t="s">
        <v>149</v>
      </c>
    </row>
    <row r="20" spans="1:9" ht="19.5" customHeight="1" x14ac:dyDescent="0.3">
      <c r="A20" s="24"/>
      <c r="B20" s="24"/>
      <c r="C20" s="24"/>
      <c r="D20" s="24"/>
      <c r="E20" s="24"/>
      <c r="F20" s="24"/>
      <c r="G20" s="24"/>
      <c r="H20" s="24"/>
      <c r="I20" s="24"/>
    </row>
    <row r="21" spans="1:9" ht="19.5" customHeight="1" x14ac:dyDescent="0.3">
      <c r="A21" s="25"/>
      <c r="B21" s="25"/>
      <c r="C21" s="25"/>
      <c r="D21" s="25"/>
      <c r="E21" s="25"/>
      <c r="F21" s="25"/>
      <c r="G21" s="25"/>
      <c r="H21" s="25"/>
      <c r="I21" s="25"/>
    </row>
    <row r="22" spans="1:9" ht="19.5" customHeight="1" x14ac:dyDescent="0.3">
      <c r="A22" s="24"/>
      <c r="B22" s="24"/>
      <c r="C22" s="24"/>
      <c r="D22" s="24"/>
      <c r="E22" s="24"/>
      <c r="F22" s="24"/>
      <c r="G22" s="24"/>
      <c r="H22" s="24"/>
      <c r="I22" s="24"/>
    </row>
    <row r="23" spans="1:9" ht="19.5" customHeight="1" x14ac:dyDescent="0.3">
      <c r="A23" s="25"/>
      <c r="B23" s="25"/>
      <c r="C23" s="25"/>
      <c r="D23" s="25"/>
      <c r="E23" s="25"/>
      <c r="F23" s="25"/>
      <c r="G23" s="25"/>
      <c r="H23" s="25"/>
      <c r="I23" s="25"/>
    </row>
    <row r="24" spans="1:9" ht="19.5" customHeight="1" x14ac:dyDescent="0.3">
      <c r="A24" s="24"/>
      <c r="B24" s="24"/>
      <c r="C24" s="24"/>
      <c r="D24" s="24"/>
      <c r="E24" s="24"/>
      <c r="F24" s="24"/>
      <c r="G24" s="24"/>
      <c r="H24" s="24"/>
      <c r="I24" s="24"/>
    </row>
    <row r="25" spans="1:9" ht="19.5" customHeight="1" x14ac:dyDescent="0.3">
      <c r="A25" s="25"/>
      <c r="B25" s="25"/>
      <c r="C25" s="25"/>
      <c r="D25" s="25"/>
      <c r="E25" s="25"/>
      <c r="F25" s="25"/>
      <c r="G25" s="25"/>
      <c r="H25" s="25"/>
      <c r="I25" s="25"/>
    </row>
    <row r="26" spans="1:9" ht="19.5" customHeight="1" x14ac:dyDescent="0.3">
      <c r="A26" s="24"/>
      <c r="B26" s="24"/>
      <c r="C26" s="24"/>
      <c r="D26" s="24"/>
      <c r="E26" s="24"/>
      <c r="F26" s="24"/>
      <c r="G26" s="24"/>
      <c r="H26" s="24"/>
      <c r="I26" s="24"/>
    </row>
    <row r="27" spans="1:9" ht="19.5" customHeight="1" x14ac:dyDescent="0.3">
      <c r="A27" s="25"/>
      <c r="B27" s="25"/>
      <c r="C27" s="25"/>
      <c r="D27" s="25"/>
      <c r="E27" s="25"/>
      <c r="F27" s="25"/>
      <c r="G27" s="25"/>
      <c r="H27" s="25"/>
      <c r="I27" s="25"/>
    </row>
    <row r="28" spans="1:9" ht="19.5" customHeight="1" x14ac:dyDescent="0.3">
      <c r="A28" s="24"/>
      <c r="B28" s="24"/>
      <c r="C28" s="24"/>
      <c r="D28" s="24"/>
      <c r="E28" s="24"/>
      <c r="F28" s="24"/>
      <c r="G28" s="24"/>
      <c r="H28" s="24"/>
      <c r="I28" s="24"/>
    </row>
    <row r="29" spans="1:9" ht="19.5" customHeight="1" x14ac:dyDescent="0.3">
      <c r="A29" s="25"/>
      <c r="B29" s="25"/>
      <c r="C29" s="25"/>
      <c r="D29" s="25"/>
      <c r="E29" s="25"/>
      <c r="F29" s="25"/>
      <c r="G29" s="25"/>
      <c r="H29" s="25"/>
      <c r="I29" s="25"/>
    </row>
    <row r="30" spans="1:9" ht="19.5" customHeight="1" x14ac:dyDescent="0.3">
      <c r="A30" s="24"/>
      <c r="B30" s="24"/>
      <c r="C30" s="24"/>
      <c r="D30" s="24"/>
      <c r="E30" s="24"/>
      <c r="F30" s="24"/>
      <c r="G30" s="24"/>
      <c r="H30" s="24"/>
      <c r="I30" s="24"/>
    </row>
    <row r="31" spans="1:9" ht="19.5" customHeight="1" x14ac:dyDescent="0.3">
      <c r="A31" s="25"/>
      <c r="B31" s="25"/>
      <c r="C31" s="25"/>
      <c r="D31" s="25"/>
      <c r="E31" s="25"/>
      <c r="F31" s="25"/>
      <c r="G31" s="25"/>
      <c r="H31" s="25"/>
      <c r="I31" s="25"/>
    </row>
    <row r="32" spans="1:9" ht="19.5" customHeight="1" x14ac:dyDescent="0.3">
      <c r="A32" s="24"/>
      <c r="B32" s="24"/>
      <c r="C32" s="24"/>
      <c r="D32" s="24"/>
      <c r="E32" s="24"/>
      <c r="F32" s="24"/>
      <c r="G32" s="24"/>
      <c r="H32" s="24"/>
      <c r="I32" s="24"/>
    </row>
    <row r="33" spans="1:9" ht="19.5" customHeight="1" x14ac:dyDescent="0.3">
      <c r="A33" s="25"/>
      <c r="B33" s="25"/>
      <c r="C33" s="25"/>
      <c r="D33" s="25"/>
      <c r="E33" s="25"/>
      <c r="F33" s="25"/>
      <c r="G33" s="25"/>
      <c r="H33" s="25"/>
      <c r="I33" s="25"/>
    </row>
    <row r="34" spans="1:9" ht="19.5" customHeight="1" x14ac:dyDescent="0.3">
      <c r="A34" s="24"/>
      <c r="B34" s="24"/>
      <c r="C34" s="24"/>
      <c r="D34" s="24"/>
      <c r="E34" s="24"/>
      <c r="F34" s="24"/>
      <c r="G34" s="24"/>
      <c r="H34" s="24"/>
      <c r="I34" s="24"/>
    </row>
    <row r="35" spans="1:9" ht="19.5" customHeight="1" x14ac:dyDescent="0.3">
      <c r="A35" s="25"/>
      <c r="B35" s="25"/>
      <c r="C35" s="25"/>
      <c r="D35" s="25"/>
      <c r="E35" s="25"/>
      <c r="F35" s="25"/>
      <c r="G35" s="25"/>
      <c r="H35" s="25"/>
      <c r="I35" s="25"/>
    </row>
    <row r="36" spans="1:9" ht="15" customHeight="1" x14ac:dyDescent="0.3"/>
    <row r="37" spans="1:9" ht="19.5" customHeight="1" x14ac:dyDescent="0.3">
      <c r="A37" s="2" t="s">
        <v>150</v>
      </c>
      <c r="B37" s="2"/>
      <c r="C37" s="2"/>
      <c r="D37" s="2"/>
      <c r="E37" s="2"/>
      <c r="F37" s="2"/>
      <c r="G37" s="2"/>
      <c r="H37" s="2"/>
      <c r="I37" s="2"/>
    </row>
    <row r="38" spans="1:9" ht="27.75" customHeight="1" x14ac:dyDescent="0.3">
      <c r="A38" s="26" t="s">
        <v>151</v>
      </c>
      <c r="B38" s="26" t="s">
        <v>152</v>
      </c>
      <c r="C38" s="26" t="s">
        <v>153</v>
      </c>
      <c r="D38" s="26" t="s">
        <v>154</v>
      </c>
      <c r="E38" s="26" t="s">
        <v>155</v>
      </c>
      <c r="F38" s="26" t="s">
        <v>156</v>
      </c>
      <c r="G38" s="26"/>
      <c r="H38" s="26"/>
      <c r="I38" s="26"/>
    </row>
    <row r="39" spans="1:9" ht="19.5" customHeight="1" x14ac:dyDescent="0.3">
      <c r="A39" s="24"/>
      <c r="B39" s="24"/>
      <c r="C39" s="24"/>
      <c r="D39" s="24"/>
      <c r="E39" s="24"/>
      <c r="F39" s="24"/>
    </row>
    <row r="40" spans="1:9" ht="19.5" customHeight="1" x14ac:dyDescent="0.3">
      <c r="A40" s="27"/>
      <c r="B40" s="27"/>
      <c r="C40" s="27"/>
      <c r="D40" s="27"/>
      <c r="E40" s="27"/>
      <c r="F40" s="27"/>
    </row>
    <row r="41" spans="1:9" ht="19.5" customHeight="1" x14ac:dyDescent="0.3">
      <c r="A41" s="24"/>
      <c r="B41" s="24"/>
      <c r="C41" s="24"/>
      <c r="D41" s="24"/>
      <c r="E41" s="24"/>
      <c r="F41" s="24"/>
    </row>
    <row r="42" spans="1:9" ht="19.5" customHeight="1" x14ac:dyDescent="0.3">
      <c r="A42" s="27"/>
      <c r="B42" s="27"/>
      <c r="C42" s="27"/>
      <c r="D42" s="27"/>
      <c r="E42" s="27"/>
      <c r="F42" s="27"/>
    </row>
    <row r="43" spans="1:9" ht="19.5" customHeight="1" x14ac:dyDescent="0.3">
      <c r="A43" s="24"/>
      <c r="B43" s="24"/>
      <c r="C43" s="24"/>
      <c r="D43" s="24"/>
      <c r="E43" s="24"/>
      <c r="F43" s="24"/>
    </row>
  </sheetData>
  <mergeCells count="19">
    <mergeCell ref="A15:B15"/>
    <mergeCell ref="C15:I15"/>
    <mergeCell ref="A16:I16"/>
    <mergeCell ref="A37:I37"/>
    <mergeCell ref="A10:I10"/>
    <mergeCell ref="A11:I11"/>
    <mergeCell ref="A12:I12"/>
    <mergeCell ref="A13:I13"/>
    <mergeCell ref="A14:I14"/>
    <mergeCell ref="A7:I7"/>
    <mergeCell ref="A8:B8"/>
    <mergeCell ref="C8:I8"/>
    <mergeCell ref="A9:B9"/>
    <mergeCell ref="C9:I9"/>
    <mergeCell ref="A1:I1"/>
    <mergeCell ref="A3:I3"/>
    <mergeCell ref="A4:I4"/>
    <mergeCell ref="A5:I5"/>
    <mergeCell ref="A6:I6"/>
  </mergeCells>
  <dataValidations count="2">
    <dataValidation type="list" allowBlank="1" showErrorMessage="1" errorTitle="Ugyldig" error="Vælg fra listen." sqref="E20:E35" xr:uid="{00000000-0002-0000-0200-000000000000}">
      <formula1>"Ja,Nej,Under uddannelse"</formula1>
      <formula2>0</formula2>
    </dataValidation>
    <dataValidation type="list" allowBlank="1" showErrorMessage="1" errorTitle="Ugyldig" error="Vælg fra listen." sqref="F39:F43" xr:uid="{00000000-0002-0000-0200-000010000000}">
      <formula1>"Aktiv,Udløbet,Fornyes"</formula1>
      <formula2>0</formula2>
    </dataValidation>
  </dataValidations>
  <pageMargins left="0.5" right="0.5" top="0.75" bottom="0.75" header="0.5" footer="0.5"/>
  <pageSetup orientation="landscape" horizontalDpi="300" verticalDpi="300"/>
  <headerFooter>
    <oddHeader>&amp;CKLS — Organisation</oddHeader>
    <oddFooter>&amp;CKLS Kvalitetsledelsessystem  ·  Side &amp;P af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5F8E"/>
    <pageSetUpPr fitToPage="1"/>
  </sheetPr>
  <dimension ref="A1:H31"/>
  <sheetViews>
    <sheetView zoomScaleNormal="100" workbookViewId="0">
      <pane ySplit="17" topLeftCell="A18" activePane="bottomLeft" state="frozen"/>
      <selection pane="bottomLeft" sqref="A1:H1"/>
    </sheetView>
  </sheetViews>
  <sheetFormatPr defaultColWidth="8.6640625" defaultRowHeight="14.4" x14ac:dyDescent="0.3"/>
  <cols>
    <col min="1" max="1" width="8" customWidth="1"/>
    <col min="2" max="2" width="42" customWidth="1"/>
    <col min="3" max="4" width="22" customWidth="1"/>
    <col min="5" max="5" width="15" customWidth="1"/>
    <col min="6" max="6" width="8" customWidth="1"/>
    <col min="7" max="7" width="16" customWidth="1"/>
    <col min="8" max="8" width="30" customWidth="1"/>
  </cols>
  <sheetData>
    <row r="1" spans="1:8" ht="42" customHeight="1" x14ac:dyDescent="0.3">
      <c r="A1" s="75" t="s">
        <v>157</v>
      </c>
      <c r="B1" s="75"/>
      <c r="C1" s="75"/>
      <c r="D1" s="75"/>
      <c r="E1" s="75"/>
      <c r="F1" s="75"/>
      <c r="G1" s="75"/>
      <c r="H1" s="75"/>
    </row>
    <row r="2" spans="1:8" ht="15" customHeight="1" x14ac:dyDescent="0.3"/>
    <row r="3" spans="1:8" ht="21.75" customHeight="1" x14ac:dyDescent="0.3">
      <c r="A3" s="12" t="s">
        <v>158</v>
      </c>
      <c r="B3" s="12"/>
      <c r="C3" s="12"/>
      <c r="D3" s="12"/>
      <c r="E3" s="12"/>
      <c r="F3" s="12"/>
      <c r="G3" s="12"/>
      <c r="H3" s="12"/>
    </row>
    <row r="4" spans="1:8" ht="19.5" customHeight="1" x14ac:dyDescent="0.3">
      <c r="A4" s="11" t="s">
        <v>3</v>
      </c>
      <c r="B4" s="11"/>
      <c r="C4" s="11"/>
      <c r="D4" s="11"/>
      <c r="E4" s="11"/>
      <c r="F4" s="11"/>
      <c r="G4" s="11"/>
      <c r="H4" s="11"/>
    </row>
    <row r="5" spans="1:8" ht="36" customHeight="1" x14ac:dyDescent="0.3">
      <c r="A5" s="10" t="s">
        <v>159</v>
      </c>
      <c r="B5" s="10"/>
      <c r="C5" s="10"/>
      <c r="D5" s="10"/>
      <c r="E5" s="10"/>
      <c r="F5" s="10"/>
      <c r="G5" s="10"/>
      <c r="H5" s="10"/>
    </row>
    <row r="6" spans="1:8" ht="4.5" customHeight="1" x14ac:dyDescent="0.3">
      <c r="A6" s="9"/>
      <c r="B6" s="9"/>
      <c r="C6" s="9"/>
      <c r="D6" s="9"/>
      <c r="E6" s="9"/>
      <c r="F6" s="9"/>
      <c r="G6" s="9"/>
      <c r="H6" s="9"/>
    </row>
    <row r="7" spans="1:8" ht="19.5" customHeight="1" x14ac:dyDescent="0.3">
      <c r="A7" s="8" t="s">
        <v>160</v>
      </c>
      <c r="B7" s="8"/>
      <c r="C7" s="8"/>
      <c r="D7" s="8"/>
      <c r="E7" s="8"/>
      <c r="F7" s="8"/>
      <c r="G7" s="8"/>
      <c r="H7" s="8"/>
    </row>
    <row r="8" spans="1:8" ht="36" customHeight="1" x14ac:dyDescent="0.3">
      <c r="A8" s="7" t="s">
        <v>161</v>
      </c>
      <c r="B8" s="7"/>
      <c r="C8" s="6" t="s">
        <v>162</v>
      </c>
      <c r="D8" s="6"/>
      <c r="E8" s="6"/>
      <c r="F8" s="6"/>
      <c r="G8" s="6"/>
      <c r="H8" s="6"/>
    </row>
    <row r="9" spans="1:8" ht="36" customHeight="1" x14ac:dyDescent="0.3">
      <c r="A9" s="7" t="s">
        <v>163</v>
      </c>
      <c r="B9" s="7"/>
      <c r="C9" s="6" t="s">
        <v>164</v>
      </c>
      <c r="D9" s="6"/>
      <c r="E9" s="6"/>
      <c r="F9" s="6"/>
      <c r="G9" s="6"/>
      <c r="H9" s="6"/>
    </row>
    <row r="10" spans="1:8" ht="36" customHeight="1" x14ac:dyDescent="0.3">
      <c r="A10" s="7" t="s">
        <v>165</v>
      </c>
      <c r="B10" s="7"/>
      <c r="C10" s="6" t="s">
        <v>166</v>
      </c>
      <c r="D10" s="6"/>
      <c r="E10" s="6"/>
      <c r="F10" s="6"/>
      <c r="G10" s="6"/>
      <c r="H10" s="6"/>
    </row>
    <row r="11" spans="1:8" ht="36" customHeight="1" x14ac:dyDescent="0.3">
      <c r="A11" s="7" t="s">
        <v>167</v>
      </c>
      <c r="B11" s="7"/>
      <c r="C11" s="6" t="s">
        <v>168</v>
      </c>
      <c r="D11" s="6"/>
      <c r="E11" s="6"/>
      <c r="F11" s="6"/>
      <c r="G11" s="6"/>
      <c r="H11" s="6"/>
    </row>
    <row r="12" spans="1:8" ht="36" customHeight="1" x14ac:dyDescent="0.3">
      <c r="A12" s="76" t="s">
        <v>169</v>
      </c>
      <c r="B12" s="76"/>
      <c r="C12" s="77" t="s">
        <v>170</v>
      </c>
      <c r="D12" s="77"/>
      <c r="E12" s="77"/>
      <c r="F12" s="77"/>
      <c r="G12" s="77"/>
      <c r="H12" s="77"/>
    </row>
    <row r="13" spans="1:8" ht="4.5" customHeight="1" x14ac:dyDescent="0.3">
      <c r="A13" s="9"/>
      <c r="B13" s="9"/>
      <c r="C13" s="9"/>
      <c r="D13" s="9"/>
      <c r="E13" s="9"/>
      <c r="F13" s="9"/>
      <c r="G13" s="9"/>
      <c r="H13" s="9"/>
    </row>
    <row r="14" spans="1:8" ht="27.75" customHeight="1" x14ac:dyDescent="0.3">
      <c r="A14" s="3" t="s">
        <v>171</v>
      </c>
      <c r="B14" s="3"/>
      <c r="C14" s="3"/>
      <c r="D14" s="3"/>
      <c r="E14" s="3"/>
      <c r="F14" s="3"/>
      <c r="G14" s="3"/>
      <c r="H14" s="3"/>
    </row>
    <row r="15" spans="1:8" ht="15" customHeight="1" x14ac:dyDescent="0.3"/>
    <row r="16" spans="1:8" ht="15" customHeight="1" x14ac:dyDescent="0.3"/>
    <row r="17" spans="1:8" ht="27.75" customHeight="1" x14ac:dyDescent="0.3">
      <c r="A17" s="23" t="s">
        <v>172</v>
      </c>
      <c r="B17" s="23" t="s">
        <v>173</v>
      </c>
      <c r="C17" s="23" t="s">
        <v>174</v>
      </c>
      <c r="D17" s="23" t="s">
        <v>175</v>
      </c>
      <c r="E17" s="23" t="s">
        <v>176</v>
      </c>
      <c r="F17" s="23" t="s">
        <v>177</v>
      </c>
      <c r="G17" s="23" t="s">
        <v>156</v>
      </c>
      <c r="H17" s="23" t="s">
        <v>178</v>
      </c>
    </row>
    <row r="18" spans="1:8" ht="19.5" customHeight="1" x14ac:dyDescent="0.3">
      <c r="A18" s="28" t="s">
        <v>179</v>
      </c>
      <c r="B18" s="27" t="s">
        <v>180</v>
      </c>
      <c r="C18" s="27" t="s">
        <v>181</v>
      </c>
      <c r="D18" s="27" t="s">
        <v>151</v>
      </c>
      <c r="E18" s="27"/>
      <c r="F18" s="29" t="s">
        <v>33</v>
      </c>
      <c r="G18" s="29" t="s">
        <v>182</v>
      </c>
      <c r="H18" s="27"/>
    </row>
    <row r="19" spans="1:8" ht="19.5" customHeight="1" x14ac:dyDescent="0.3">
      <c r="A19" s="30" t="s">
        <v>183</v>
      </c>
      <c r="B19" s="24" t="s">
        <v>184</v>
      </c>
      <c r="C19" s="24" t="s">
        <v>181</v>
      </c>
      <c r="D19" s="24" t="s">
        <v>151</v>
      </c>
      <c r="E19" s="24"/>
      <c r="F19" s="31" t="s">
        <v>33</v>
      </c>
      <c r="G19" s="31" t="s">
        <v>182</v>
      </c>
      <c r="H19" s="24"/>
    </row>
    <row r="20" spans="1:8" ht="19.5" customHeight="1" x14ac:dyDescent="0.3">
      <c r="A20" s="28" t="s">
        <v>185</v>
      </c>
      <c r="B20" s="27" t="s">
        <v>186</v>
      </c>
      <c r="C20" s="27" t="s">
        <v>181</v>
      </c>
      <c r="D20" s="27" t="s">
        <v>187</v>
      </c>
      <c r="E20" s="27"/>
      <c r="F20" s="29" t="s">
        <v>33</v>
      </c>
      <c r="G20" s="29" t="s">
        <v>182</v>
      </c>
      <c r="H20" s="27"/>
    </row>
    <row r="21" spans="1:8" ht="19.5" customHeight="1" x14ac:dyDescent="0.3">
      <c r="A21" s="30" t="s">
        <v>188</v>
      </c>
      <c r="B21" s="24" t="s">
        <v>189</v>
      </c>
      <c r="C21" s="24" t="s">
        <v>190</v>
      </c>
      <c r="D21" s="24" t="s">
        <v>55</v>
      </c>
      <c r="E21" s="24"/>
      <c r="F21" s="31" t="s">
        <v>33</v>
      </c>
      <c r="G21" s="31" t="s">
        <v>182</v>
      </c>
      <c r="H21" s="24"/>
    </row>
    <row r="22" spans="1:8" ht="19.5" customHeight="1" x14ac:dyDescent="0.3">
      <c r="A22" s="28" t="s">
        <v>191</v>
      </c>
      <c r="B22" s="27" t="s">
        <v>192</v>
      </c>
      <c r="C22" s="27" t="s">
        <v>193</v>
      </c>
      <c r="D22" s="27" t="s">
        <v>59</v>
      </c>
      <c r="E22" s="27"/>
      <c r="F22" s="29" t="s">
        <v>33</v>
      </c>
      <c r="G22" s="29" t="s">
        <v>182</v>
      </c>
      <c r="H22" s="27"/>
    </row>
    <row r="23" spans="1:8" ht="19.5" customHeight="1" x14ac:dyDescent="0.3">
      <c r="A23" s="30" t="s">
        <v>194</v>
      </c>
      <c r="B23" s="24" t="s">
        <v>195</v>
      </c>
      <c r="C23" s="24" t="s">
        <v>196</v>
      </c>
      <c r="D23" s="24" t="s">
        <v>63</v>
      </c>
      <c r="E23" s="24"/>
      <c r="F23" s="31" t="s">
        <v>33</v>
      </c>
      <c r="G23" s="31" t="s">
        <v>182</v>
      </c>
      <c r="H23" s="24"/>
    </row>
    <row r="24" spans="1:8" ht="19.5" customHeight="1" x14ac:dyDescent="0.3">
      <c r="A24" s="28" t="s">
        <v>197</v>
      </c>
      <c r="B24" s="27" t="s">
        <v>198</v>
      </c>
      <c r="C24" s="27" t="s">
        <v>199</v>
      </c>
      <c r="D24" s="27" t="s">
        <v>151</v>
      </c>
      <c r="E24" s="27"/>
      <c r="F24" s="29" t="s">
        <v>33</v>
      </c>
      <c r="G24" s="29" t="s">
        <v>182</v>
      </c>
      <c r="H24" s="27"/>
    </row>
    <row r="25" spans="1:8" ht="19.5" customHeight="1" x14ac:dyDescent="0.3">
      <c r="A25" s="30" t="s">
        <v>200</v>
      </c>
      <c r="B25" s="24" t="s">
        <v>201</v>
      </c>
      <c r="C25" s="24" t="s">
        <v>199</v>
      </c>
      <c r="D25" s="24" t="s">
        <v>44</v>
      </c>
      <c r="E25" s="24"/>
      <c r="F25" s="31" t="s">
        <v>33</v>
      </c>
      <c r="G25" s="31" t="s">
        <v>182</v>
      </c>
      <c r="H25" s="24"/>
    </row>
    <row r="26" spans="1:8" ht="19.5" customHeight="1" x14ac:dyDescent="0.3">
      <c r="A26" s="28" t="s">
        <v>202</v>
      </c>
      <c r="B26" s="27" t="s">
        <v>203</v>
      </c>
      <c r="C26" s="27" t="s">
        <v>199</v>
      </c>
      <c r="D26" s="27" t="s">
        <v>44</v>
      </c>
      <c r="E26" s="27"/>
      <c r="F26" s="29" t="s">
        <v>33</v>
      </c>
      <c r="G26" s="29" t="s">
        <v>182</v>
      </c>
      <c r="H26" s="27"/>
    </row>
    <row r="27" spans="1:8" ht="19.5" customHeight="1" x14ac:dyDescent="0.3">
      <c r="A27" s="30" t="s">
        <v>204</v>
      </c>
      <c r="B27" s="24" t="s">
        <v>205</v>
      </c>
      <c r="C27" s="24" t="s">
        <v>190</v>
      </c>
      <c r="D27" s="24" t="s">
        <v>55</v>
      </c>
      <c r="E27" s="24"/>
      <c r="F27" s="31" t="s">
        <v>33</v>
      </c>
      <c r="G27" s="31" t="s">
        <v>182</v>
      </c>
      <c r="H27" s="24"/>
    </row>
    <row r="28" spans="1:8" ht="19.5" customHeight="1" x14ac:dyDescent="0.3">
      <c r="A28" s="28" t="s">
        <v>206</v>
      </c>
      <c r="B28" s="27" t="s">
        <v>207</v>
      </c>
      <c r="C28" s="27" t="s">
        <v>199</v>
      </c>
      <c r="D28" s="27" t="s">
        <v>151</v>
      </c>
      <c r="E28" s="27"/>
      <c r="F28" s="29" t="s">
        <v>33</v>
      </c>
      <c r="G28" s="29" t="s">
        <v>182</v>
      </c>
      <c r="H28" s="27"/>
    </row>
    <row r="29" spans="1:8" ht="19.5" customHeight="1" x14ac:dyDescent="0.3">
      <c r="A29" s="30" t="s">
        <v>208</v>
      </c>
      <c r="B29" s="24" t="s">
        <v>209</v>
      </c>
      <c r="C29" s="24" t="s">
        <v>199</v>
      </c>
      <c r="D29" s="24" t="s">
        <v>44</v>
      </c>
      <c r="E29" s="24"/>
      <c r="F29" s="31" t="s">
        <v>33</v>
      </c>
      <c r="G29" s="31" t="s">
        <v>182</v>
      </c>
      <c r="H29" s="24"/>
    </row>
    <row r="30" spans="1:8" ht="19.5" customHeight="1" x14ac:dyDescent="0.3">
      <c r="A30" s="28" t="s">
        <v>210</v>
      </c>
      <c r="B30" s="27" t="s">
        <v>211</v>
      </c>
      <c r="C30" s="27" t="s">
        <v>199</v>
      </c>
      <c r="D30" s="27" t="s">
        <v>51</v>
      </c>
      <c r="E30" s="27"/>
      <c r="F30" s="29" t="s">
        <v>33</v>
      </c>
      <c r="G30" s="29" t="s">
        <v>182</v>
      </c>
      <c r="H30" s="27"/>
    </row>
    <row r="31" spans="1:8" ht="19.5" customHeight="1" x14ac:dyDescent="0.3">
      <c r="A31" s="30" t="s">
        <v>212</v>
      </c>
      <c r="B31" s="24" t="s">
        <v>213</v>
      </c>
      <c r="C31" s="24" t="s">
        <v>199</v>
      </c>
      <c r="D31" s="24" t="s">
        <v>44</v>
      </c>
      <c r="E31" s="24"/>
      <c r="F31" s="31" t="s">
        <v>33</v>
      </c>
      <c r="G31" s="31" t="s">
        <v>182</v>
      </c>
      <c r="H31" s="24"/>
    </row>
  </sheetData>
  <mergeCells count="18">
    <mergeCell ref="A13:H13"/>
    <mergeCell ref="A14:H14"/>
    <mergeCell ref="A10:B10"/>
    <mergeCell ref="C10:H10"/>
    <mergeCell ref="A11:B11"/>
    <mergeCell ref="C11:H11"/>
    <mergeCell ref="A12:B12"/>
    <mergeCell ref="C12:H12"/>
    <mergeCell ref="A7:H7"/>
    <mergeCell ref="A8:B8"/>
    <mergeCell ref="C8:H8"/>
    <mergeCell ref="A9:B9"/>
    <mergeCell ref="C9:H9"/>
    <mergeCell ref="A1:H1"/>
    <mergeCell ref="A3:H3"/>
    <mergeCell ref="A4:H4"/>
    <mergeCell ref="A5:H5"/>
    <mergeCell ref="A6:H6"/>
  </mergeCells>
  <dataValidations count="1">
    <dataValidation type="list" allowBlank="1" showErrorMessage="1" errorTitle="Ugyldig" error="Vælg fra listen." sqref="G18:G31" xr:uid="{00000000-0002-0000-0300-000000000000}">
      <formula1>"Aktiv,Under revision,Udgået"</formula1>
      <formula2>0</formula2>
    </dataValidation>
  </dataValidations>
  <pageMargins left="0.5" right="0.5" top="0.75" bottom="0.75" header="0.5" footer="0.5"/>
  <pageSetup orientation="landscape" horizontalDpi="300" verticalDpi="300"/>
  <headerFooter>
    <oddHeader>&amp;CKLS — Procedurer</oddHeader>
    <oddFooter>&amp;CKLS Kvalitetsledelsessystem  ·  Side &amp;P af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8449"/>
    <pageSetUpPr fitToPage="1"/>
  </sheetPr>
  <dimension ref="A1:N72"/>
  <sheetViews>
    <sheetView zoomScaleNormal="100" workbookViewId="0">
      <pane ySplit="22" topLeftCell="A23" activePane="bottomLeft" state="frozen"/>
      <selection pane="bottomLeft" activeCell="C11" sqref="C11:K11"/>
    </sheetView>
  </sheetViews>
  <sheetFormatPr defaultColWidth="8.6640625" defaultRowHeight="14.4" x14ac:dyDescent="0.3"/>
  <cols>
    <col min="1" max="2" width="12" customWidth="1"/>
    <col min="3" max="3" width="30" customWidth="1"/>
    <col min="4" max="4" width="18" customWidth="1"/>
    <col min="5" max="5" width="22" customWidth="1"/>
    <col min="6" max="6" width="16" customWidth="1"/>
    <col min="7" max="8" width="14" customWidth="1"/>
    <col min="9" max="9" width="18" customWidth="1"/>
    <col min="10" max="10" width="20" customWidth="1"/>
    <col min="11" max="11" width="18" customWidth="1"/>
    <col min="13" max="13" width="18" customWidth="1"/>
    <col min="14" max="14" width="12" customWidth="1"/>
  </cols>
  <sheetData>
    <row r="1" spans="1:11" ht="42" customHeight="1" x14ac:dyDescent="0.3">
      <c r="A1" s="78" t="s">
        <v>214</v>
      </c>
      <c r="B1" s="78"/>
      <c r="C1" s="78"/>
      <c r="D1" s="78"/>
      <c r="E1" s="78"/>
      <c r="F1" s="78"/>
      <c r="G1" s="78"/>
      <c r="H1" s="78"/>
      <c r="I1" s="78"/>
      <c r="J1" s="78"/>
      <c r="K1" s="78"/>
    </row>
    <row r="2" spans="1:11" ht="15" customHeight="1" x14ac:dyDescent="0.3">
      <c r="A2" s="79" t="s">
        <v>215</v>
      </c>
      <c r="B2" s="79"/>
      <c r="C2" s="79"/>
      <c r="D2" s="79"/>
      <c r="E2" s="79"/>
      <c r="F2" s="79"/>
      <c r="G2" s="79"/>
      <c r="H2" s="79"/>
      <c r="I2" s="79"/>
      <c r="J2" s="79"/>
      <c r="K2" s="79"/>
    </row>
    <row r="3" spans="1:11" ht="15" customHeight="1" x14ac:dyDescent="0.3"/>
    <row r="4" spans="1:11" ht="21.75" customHeight="1" x14ac:dyDescent="0.3">
      <c r="A4" s="12" t="s">
        <v>216</v>
      </c>
      <c r="B4" s="12"/>
      <c r="C4" s="12"/>
      <c r="D4" s="12"/>
      <c r="E4" s="12"/>
      <c r="F4" s="12"/>
      <c r="G4" s="12"/>
      <c r="H4" s="12"/>
      <c r="I4" s="12"/>
      <c r="J4" s="12"/>
      <c r="K4" s="12"/>
    </row>
    <row r="5" spans="1:11" ht="19.5" customHeight="1" x14ac:dyDescent="0.3">
      <c r="A5" s="11" t="s">
        <v>3</v>
      </c>
      <c r="B5" s="11"/>
      <c r="C5" s="11"/>
      <c r="D5" s="11"/>
      <c r="E5" s="11"/>
      <c r="F5" s="11"/>
      <c r="G5" s="11"/>
      <c r="H5" s="11"/>
      <c r="I5" s="11"/>
      <c r="J5" s="11"/>
      <c r="K5" s="11"/>
    </row>
    <row r="6" spans="1:11" ht="36" customHeight="1" x14ac:dyDescent="0.3">
      <c r="A6" s="10" t="s">
        <v>217</v>
      </c>
      <c r="B6" s="10"/>
      <c r="C6" s="10"/>
      <c r="D6" s="10"/>
      <c r="E6" s="10"/>
      <c r="F6" s="10"/>
      <c r="G6" s="10"/>
      <c r="H6" s="10"/>
      <c r="I6" s="10"/>
      <c r="J6" s="10"/>
      <c r="K6" s="10"/>
    </row>
    <row r="7" spans="1:11" ht="4.5" customHeight="1" x14ac:dyDescent="0.3">
      <c r="A7" s="9"/>
      <c r="B7" s="9"/>
      <c r="C7" s="9"/>
      <c r="D7" s="9"/>
      <c r="E7" s="9"/>
      <c r="F7" s="9"/>
      <c r="G7" s="9"/>
      <c r="H7" s="9"/>
      <c r="I7" s="9"/>
      <c r="J7" s="9"/>
      <c r="K7" s="9"/>
    </row>
    <row r="8" spans="1:11" ht="27.75" customHeight="1" x14ac:dyDescent="0.3">
      <c r="A8" s="3" t="s">
        <v>218</v>
      </c>
      <c r="B8" s="3"/>
      <c r="C8" s="3"/>
      <c r="D8" s="3"/>
      <c r="E8" s="3"/>
      <c r="F8" s="3"/>
      <c r="G8" s="3"/>
      <c r="H8" s="3"/>
      <c r="I8" s="3"/>
      <c r="J8" s="3"/>
      <c r="K8" s="3"/>
    </row>
    <row r="9" spans="1:11" ht="4.5" customHeight="1" x14ac:dyDescent="0.3">
      <c r="A9" s="9"/>
      <c r="B9" s="9"/>
      <c r="C9" s="9"/>
      <c r="D9" s="9"/>
      <c r="E9" s="9"/>
      <c r="F9" s="9"/>
      <c r="G9" s="9"/>
      <c r="H9" s="9"/>
      <c r="I9" s="9"/>
      <c r="J9" s="9"/>
      <c r="K9" s="9"/>
    </row>
    <row r="10" spans="1:11" ht="19.5" customHeight="1" x14ac:dyDescent="0.3">
      <c r="A10" s="8" t="s">
        <v>219</v>
      </c>
      <c r="B10" s="8"/>
      <c r="C10" s="8"/>
      <c r="D10" s="8"/>
      <c r="E10" s="8"/>
      <c r="F10" s="8"/>
      <c r="G10" s="8"/>
      <c r="H10" s="8"/>
      <c r="I10" s="8"/>
      <c r="J10" s="8"/>
      <c r="K10" s="8"/>
    </row>
    <row r="11" spans="1:11" ht="36" customHeight="1" x14ac:dyDescent="0.3">
      <c r="A11" s="7" t="s">
        <v>220</v>
      </c>
      <c r="B11" s="7"/>
      <c r="C11" s="6" t="s">
        <v>221</v>
      </c>
      <c r="D11" s="6"/>
      <c r="E11" s="6"/>
      <c r="F11" s="6"/>
      <c r="G11" s="6"/>
      <c r="H11" s="6"/>
      <c r="I11" s="6"/>
      <c r="J11" s="6"/>
      <c r="K11" s="6"/>
    </row>
    <row r="12" spans="1:11" ht="36" customHeight="1" x14ac:dyDescent="0.3">
      <c r="A12" s="7" t="s">
        <v>222</v>
      </c>
      <c r="B12" s="7"/>
      <c r="C12" s="6" t="s">
        <v>223</v>
      </c>
      <c r="D12" s="6"/>
      <c r="E12" s="6"/>
      <c r="F12" s="6"/>
      <c r="G12" s="6"/>
      <c r="H12" s="6"/>
      <c r="I12" s="6"/>
      <c r="J12" s="6"/>
      <c r="K12" s="6"/>
    </row>
    <row r="13" spans="1:11" ht="36" customHeight="1" x14ac:dyDescent="0.3">
      <c r="A13" s="7" t="s">
        <v>224</v>
      </c>
      <c r="B13" s="7"/>
      <c r="C13" s="6" t="s">
        <v>225</v>
      </c>
      <c r="D13" s="6"/>
      <c r="E13" s="6"/>
      <c r="F13" s="6"/>
      <c r="G13" s="6"/>
      <c r="H13" s="6"/>
      <c r="I13" s="6"/>
      <c r="J13" s="6"/>
      <c r="K13" s="6"/>
    </row>
    <row r="14" spans="1:11" ht="15" customHeight="1" x14ac:dyDescent="0.3">
      <c r="A14" s="70" t="s">
        <v>93</v>
      </c>
      <c r="B14" s="70"/>
      <c r="C14" s="70"/>
      <c r="D14" s="70"/>
      <c r="E14" s="70"/>
      <c r="F14" s="70"/>
      <c r="G14" s="70"/>
      <c r="H14" s="70"/>
      <c r="I14" s="70"/>
      <c r="J14" s="70"/>
      <c r="K14" s="70"/>
    </row>
    <row r="15" spans="1:11" ht="19.5" customHeight="1" x14ac:dyDescent="0.3">
      <c r="A15" s="71" t="s">
        <v>226</v>
      </c>
      <c r="B15" s="71"/>
      <c r="C15" s="71"/>
      <c r="D15" s="71"/>
      <c r="E15" s="71"/>
      <c r="F15" s="71"/>
      <c r="G15" s="71"/>
      <c r="H15" s="71"/>
      <c r="I15" s="71"/>
      <c r="J15" s="71"/>
      <c r="K15" s="71"/>
    </row>
    <row r="16" spans="1:11" ht="19.5" customHeight="1" x14ac:dyDescent="0.3">
      <c r="A16" s="72" t="s">
        <v>227</v>
      </c>
      <c r="B16" s="72"/>
      <c r="C16" s="72"/>
      <c r="D16" s="72"/>
      <c r="E16" s="72"/>
      <c r="F16" s="72"/>
      <c r="G16" s="72"/>
      <c r="H16" s="72"/>
      <c r="I16" s="72"/>
      <c r="J16" s="72"/>
      <c r="K16" s="72"/>
    </row>
    <row r="17" spans="1:14" ht="36" customHeight="1" x14ac:dyDescent="0.3">
      <c r="A17" s="7" t="s">
        <v>228</v>
      </c>
      <c r="B17" s="7"/>
      <c r="C17" s="6" t="s">
        <v>229</v>
      </c>
      <c r="D17" s="6"/>
      <c r="E17" s="6"/>
      <c r="F17" s="6"/>
      <c r="G17" s="6"/>
      <c r="H17" s="6"/>
      <c r="I17" s="6"/>
      <c r="J17" s="6"/>
      <c r="K17" s="6"/>
    </row>
    <row r="18" spans="1:14" ht="36" customHeight="1" x14ac:dyDescent="0.3">
      <c r="A18" s="7" t="s">
        <v>230</v>
      </c>
      <c r="B18" s="7"/>
      <c r="C18" s="6" t="s">
        <v>231</v>
      </c>
      <c r="D18" s="6"/>
      <c r="E18" s="6"/>
      <c r="F18" s="6"/>
      <c r="G18" s="6"/>
      <c r="H18" s="6"/>
      <c r="I18" s="6"/>
      <c r="J18" s="6"/>
      <c r="K18" s="6"/>
    </row>
    <row r="19" spans="1:14" ht="36" customHeight="1" x14ac:dyDescent="0.3">
      <c r="A19" s="76" t="s">
        <v>232</v>
      </c>
      <c r="B19" s="76"/>
      <c r="C19" s="77" t="s">
        <v>233</v>
      </c>
      <c r="D19" s="77"/>
      <c r="E19" s="77"/>
      <c r="F19" s="77"/>
      <c r="G19" s="77"/>
      <c r="H19" s="77"/>
      <c r="I19" s="77"/>
      <c r="J19" s="77"/>
      <c r="K19" s="77"/>
    </row>
    <row r="20" spans="1:14" ht="15" customHeight="1" x14ac:dyDescent="0.3"/>
    <row r="21" spans="1:14" ht="15" customHeight="1" x14ac:dyDescent="0.3"/>
    <row r="22" spans="1:14" ht="27.75" customHeight="1" x14ac:dyDescent="0.3">
      <c r="A22" s="32" t="s">
        <v>234</v>
      </c>
      <c r="B22" s="32" t="s">
        <v>235</v>
      </c>
      <c r="C22" s="32" t="s">
        <v>236</v>
      </c>
      <c r="D22" s="32" t="s">
        <v>237</v>
      </c>
      <c r="E22" s="32" t="s">
        <v>238</v>
      </c>
      <c r="F22" s="32" t="s">
        <v>239</v>
      </c>
      <c r="G22" s="32" t="s">
        <v>240</v>
      </c>
      <c r="H22" s="32" t="s">
        <v>241</v>
      </c>
      <c r="I22" s="32" t="s">
        <v>242</v>
      </c>
      <c r="J22" s="32" t="s">
        <v>243</v>
      </c>
      <c r="K22" s="32" t="s">
        <v>156</v>
      </c>
      <c r="M22" s="80" t="s">
        <v>244</v>
      </c>
      <c r="N22" s="80"/>
    </row>
    <row r="23" spans="1:14" ht="19.5" customHeight="1" x14ac:dyDescent="0.3">
      <c r="A23" s="24"/>
      <c r="B23" s="24"/>
      <c r="C23" s="24"/>
      <c r="D23" s="24"/>
      <c r="E23" s="24"/>
      <c r="F23" s="24"/>
      <c r="G23" s="24"/>
      <c r="H23" s="24"/>
      <c r="I23" s="24"/>
      <c r="J23" s="24"/>
      <c r="K23" s="24"/>
      <c r="M23" s="22" t="s">
        <v>245</v>
      </c>
      <c r="N23" s="33">
        <f>COUNTIF(K23:K72,"Godkendt")</f>
        <v>0</v>
      </c>
    </row>
    <row r="24" spans="1:14" ht="19.5" customHeight="1" x14ac:dyDescent="0.3">
      <c r="A24" s="34"/>
      <c r="B24" s="34"/>
      <c r="C24" s="34"/>
      <c r="D24" s="34"/>
      <c r="E24" s="34"/>
      <c r="F24" s="34"/>
      <c r="G24" s="34"/>
      <c r="H24" s="34"/>
      <c r="I24" s="34"/>
      <c r="J24" s="34"/>
      <c r="K24" s="34"/>
      <c r="M24" s="22" t="s">
        <v>246</v>
      </c>
      <c r="N24" s="33">
        <f>COUNTIF(K23:K72,"Afvigelse")</f>
        <v>0</v>
      </c>
    </row>
    <row r="25" spans="1:14" ht="19.5" customHeight="1" x14ac:dyDescent="0.3">
      <c r="A25" s="24"/>
      <c r="B25" s="24"/>
      <c r="C25" s="24"/>
      <c r="D25" s="24"/>
      <c r="E25" s="24"/>
      <c r="F25" s="24"/>
      <c r="G25" s="24"/>
      <c r="H25" s="24"/>
      <c r="I25" s="24"/>
      <c r="J25" s="24"/>
      <c r="K25" s="24"/>
      <c r="M25" s="22" t="s">
        <v>247</v>
      </c>
      <c r="N25" s="35" t="str">
        <f>IFERROR(COUNTIF(K23:K72,"Godkendt")/(COUNTIF(K23:K72,"Godkendt")+COUNTIF(K23:K72,"Afvigelse")),"N/A")</f>
        <v>N/A</v>
      </c>
    </row>
    <row r="26" spans="1:14" ht="19.5" customHeight="1" x14ac:dyDescent="0.3">
      <c r="A26" s="34"/>
      <c r="B26" s="34"/>
      <c r="C26" s="34"/>
      <c r="D26" s="34"/>
      <c r="E26" s="34"/>
      <c r="F26" s="34"/>
      <c r="G26" s="34"/>
      <c r="H26" s="34"/>
      <c r="I26" s="34"/>
      <c r="J26" s="34"/>
      <c r="K26" s="34"/>
    </row>
    <row r="27" spans="1:14" ht="19.5" customHeight="1" x14ac:dyDescent="0.3">
      <c r="A27" s="24"/>
      <c r="B27" s="24"/>
      <c r="C27" s="24"/>
      <c r="D27" s="24"/>
      <c r="E27" s="24"/>
      <c r="F27" s="24"/>
      <c r="G27" s="24"/>
      <c r="H27" s="24"/>
      <c r="I27" s="24"/>
      <c r="J27" s="24"/>
      <c r="K27" s="24"/>
    </row>
    <row r="28" spans="1:14" ht="19.5" customHeight="1" x14ac:dyDescent="0.3">
      <c r="A28" s="34"/>
      <c r="B28" s="34"/>
      <c r="C28" s="34"/>
      <c r="D28" s="34"/>
      <c r="E28" s="34"/>
      <c r="F28" s="34"/>
      <c r="G28" s="34"/>
      <c r="H28" s="34"/>
      <c r="I28" s="34"/>
      <c r="J28" s="34"/>
      <c r="K28" s="34"/>
    </row>
    <row r="29" spans="1:14" ht="19.5" customHeight="1" x14ac:dyDescent="0.3">
      <c r="A29" s="24"/>
      <c r="B29" s="24"/>
      <c r="C29" s="24"/>
      <c r="D29" s="24"/>
      <c r="E29" s="24"/>
      <c r="F29" s="24"/>
      <c r="G29" s="24"/>
      <c r="H29" s="24"/>
      <c r="I29" s="24"/>
      <c r="J29" s="24"/>
      <c r="K29" s="24"/>
    </row>
    <row r="30" spans="1:14" ht="19.5" customHeight="1" x14ac:dyDescent="0.3">
      <c r="A30" s="34"/>
      <c r="B30" s="34"/>
      <c r="C30" s="34"/>
      <c r="D30" s="34"/>
      <c r="E30" s="34"/>
      <c r="F30" s="34"/>
      <c r="G30" s="34"/>
      <c r="H30" s="34"/>
      <c r="I30" s="34"/>
      <c r="J30" s="34"/>
      <c r="K30" s="34"/>
    </row>
    <row r="31" spans="1:14" ht="19.5" customHeight="1" x14ac:dyDescent="0.3">
      <c r="A31" s="24"/>
      <c r="B31" s="24"/>
      <c r="C31" s="24"/>
      <c r="D31" s="24"/>
      <c r="E31" s="24"/>
      <c r="F31" s="24"/>
      <c r="G31" s="24"/>
      <c r="H31" s="24"/>
      <c r="I31" s="24"/>
      <c r="J31" s="24"/>
      <c r="K31" s="24"/>
    </row>
    <row r="32" spans="1:14" ht="19.5" customHeight="1" x14ac:dyDescent="0.3">
      <c r="A32" s="34"/>
      <c r="B32" s="34"/>
      <c r="C32" s="34"/>
      <c r="D32" s="34"/>
      <c r="E32" s="34"/>
      <c r="F32" s="34"/>
      <c r="G32" s="34"/>
      <c r="H32" s="34"/>
      <c r="I32" s="34"/>
      <c r="J32" s="34"/>
      <c r="K32" s="34"/>
    </row>
    <row r="33" spans="1:11" ht="19.5" customHeight="1" x14ac:dyDescent="0.3">
      <c r="A33" s="24"/>
      <c r="B33" s="24"/>
      <c r="C33" s="24"/>
      <c r="D33" s="24"/>
      <c r="E33" s="24"/>
      <c r="F33" s="24"/>
      <c r="G33" s="24"/>
      <c r="H33" s="24"/>
      <c r="I33" s="24"/>
      <c r="J33" s="24"/>
      <c r="K33" s="24"/>
    </row>
    <row r="34" spans="1:11" ht="19.5" customHeight="1" x14ac:dyDescent="0.3">
      <c r="A34" s="34"/>
      <c r="B34" s="34"/>
      <c r="C34" s="34"/>
      <c r="D34" s="34"/>
      <c r="E34" s="34"/>
      <c r="F34" s="34"/>
      <c r="G34" s="34"/>
      <c r="H34" s="34"/>
      <c r="I34" s="34"/>
      <c r="J34" s="34"/>
      <c r="K34" s="34"/>
    </row>
    <row r="35" spans="1:11" ht="19.5" customHeight="1" x14ac:dyDescent="0.3">
      <c r="A35" s="24"/>
      <c r="B35" s="24"/>
      <c r="C35" s="24"/>
      <c r="D35" s="24"/>
      <c r="E35" s="24"/>
      <c r="F35" s="24"/>
      <c r="G35" s="24"/>
      <c r="H35" s="24"/>
      <c r="I35" s="24"/>
      <c r="J35" s="24"/>
      <c r="K35" s="24"/>
    </row>
    <row r="36" spans="1:11" ht="19.5" customHeight="1" x14ac:dyDescent="0.3">
      <c r="A36" s="34"/>
      <c r="B36" s="34"/>
      <c r="C36" s="34"/>
      <c r="D36" s="34"/>
      <c r="E36" s="34"/>
      <c r="F36" s="34"/>
      <c r="G36" s="34"/>
      <c r="H36" s="34"/>
      <c r="I36" s="34"/>
      <c r="J36" s="34"/>
      <c r="K36" s="34"/>
    </row>
    <row r="37" spans="1:11" ht="19.5" customHeight="1" x14ac:dyDescent="0.3">
      <c r="A37" s="24"/>
      <c r="B37" s="24"/>
      <c r="C37" s="24"/>
      <c r="D37" s="24"/>
      <c r="E37" s="24"/>
      <c r="F37" s="24"/>
      <c r="G37" s="24"/>
      <c r="H37" s="24"/>
      <c r="I37" s="24"/>
      <c r="J37" s="24"/>
      <c r="K37" s="24"/>
    </row>
    <row r="38" spans="1:11" ht="19.5" customHeight="1" x14ac:dyDescent="0.3">
      <c r="A38" s="34"/>
      <c r="B38" s="34"/>
      <c r="C38" s="34"/>
      <c r="D38" s="34"/>
      <c r="E38" s="34"/>
      <c r="F38" s="34"/>
      <c r="G38" s="34"/>
      <c r="H38" s="34"/>
      <c r="I38" s="34"/>
      <c r="J38" s="34"/>
      <c r="K38" s="34"/>
    </row>
    <row r="39" spans="1:11" ht="19.5" customHeight="1" x14ac:dyDescent="0.3">
      <c r="A39" s="24"/>
      <c r="B39" s="24"/>
      <c r="C39" s="24"/>
      <c r="D39" s="24"/>
      <c r="E39" s="24"/>
      <c r="F39" s="24"/>
      <c r="G39" s="24"/>
      <c r="H39" s="24"/>
      <c r="I39" s="24"/>
      <c r="J39" s="24"/>
      <c r="K39" s="24"/>
    </row>
    <row r="40" spans="1:11" ht="19.5" customHeight="1" x14ac:dyDescent="0.3">
      <c r="A40" s="34"/>
      <c r="B40" s="34"/>
      <c r="C40" s="34"/>
      <c r="D40" s="34"/>
      <c r="E40" s="34"/>
      <c r="F40" s="34"/>
      <c r="G40" s="34"/>
      <c r="H40" s="34"/>
      <c r="I40" s="34"/>
      <c r="J40" s="34"/>
      <c r="K40" s="34"/>
    </row>
    <row r="41" spans="1:11" ht="19.5" customHeight="1" x14ac:dyDescent="0.3">
      <c r="A41" s="24"/>
      <c r="B41" s="24"/>
      <c r="C41" s="24"/>
      <c r="D41" s="24"/>
      <c r="E41" s="24"/>
      <c r="F41" s="24"/>
      <c r="G41" s="24"/>
      <c r="H41" s="24"/>
      <c r="I41" s="24"/>
      <c r="J41" s="24"/>
      <c r="K41" s="24"/>
    </row>
    <row r="42" spans="1:11" ht="19.5" customHeight="1" x14ac:dyDescent="0.3">
      <c r="A42" s="34"/>
      <c r="B42" s="34"/>
      <c r="C42" s="34"/>
      <c r="D42" s="34"/>
      <c r="E42" s="34"/>
      <c r="F42" s="34"/>
      <c r="G42" s="34"/>
      <c r="H42" s="34"/>
      <c r="I42" s="34"/>
      <c r="J42" s="34"/>
      <c r="K42" s="34"/>
    </row>
    <row r="43" spans="1:11" ht="19.5" customHeight="1" x14ac:dyDescent="0.3">
      <c r="A43" s="24"/>
      <c r="B43" s="24"/>
      <c r="C43" s="24"/>
      <c r="D43" s="24"/>
      <c r="E43" s="24"/>
      <c r="F43" s="24"/>
      <c r="G43" s="24"/>
      <c r="H43" s="24"/>
      <c r="I43" s="24"/>
      <c r="J43" s="24"/>
      <c r="K43" s="24"/>
    </row>
    <row r="44" spans="1:11" ht="19.5" customHeight="1" x14ac:dyDescent="0.3">
      <c r="A44" s="34"/>
      <c r="B44" s="34"/>
      <c r="C44" s="34"/>
      <c r="D44" s="34"/>
      <c r="E44" s="34"/>
      <c r="F44" s="34"/>
      <c r="G44" s="34"/>
      <c r="H44" s="34"/>
      <c r="I44" s="34"/>
      <c r="J44" s="34"/>
      <c r="K44" s="34"/>
    </row>
    <row r="45" spans="1:11" ht="19.5" customHeight="1" x14ac:dyDescent="0.3">
      <c r="A45" s="24"/>
      <c r="B45" s="24"/>
      <c r="C45" s="24"/>
      <c r="D45" s="24"/>
      <c r="E45" s="24"/>
      <c r="F45" s="24"/>
      <c r="G45" s="24"/>
      <c r="H45" s="24"/>
      <c r="I45" s="24"/>
      <c r="J45" s="24"/>
      <c r="K45" s="24"/>
    </row>
    <row r="46" spans="1:11" ht="19.5" customHeight="1" x14ac:dyDescent="0.3">
      <c r="A46" s="34"/>
      <c r="B46" s="34"/>
      <c r="C46" s="34"/>
      <c r="D46" s="34"/>
      <c r="E46" s="34"/>
      <c r="F46" s="34"/>
      <c r="G46" s="34"/>
      <c r="H46" s="34"/>
      <c r="I46" s="34"/>
      <c r="J46" s="34"/>
      <c r="K46" s="34"/>
    </row>
    <row r="47" spans="1:11" ht="19.5" customHeight="1" x14ac:dyDescent="0.3">
      <c r="A47" s="24"/>
      <c r="B47" s="24"/>
      <c r="C47" s="24"/>
      <c r="D47" s="24"/>
      <c r="E47" s="24"/>
      <c r="F47" s="24"/>
      <c r="G47" s="24"/>
      <c r="H47" s="24"/>
      <c r="I47" s="24"/>
      <c r="J47" s="24"/>
      <c r="K47" s="24"/>
    </row>
    <row r="48" spans="1:11" ht="19.5" customHeight="1" x14ac:dyDescent="0.3">
      <c r="A48" s="34"/>
      <c r="B48" s="34"/>
      <c r="C48" s="34"/>
      <c r="D48" s="34"/>
      <c r="E48" s="34"/>
      <c r="F48" s="34"/>
      <c r="G48" s="34"/>
      <c r="H48" s="34"/>
      <c r="I48" s="34"/>
      <c r="J48" s="34"/>
      <c r="K48" s="34"/>
    </row>
    <row r="49" spans="1:11" ht="19.5" customHeight="1" x14ac:dyDescent="0.3">
      <c r="A49" s="24"/>
      <c r="B49" s="24"/>
      <c r="C49" s="24"/>
      <c r="D49" s="24"/>
      <c r="E49" s="24"/>
      <c r="F49" s="24"/>
      <c r="G49" s="24"/>
      <c r="H49" s="24"/>
      <c r="I49" s="24"/>
      <c r="J49" s="24"/>
      <c r="K49" s="24"/>
    </row>
    <row r="50" spans="1:11" ht="19.5" customHeight="1" x14ac:dyDescent="0.3">
      <c r="A50" s="34"/>
      <c r="B50" s="34"/>
      <c r="C50" s="34"/>
      <c r="D50" s="34"/>
      <c r="E50" s="34"/>
      <c r="F50" s="34"/>
      <c r="G50" s="34"/>
      <c r="H50" s="34"/>
      <c r="I50" s="34"/>
      <c r="J50" s="34"/>
      <c r="K50" s="34"/>
    </row>
    <row r="51" spans="1:11" ht="19.5" customHeight="1" x14ac:dyDescent="0.3">
      <c r="A51" s="24"/>
      <c r="B51" s="24"/>
      <c r="C51" s="24"/>
      <c r="D51" s="24"/>
      <c r="E51" s="24"/>
      <c r="F51" s="24"/>
      <c r="G51" s="24"/>
      <c r="H51" s="24"/>
      <c r="I51" s="24"/>
      <c r="J51" s="24"/>
      <c r="K51" s="24"/>
    </row>
    <row r="52" spans="1:11" ht="19.5" customHeight="1" x14ac:dyDescent="0.3">
      <c r="A52" s="34"/>
      <c r="B52" s="34"/>
      <c r="C52" s="34"/>
      <c r="D52" s="34"/>
      <c r="E52" s="34"/>
      <c r="F52" s="34"/>
      <c r="G52" s="34"/>
      <c r="H52" s="34"/>
      <c r="I52" s="34"/>
      <c r="J52" s="34"/>
      <c r="K52" s="34"/>
    </row>
    <row r="53" spans="1:11" ht="19.5" customHeight="1" x14ac:dyDescent="0.3">
      <c r="A53" s="24"/>
      <c r="B53" s="24"/>
      <c r="C53" s="24"/>
      <c r="D53" s="24"/>
      <c r="E53" s="24"/>
      <c r="F53" s="24"/>
      <c r="G53" s="24"/>
      <c r="H53" s="24"/>
      <c r="I53" s="24"/>
      <c r="J53" s="24"/>
      <c r="K53" s="24"/>
    </row>
    <row r="54" spans="1:11" ht="19.5" customHeight="1" x14ac:dyDescent="0.3">
      <c r="A54" s="34"/>
      <c r="B54" s="34"/>
      <c r="C54" s="34"/>
      <c r="D54" s="34"/>
      <c r="E54" s="34"/>
      <c r="F54" s="34"/>
      <c r="G54" s="34"/>
      <c r="H54" s="34"/>
      <c r="I54" s="34"/>
      <c r="J54" s="34"/>
      <c r="K54" s="34"/>
    </row>
    <row r="55" spans="1:11" ht="19.5" customHeight="1" x14ac:dyDescent="0.3">
      <c r="A55" s="24"/>
      <c r="B55" s="24"/>
      <c r="C55" s="24"/>
      <c r="D55" s="24"/>
      <c r="E55" s="24"/>
      <c r="F55" s="24"/>
      <c r="G55" s="24"/>
      <c r="H55" s="24"/>
      <c r="I55" s="24"/>
      <c r="J55" s="24"/>
      <c r="K55" s="24"/>
    </row>
    <row r="56" spans="1:11" ht="19.5" customHeight="1" x14ac:dyDescent="0.3">
      <c r="A56" s="34"/>
      <c r="B56" s="34"/>
      <c r="C56" s="34"/>
      <c r="D56" s="34"/>
      <c r="E56" s="34"/>
      <c r="F56" s="34"/>
      <c r="G56" s="34"/>
      <c r="H56" s="34"/>
      <c r="I56" s="34"/>
      <c r="J56" s="34"/>
      <c r="K56" s="34"/>
    </row>
    <row r="57" spans="1:11" ht="19.5" customHeight="1" x14ac:dyDescent="0.3">
      <c r="A57" s="24"/>
      <c r="B57" s="24"/>
      <c r="C57" s="24"/>
      <c r="D57" s="24"/>
      <c r="E57" s="24"/>
      <c r="F57" s="24"/>
      <c r="G57" s="24"/>
      <c r="H57" s="24"/>
      <c r="I57" s="24"/>
      <c r="J57" s="24"/>
      <c r="K57" s="24"/>
    </row>
    <row r="58" spans="1:11" ht="19.5" customHeight="1" x14ac:dyDescent="0.3">
      <c r="A58" s="34"/>
      <c r="B58" s="34"/>
      <c r="C58" s="34"/>
      <c r="D58" s="34"/>
      <c r="E58" s="34"/>
      <c r="F58" s="34"/>
      <c r="G58" s="34"/>
      <c r="H58" s="34"/>
      <c r="I58" s="34"/>
      <c r="J58" s="34"/>
      <c r="K58" s="34"/>
    </row>
    <row r="59" spans="1:11" ht="19.5" customHeight="1" x14ac:dyDescent="0.3">
      <c r="A59" s="24"/>
      <c r="B59" s="24"/>
      <c r="C59" s="24"/>
      <c r="D59" s="24"/>
      <c r="E59" s="24"/>
      <c r="F59" s="24"/>
      <c r="G59" s="24"/>
      <c r="H59" s="24"/>
      <c r="I59" s="24"/>
      <c r="J59" s="24"/>
      <c r="K59" s="24"/>
    </row>
    <row r="60" spans="1:11" ht="19.5" customHeight="1" x14ac:dyDescent="0.3">
      <c r="A60" s="34"/>
      <c r="B60" s="34"/>
      <c r="C60" s="34"/>
      <c r="D60" s="34"/>
      <c r="E60" s="34"/>
      <c r="F60" s="34"/>
      <c r="G60" s="34"/>
      <c r="H60" s="34"/>
      <c r="I60" s="34"/>
      <c r="J60" s="34"/>
      <c r="K60" s="34"/>
    </row>
    <row r="61" spans="1:11" ht="19.5" customHeight="1" x14ac:dyDescent="0.3">
      <c r="A61" s="24"/>
      <c r="B61" s="24"/>
      <c r="C61" s="24"/>
      <c r="D61" s="24"/>
      <c r="E61" s="24"/>
      <c r="F61" s="24"/>
      <c r="G61" s="24"/>
      <c r="H61" s="24"/>
      <c r="I61" s="24"/>
      <c r="J61" s="24"/>
      <c r="K61" s="24"/>
    </row>
    <row r="62" spans="1:11" ht="19.5" customHeight="1" x14ac:dyDescent="0.3">
      <c r="A62" s="34"/>
      <c r="B62" s="34"/>
      <c r="C62" s="34"/>
      <c r="D62" s="34"/>
      <c r="E62" s="34"/>
      <c r="F62" s="34"/>
      <c r="G62" s="34"/>
      <c r="H62" s="34"/>
      <c r="I62" s="34"/>
      <c r="J62" s="34"/>
      <c r="K62" s="34"/>
    </row>
    <row r="63" spans="1:11" ht="19.5" customHeight="1" x14ac:dyDescent="0.3">
      <c r="A63" s="24"/>
      <c r="B63" s="24"/>
      <c r="C63" s="24"/>
      <c r="D63" s="24"/>
      <c r="E63" s="24"/>
      <c r="F63" s="24"/>
      <c r="G63" s="24"/>
      <c r="H63" s="24"/>
      <c r="I63" s="24"/>
      <c r="J63" s="24"/>
      <c r="K63" s="24"/>
    </row>
    <row r="64" spans="1:11" ht="19.5" customHeight="1" x14ac:dyDescent="0.3">
      <c r="A64" s="34"/>
      <c r="B64" s="34"/>
      <c r="C64" s="34"/>
      <c r="D64" s="34"/>
      <c r="E64" s="34"/>
      <c r="F64" s="34"/>
      <c r="G64" s="34"/>
      <c r="H64" s="34"/>
      <c r="I64" s="34"/>
      <c r="J64" s="34"/>
      <c r="K64" s="34"/>
    </row>
    <row r="65" spans="1:11" ht="19.5" customHeight="1" x14ac:dyDescent="0.3">
      <c r="A65" s="24"/>
      <c r="B65" s="24"/>
      <c r="C65" s="24"/>
      <c r="D65" s="24"/>
      <c r="E65" s="24"/>
      <c r="F65" s="24"/>
      <c r="G65" s="24"/>
      <c r="H65" s="24"/>
      <c r="I65" s="24"/>
      <c r="J65" s="24"/>
      <c r="K65" s="24"/>
    </row>
    <row r="66" spans="1:11" ht="19.5" customHeight="1" x14ac:dyDescent="0.3">
      <c r="A66" s="34"/>
      <c r="B66" s="34"/>
      <c r="C66" s="34"/>
      <c r="D66" s="34"/>
      <c r="E66" s="34"/>
      <c r="F66" s="34"/>
      <c r="G66" s="34"/>
      <c r="H66" s="34"/>
      <c r="I66" s="34"/>
      <c r="J66" s="34"/>
      <c r="K66" s="34"/>
    </row>
    <row r="67" spans="1:11" ht="19.5" customHeight="1" x14ac:dyDescent="0.3">
      <c r="A67" s="24"/>
      <c r="B67" s="24"/>
      <c r="C67" s="24"/>
      <c r="D67" s="24"/>
      <c r="E67" s="24"/>
      <c r="F67" s="24"/>
      <c r="G67" s="24"/>
      <c r="H67" s="24"/>
      <c r="I67" s="24"/>
      <c r="J67" s="24"/>
      <c r="K67" s="24"/>
    </row>
    <row r="68" spans="1:11" ht="19.5" customHeight="1" x14ac:dyDescent="0.3">
      <c r="A68" s="34"/>
      <c r="B68" s="34"/>
      <c r="C68" s="34"/>
      <c r="D68" s="34"/>
      <c r="E68" s="34"/>
      <c r="F68" s="34"/>
      <c r="G68" s="34"/>
      <c r="H68" s="34"/>
      <c r="I68" s="34"/>
      <c r="J68" s="34"/>
      <c r="K68" s="34"/>
    </row>
    <row r="69" spans="1:11" ht="19.5" customHeight="1" x14ac:dyDescent="0.3">
      <c r="A69" s="24"/>
      <c r="B69" s="24"/>
      <c r="C69" s="24"/>
      <c r="D69" s="24"/>
      <c r="E69" s="24"/>
      <c r="F69" s="24"/>
      <c r="G69" s="24"/>
      <c r="H69" s="24"/>
      <c r="I69" s="24"/>
      <c r="J69" s="24"/>
      <c r="K69" s="24"/>
    </row>
    <row r="70" spans="1:11" ht="19.5" customHeight="1" x14ac:dyDescent="0.3">
      <c r="A70" s="34"/>
      <c r="B70" s="34"/>
      <c r="C70" s="34"/>
      <c r="D70" s="34"/>
      <c r="E70" s="34"/>
      <c r="F70" s="34"/>
      <c r="G70" s="34"/>
      <c r="H70" s="34"/>
      <c r="I70" s="34"/>
      <c r="J70" s="34"/>
      <c r="K70" s="34"/>
    </row>
    <row r="71" spans="1:11" ht="19.5" customHeight="1" x14ac:dyDescent="0.3">
      <c r="A71" s="24"/>
      <c r="B71" s="24"/>
      <c r="C71" s="24"/>
      <c r="D71" s="24"/>
      <c r="E71" s="24"/>
      <c r="F71" s="24"/>
      <c r="G71" s="24"/>
      <c r="H71" s="24"/>
      <c r="I71" s="24"/>
      <c r="J71" s="24"/>
      <c r="K71" s="24"/>
    </row>
    <row r="72" spans="1:11" ht="19.5" customHeight="1" x14ac:dyDescent="0.3">
      <c r="A72" s="34"/>
      <c r="B72" s="34"/>
      <c r="C72" s="34"/>
      <c r="D72" s="34"/>
      <c r="E72" s="34"/>
      <c r="F72" s="34"/>
      <c r="G72" s="34"/>
      <c r="H72" s="34"/>
      <c r="I72" s="34"/>
      <c r="J72" s="34"/>
      <c r="K72" s="34"/>
    </row>
  </sheetData>
  <mergeCells count="25">
    <mergeCell ref="A19:B19"/>
    <mergeCell ref="C19:K19"/>
    <mergeCell ref="M22:N22"/>
    <mergeCell ref="A15:K15"/>
    <mergeCell ref="A16:K16"/>
    <mergeCell ref="A17:B17"/>
    <mergeCell ref="C17:K17"/>
    <mergeCell ref="A18:B18"/>
    <mergeCell ref="C18:K18"/>
    <mergeCell ref="A12:B12"/>
    <mergeCell ref="C12:K12"/>
    <mergeCell ref="A13:B13"/>
    <mergeCell ref="C13:K13"/>
    <mergeCell ref="A14:K14"/>
    <mergeCell ref="A7:K7"/>
    <mergeCell ref="A8:K8"/>
    <mergeCell ref="A9:K9"/>
    <mergeCell ref="A10:K10"/>
    <mergeCell ref="A11:B11"/>
    <mergeCell ref="C11:K11"/>
    <mergeCell ref="A1:K1"/>
    <mergeCell ref="A2:K2"/>
    <mergeCell ref="A4:K4"/>
    <mergeCell ref="A5:K5"/>
    <mergeCell ref="A6:K6"/>
  </mergeCells>
  <conditionalFormatting sqref="K23:K72">
    <cfRule type="expression" dxfId="20" priority="2">
      <formula>K23="Godkendt"</formula>
    </cfRule>
    <cfRule type="expression" dxfId="19" priority="3">
      <formula>K23="Afvigelse"</formula>
    </cfRule>
    <cfRule type="expression" dxfId="18" priority="4">
      <formula>K23="Under behandling"</formula>
    </cfRule>
  </conditionalFormatting>
  <dataValidations count="3">
    <dataValidation type="list" allowBlank="1" showErrorMessage="1" errorTitle="Ugyldig" error="Vælg fra listen." sqref="D23:D72" xr:uid="{00000000-0002-0000-0400-000000000000}">
      <formula1>"Nyinstallation,Udvidelse,Ændring,Fejlafhjælpning,Service"</formula1>
      <formula2>0</formula2>
    </dataValidation>
    <dataValidation type="list" allowBlank="1" showErrorMessage="1" errorTitle="Ugyldig" error="Vælg fra listen." sqref="F23:G72" xr:uid="{00000000-0002-0000-0400-000001000000}">
      <formula1>"OK,Ikke OK,N/A"</formula1>
      <formula2>0</formula2>
    </dataValidation>
    <dataValidation type="list" allowBlank="1" showErrorMessage="1" errorTitle="Ugyldig" error="Vælg fra listen." sqref="K23:K72" xr:uid="{00000000-0002-0000-0400-000003000000}">
      <formula1>"Godkendt,Afvigelse,Under behandling,Afventer"</formula1>
      <formula2>0</formula2>
    </dataValidation>
  </dataValidations>
  <pageMargins left="0.5" right="0.5" top="0.75" bottom="0.75" header="0.5" footer="0.5"/>
  <pageSetup orientation="landscape" horizontalDpi="300" verticalDpi="300"/>
  <headerFooter>
    <oddHeader>&amp;CKLS — Slutkontrol EL</oddHeader>
    <oddFooter>&amp;CKLS Kvalitetsledelsessystem  ·  Side &amp;P af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5F8E"/>
    <pageSetUpPr fitToPage="1"/>
  </sheetPr>
  <dimension ref="A1:J68"/>
  <sheetViews>
    <sheetView zoomScaleNormal="100" workbookViewId="0">
      <pane ySplit="18" topLeftCell="A19" activePane="bottomLeft" state="frozen"/>
      <selection pane="bottomLeft" sqref="A1:J1"/>
    </sheetView>
  </sheetViews>
  <sheetFormatPr defaultColWidth="8.6640625" defaultRowHeight="14.4" x14ac:dyDescent="0.3"/>
  <cols>
    <col min="1" max="2" width="12" customWidth="1"/>
    <col min="3" max="3" width="30" customWidth="1"/>
    <col min="4" max="4" width="18" customWidth="1"/>
    <col min="5" max="5" width="16" customWidth="1"/>
    <col min="6" max="6" width="18" customWidth="1"/>
    <col min="7" max="7" width="22" customWidth="1"/>
    <col min="8" max="8" width="18" customWidth="1"/>
    <col min="9" max="9" width="20" customWidth="1"/>
    <col min="10" max="10" width="18" customWidth="1"/>
  </cols>
  <sheetData>
    <row r="1" spans="1:10" ht="42" customHeight="1" x14ac:dyDescent="0.3">
      <c r="A1" s="81" t="s">
        <v>248</v>
      </c>
      <c r="B1" s="81"/>
      <c r="C1" s="81"/>
      <c r="D1" s="81"/>
      <c r="E1" s="81"/>
      <c r="F1" s="81"/>
      <c r="G1" s="81"/>
      <c r="H1" s="81"/>
      <c r="I1" s="81"/>
      <c r="J1" s="81"/>
    </row>
    <row r="2" spans="1:10" ht="15" customHeight="1" x14ac:dyDescent="0.3"/>
    <row r="3" spans="1:10" ht="21.75" customHeight="1" x14ac:dyDescent="0.3">
      <c r="A3" s="12" t="s">
        <v>249</v>
      </c>
      <c r="B3" s="12"/>
      <c r="C3" s="12"/>
      <c r="D3" s="12"/>
      <c r="E3" s="12"/>
      <c r="F3" s="12"/>
      <c r="G3" s="12"/>
      <c r="H3" s="12"/>
      <c r="I3" s="12"/>
      <c r="J3" s="12"/>
    </row>
    <row r="4" spans="1:10" ht="19.5" customHeight="1" x14ac:dyDescent="0.3">
      <c r="A4" s="11" t="s">
        <v>3</v>
      </c>
      <c r="B4" s="11"/>
      <c r="C4" s="11"/>
      <c r="D4" s="11"/>
      <c r="E4" s="11"/>
      <c r="F4" s="11"/>
      <c r="G4" s="11"/>
      <c r="H4" s="11"/>
      <c r="I4" s="11"/>
      <c r="J4" s="11"/>
    </row>
    <row r="5" spans="1:10" ht="36" customHeight="1" x14ac:dyDescent="0.3">
      <c r="A5" s="10" t="s">
        <v>250</v>
      </c>
      <c r="B5" s="10"/>
      <c r="C5" s="10"/>
      <c r="D5" s="10"/>
      <c r="E5" s="10"/>
      <c r="F5" s="10"/>
      <c r="G5" s="10"/>
      <c r="H5" s="10"/>
      <c r="I5" s="10"/>
      <c r="J5" s="10"/>
    </row>
    <row r="6" spans="1:10" ht="27.75" customHeight="1" x14ac:dyDescent="0.3">
      <c r="A6" s="3" t="s">
        <v>251</v>
      </c>
      <c r="B6" s="3"/>
      <c r="C6" s="3"/>
      <c r="D6" s="3"/>
      <c r="E6" s="3"/>
      <c r="F6" s="3"/>
      <c r="G6" s="3"/>
      <c r="H6" s="3"/>
      <c r="I6" s="3"/>
      <c r="J6" s="3"/>
    </row>
    <row r="7" spans="1:10" ht="4.5" customHeight="1" x14ac:dyDescent="0.3">
      <c r="A7" s="9"/>
      <c r="B7" s="9"/>
      <c r="C7" s="9"/>
      <c r="D7" s="9"/>
      <c r="E7" s="9"/>
      <c r="F7" s="9"/>
      <c r="G7" s="9"/>
      <c r="H7" s="9"/>
      <c r="I7" s="9"/>
      <c r="J7" s="9"/>
    </row>
    <row r="8" spans="1:10" ht="19.5" customHeight="1" x14ac:dyDescent="0.3">
      <c r="A8" s="8" t="s">
        <v>160</v>
      </c>
      <c r="B8" s="8"/>
      <c r="C8" s="8"/>
      <c r="D8" s="8"/>
      <c r="E8" s="8"/>
      <c r="F8" s="8"/>
      <c r="G8" s="8"/>
      <c r="H8" s="8"/>
      <c r="I8" s="8"/>
      <c r="J8" s="8"/>
    </row>
    <row r="9" spans="1:10" ht="36" customHeight="1" x14ac:dyDescent="0.3">
      <c r="A9" s="7" t="s">
        <v>252</v>
      </c>
      <c r="B9" s="7"/>
      <c r="C9" s="6" t="s">
        <v>253</v>
      </c>
      <c r="D9" s="6"/>
      <c r="E9" s="6"/>
      <c r="F9" s="6"/>
      <c r="G9" s="6"/>
      <c r="H9" s="6"/>
      <c r="I9" s="6"/>
      <c r="J9" s="6"/>
    </row>
    <row r="10" spans="1:10" ht="36" customHeight="1" x14ac:dyDescent="0.3">
      <c r="A10" s="7" t="s">
        <v>254</v>
      </c>
      <c r="B10" s="7"/>
      <c r="C10" s="6" t="s">
        <v>255</v>
      </c>
      <c r="D10" s="6"/>
      <c r="E10" s="6"/>
      <c r="F10" s="6"/>
      <c r="G10" s="6"/>
      <c r="H10" s="6"/>
      <c r="I10" s="6"/>
      <c r="J10" s="6"/>
    </row>
    <row r="11" spans="1:10" ht="36" customHeight="1" x14ac:dyDescent="0.3">
      <c r="A11" s="7" t="s">
        <v>256</v>
      </c>
      <c r="B11" s="7"/>
      <c r="C11" s="6" t="s">
        <v>257</v>
      </c>
      <c r="D11" s="6"/>
      <c r="E11" s="6"/>
      <c r="F11" s="6"/>
      <c r="G11" s="6"/>
      <c r="H11" s="6"/>
      <c r="I11" s="6"/>
      <c r="J11" s="6"/>
    </row>
    <row r="12" spans="1:10" ht="15" customHeight="1" x14ac:dyDescent="0.3">
      <c r="A12" s="70" t="s">
        <v>93</v>
      </c>
      <c r="B12" s="70"/>
      <c r="C12" s="70"/>
      <c r="D12" s="70"/>
      <c r="E12" s="70"/>
      <c r="F12" s="70"/>
      <c r="G12" s="70"/>
      <c r="H12" s="70"/>
      <c r="I12" s="70"/>
      <c r="J12" s="70"/>
    </row>
    <row r="13" spans="1:10" ht="19.5" customHeight="1" x14ac:dyDescent="0.3">
      <c r="A13" s="71" t="s">
        <v>258</v>
      </c>
      <c r="B13" s="71"/>
      <c r="C13" s="71"/>
      <c r="D13" s="71"/>
      <c r="E13" s="71"/>
      <c r="F13" s="71"/>
      <c r="G13" s="71"/>
      <c r="H13" s="71"/>
      <c r="I13" s="71"/>
      <c r="J13" s="71"/>
    </row>
    <row r="14" spans="1:10" ht="19.5" customHeight="1" x14ac:dyDescent="0.3">
      <c r="A14" s="72" t="s">
        <v>259</v>
      </c>
      <c r="B14" s="72"/>
      <c r="C14" s="72"/>
      <c r="D14" s="72"/>
      <c r="E14" s="72"/>
      <c r="F14" s="72"/>
      <c r="G14" s="72"/>
      <c r="H14" s="72"/>
      <c r="I14" s="72"/>
      <c r="J14" s="72"/>
    </row>
    <row r="15" spans="1:10" ht="36" customHeight="1" x14ac:dyDescent="0.3">
      <c r="A15" s="76" t="s">
        <v>230</v>
      </c>
      <c r="B15" s="76"/>
      <c r="C15" s="77" t="s">
        <v>260</v>
      </c>
      <c r="D15" s="77"/>
      <c r="E15" s="77"/>
      <c r="F15" s="77"/>
      <c r="G15" s="77"/>
      <c r="H15" s="77"/>
      <c r="I15" s="77"/>
      <c r="J15" s="77"/>
    </row>
    <row r="16" spans="1:10" ht="15" customHeight="1" x14ac:dyDescent="0.3"/>
    <row r="17" spans="1:10" ht="15" customHeight="1" x14ac:dyDescent="0.3"/>
    <row r="18" spans="1:10" ht="27.75" customHeight="1" x14ac:dyDescent="0.3">
      <c r="A18" s="23" t="s">
        <v>234</v>
      </c>
      <c r="B18" s="23" t="s">
        <v>235</v>
      </c>
      <c r="C18" s="23" t="s">
        <v>236</v>
      </c>
      <c r="D18" s="23" t="s">
        <v>261</v>
      </c>
      <c r="E18" s="23" t="s">
        <v>262</v>
      </c>
      <c r="F18" s="23" t="s">
        <v>263</v>
      </c>
      <c r="G18" s="23" t="s">
        <v>264</v>
      </c>
      <c r="H18" s="23" t="s">
        <v>242</v>
      </c>
      <c r="I18" s="23" t="s">
        <v>243</v>
      </c>
      <c r="J18" s="23" t="s">
        <v>156</v>
      </c>
    </row>
    <row r="19" spans="1:10" ht="19.5" customHeight="1" x14ac:dyDescent="0.3">
      <c r="A19" s="24"/>
      <c r="B19" s="24"/>
      <c r="C19" s="24"/>
      <c r="D19" s="24"/>
      <c r="E19" s="24"/>
      <c r="F19" s="24"/>
      <c r="G19" s="24"/>
      <c r="H19" s="24"/>
      <c r="I19" s="24"/>
      <c r="J19" s="24"/>
    </row>
    <row r="20" spans="1:10" ht="19.5" customHeight="1" x14ac:dyDescent="0.3">
      <c r="A20" s="25"/>
      <c r="B20" s="25"/>
      <c r="C20" s="25"/>
      <c r="D20" s="25"/>
      <c r="E20" s="25"/>
      <c r="F20" s="25"/>
      <c r="G20" s="25"/>
      <c r="H20" s="25"/>
      <c r="I20" s="25"/>
      <c r="J20" s="25"/>
    </row>
    <row r="21" spans="1:10" ht="19.5" customHeight="1" x14ac:dyDescent="0.3">
      <c r="A21" s="24"/>
      <c r="B21" s="24"/>
      <c r="C21" s="24"/>
      <c r="D21" s="24"/>
      <c r="E21" s="24"/>
      <c r="F21" s="24"/>
      <c r="G21" s="24"/>
      <c r="H21" s="24"/>
      <c r="I21" s="24"/>
      <c r="J21" s="24"/>
    </row>
    <row r="22" spans="1:10" ht="19.5" customHeight="1" x14ac:dyDescent="0.3">
      <c r="A22" s="25"/>
      <c r="B22" s="25"/>
      <c r="C22" s="25"/>
      <c r="D22" s="25"/>
      <c r="E22" s="25"/>
      <c r="F22" s="25"/>
      <c r="G22" s="25"/>
      <c r="H22" s="25"/>
      <c r="I22" s="25"/>
      <c r="J22" s="25"/>
    </row>
    <row r="23" spans="1:10" ht="19.5" customHeight="1" x14ac:dyDescent="0.3">
      <c r="A23" s="24"/>
      <c r="B23" s="24"/>
      <c r="C23" s="24"/>
      <c r="D23" s="24"/>
      <c r="E23" s="24"/>
      <c r="F23" s="24"/>
      <c r="G23" s="24"/>
      <c r="H23" s="24"/>
      <c r="I23" s="24"/>
      <c r="J23" s="24"/>
    </row>
    <row r="24" spans="1:10" ht="19.5" customHeight="1" x14ac:dyDescent="0.3">
      <c r="A24" s="25"/>
      <c r="B24" s="25"/>
      <c r="C24" s="25"/>
      <c r="D24" s="25"/>
      <c r="E24" s="25"/>
      <c r="F24" s="25"/>
      <c r="G24" s="25"/>
      <c r="H24" s="25"/>
      <c r="I24" s="25"/>
      <c r="J24" s="25"/>
    </row>
    <row r="25" spans="1:10" ht="19.5" customHeight="1" x14ac:dyDescent="0.3">
      <c r="A25" s="24"/>
      <c r="B25" s="24"/>
      <c r="C25" s="24"/>
      <c r="D25" s="24"/>
      <c r="E25" s="24"/>
      <c r="F25" s="24"/>
      <c r="G25" s="24"/>
      <c r="H25" s="24"/>
      <c r="I25" s="24"/>
      <c r="J25" s="24"/>
    </row>
    <row r="26" spans="1:10" ht="19.5" customHeight="1" x14ac:dyDescent="0.3">
      <c r="A26" s="25"/>
      <c r="B26" s="25"/>
      <c r="C26" s="25"/>
      <c r="D26" s="25"/>
      <c r="E26" s="25"/>
      <c r="F26" s="25"/>
      <c r="G26" s="25"/>
      <c r="H26" s="25"/>
      <c r="I26" s="25"/>
      <c r="J26" s="25"/>
    </row>
    <row r="27" spans="1:10" ht="19.5" customHeight="1" x14ac:dyDescent="0.3">
      <c r="A27" s="24"/>
      <c r="B27" s="24"/>
      <c r="C27" s="24"/>
      <c r="D27" s="24"/>
      <c r="E27" s="24"/>
      <c r="F27" s="24"/>
      <c r="G27" s="24"/>
      <c r="H27" s="24"/>
      <c r="I27" s="24"/>
      <c r="J27" s="24"/>
    </row>
    <row r="28" spans="1:10" ht="19.5" customHeight="1" x14ac:dyDescent="0.3">
      <c r="A28" s="25"/>
      <c r="B28" s="25"/>
      <c r="C28" s="25"/>
      <c r="D28" s="25"/>
      <c r="E28" s="25"/>
      <c r="F28" s="25"/>
      <c r="G28" s="25"/>
      <c r="H28" s="25"/>
      <c r="I28" s="25"/>
      <c r="J28" s="25"/>
    </row>
    <row r="29" spans="1:10" ht="19.5" customHeight="1" x14ac:dyDescent="0.3">
      <c r="A29" s="24"/>
      <c r="B29" s="24"/>
      <c r="C29" s="24"/>
      <c r="D29" s="24"/>
      <c r="E29" s="24"/>
      <c r="F29" s="24"/>
      <c r="G29" s="24"/>
      <c r="H29" s="24"/>
      <c r="I29" s="24"/>
      <c r="J29" s="24"/>
    </row>
    <row r="30" spans="1:10" ht="19.5" customHeight="1" x14ac:dyDescent="0.3">
      <c r="A30" s="25"/>
      <c r="B30" s="25"/>
      <c r="C30" s="25"/>
      <c r="D30" s="25"/>
      <c r="E30" s="25"/>
      <c r="F30" s="25"/>
      <c r="G30" s="25"/>
      <c r="H30" s="25"/>
      <c r="I30" s="25"/>
      <c r="J30" s="25"/>
    </row>
    <row r="31" spans="1:10" ht="19.5" customHeight="1" x14ac:dyDescent="0.3">
      <c r="A31" s="24"/>
      <c r="B31" s="24"/>
      <c r="C31" s="24"/>
      <c r="D31" s="24"/>
      <c r="E31" s="24"/>
      <c r="F31" s="24"/>
      <c r="G31" s="24"/>
      <c r="H31" s="24"/>
      <c r="I31" s="24"/>
      <c r="J31" s="24"/>
    </row>
    <row r="32" spans="1:10" ht="19.5" customHeight="1" x14ac:dyDescent="0.3">
      <c r="A32" s="25"/>
      <c r="B32" s="25"/>
      <c r="C32" s="25"/>
      <c r="D32" s="25"/>
      <c r="E32" s="25"/>
      <c r="F32" s="25"/>
      <c r="G32" s="25"/>
      <c r="H32" s="25"/>
      <c r="I32" s="25"/>
      <c r="J32" s="25"/>
    </row>
    <row r="33" spans="1:10" ht="19.5" customHeight="1" x14ac:dyDescent="0.3">
      <c r="A33" s="24"/>
      <c r="B33" s="24"/>
      <c r="C33" s="24"/>
      <c r="D33" s="24"/>
      <c r="E33" s="24"/>
      <c r="F33" s="24"/>
      <c r="G33" s="24"/>
      <c r="H33" s="24"/>
      <c r="I33" s="24"/>
      <c r="J33" s="24"/>
    </row>
    <row r="34" spans="1:10" ht="19.5" customHeight="1" x14ac:dyDescent="0.3">
      <c r="A34" s="25"/>
      <c r="B34" s="25"/>
      <c r="C34" s="25"/>
      <c r="D34" s="25"/>
      <c r="E34" s="25"/>
      <c r="F34" s="25"/>
      <c r="G34" s="25"/>
      <c r="H34" s="25"/>
      <c r="I34" s="25"/>
      <c r="J34" s="25"/>
    </row>
    <row r="35" spans="1:10" ht="19.5" customHeight="1" x14ac:dyDescent="0.3">
      <c r="A35" s="24"/>
      <c r="B35" s="24"/>
      <c r="C35" s="24"/>
      <c r="D35" s="24"/>
      <c r="E35" s="24"/>
      <c r="F35" s="24"/>
      <c r="G35" s="24"/>
      <c r="H35" s="24"/>
      <c r="I35" s="24"/>
      <c r="J35" s="24"/>
    </row>
    <row r="36" spans="1:10" ht="19.5" customHeight="1" x14ac:dyDescent="0.3">
      <c r="A36" s="25"/>
      <c r="B36" s="25"/>
      <c r="C36" s="25"/>
      <c r="D36" s="25"/>
      <c r="E36" s="25"/>
      <c r="F36" s="25"/>
      <c r="G36" s="25"/>
      <c r="H36" s="25"/>
      <c r="I36" s="25"/>
      <c r="J36" s="25"/>
    </row>
    <row r="37" spans="1:10" ht="19.5" customHeight="1" x14ac:dyDescent="0.3">
      <c r="A37" s="24"/>
      <c r="B37" s="24"/>
      <c r="C37" s="24"/>
      <c r="D37" s="24"/>
      <c r="E37" s="24"/>
      <c r="F37" s="24"/>
      <c r="G37" s="24"/>
      <c r="H37" s="24"/>
      <c r="I37" s="24"/>
      <c r="J37" s="24"/>
    </row>
    <row r="38" spans="1:10" ht="19.5" customHeight="1" x14ac:dyDescent="0.3">
      <c r="A38" s="25"/>
      <c r="B38" s="25"/>
      <c r="C38" s="25"/>
      <c r="D38" s="25"/>
      <c r="E38" s="25"/>
      <c r="F38" s="25"/>
      <c r="G38" s="25"/>
      <c r="H38" s="25"/>
      <c r="I38" s="25"/>
      <c r="J38" s="25"/>
    </row>
    <row r="39" spans="1:10" ht="19.5" customHeight="1" x14ac:dyDescent="0.3">
      <c r="A39" s="24"/>
      <c r="B39" s="24"/>
      <c r="C39" s="24"/>
      <c r="D39" s="24"/>
      <c r="E39" s="24"/>
      <c r="F39" s="24"/>
      <c r="G39" s="24"/>
      <c r="H39" s="24"/>
      <c r="I39" s="24"/>
      <c r="J39" s="24"/>
    </row>
    <row r="40" spans="1:10" ht="19.5" customHeight="1" x14ac:dyDescent="0.3">
      <c r="A40" s="25"/>
      <c r="B40" s="25"/>
      <c r="C40" s="25"/>
      <c r="D40" s="25"/>
      <c r="E40" s="25"/>
      <c r="F40" s="25"/>
      <c r="G40" s="25"/>
      <c r="H40" s="25"/>
      <c r="I40" s="25"/>
      <c r="J40" s="25"/>
    </row>
    <row r="41" spans="1:10" ht="19.5" customHeight="1" x14ac:dyDescent="0.3">
      <c r="A41" s="24"/>
      <c r="B41" s="24"/>
      <c r="C41" s="24"/>
      <c r="D41" s="24"/>
      <c r="E41" s="24"/>
      <c r="F41" s="24"/>
      <c r="G41" s="24"/>
      <c r="H41" s="24"/>
      <c r="I41" s="24"/>
      <c r="J41" s="24"/>
    </row>
    <row r="42" spans="1:10" ht="19.5" customHeight="1" x14ac:dyDescent="0.3">
      <c r="A42" s="25"/>
      <c r="B42" s="25"/>
      <c r="C42" s="25"/>
      <c r="D42" s="25"/>
      <c r="E42" s="25"/>
      <c r="F42" s="25"/>
      <c r="G42" s="25"/>
      <c r="H42" s="25"/>
      <c r="I42" s="25"/>
      <c r="J42" s="25"/>
    </row>
    <row r="43" spans="1:10" ht="19.5" customHeight="1" x14ac:dyDescent="0.3">
      <c r="A43" s="24"/>
      <c r="B43" s="24"/>
      <c r="C43" s="24"/>
      <c r="D43" s="24"/>
      <c r="E43" s="24"/>
      <c r="F43" s="24"/>
      <c r="G43" s="24"/>
      <c r="H43" s="24"/>
      <c r="I43" s="24"/>
      <c r="J43" s="24"/>
    </row>
    <row r="44" spans="1:10" ht="19.5" customHeight="1" x14ac:dyDescent="0.3">
      <c r="A44" s="25"/>
      <c r="B44" s="25"/>
      <c r="C44" s="25"/>
      <c r="D44" s="25"/>
      <c r="E44" s="25"/>
      <c r="F44" s="25"/>
      <c r="G44" s="25"/>
      <c r="H44" s="25"/>
      <c r="I44" s="25"/>
      <c r="J44" s="25"/>
    </row>
    <row r="45" spans="1:10" ht="19.5" customHeight="1" x14ac:dyDescent="0.3">
      <c r="A45" s="24"/>
      <c r="B45" s="24"/>
      <c r="C45" s="24"/>
      <c r="D45" s="24"/>
      <c r="E45" s="24"/>
      <c r="F45" s="24"/>
      <c r="G45" s="24"/>
      <c r="H45" s="24"/>
      <c r="I45" s="24"/>
      <c r="J45" s="24"/>
    </row>
    <row r="46" spans="1:10" ht="19.5" customHeight="1" x14ac:dyDescent="0.3">
      <c r="A46" s="25"/>
      <c r="B46" s="25"/>
      <c r="C46" s="25"/>
      <c r="D46" s="25"/>
      <c r="E46" s="25"/>
      <c r="F46" s="25"/>
      <c r="G46" s="25"/>
      <c r="H46" s="25"/>
      <c r="I46" s="25"/>
      <c r="J46" s="25"/>
    </row>
    <row r="47" spans="1:10" ht="19.5" customHeight="1" x14ac:dyDescent="0.3">
      <c r="A47" s="24"/>
      <c r="B47" s="24"/>
      <c r="C47" s="24"/>
      <c r="D47" s="24"/>
      <c r="E47" s="24"/>
      <c r="F47" s="24"/>
      <c r="G47" s="24"/>
      <c r="H47" s="24"/>
      <c r="I47" s="24"/>
      <c r="J47" s="24"/>
    </row>
    <row r="48" spans="1:10" ht="19.5" customHeight="1" x14ac:dyDescent="0.3">
      <c r="A48" s="25"/>
      <c r="B48" s="25"/>
      <c r="C48" s="25"/>
      <c r="D48" s="25"/>
      <c r="E48" s="25"/>
      <c r="F48" s="25"/>
      <c r="G48" s="25"/>
      <c r="H48" s="25"/>
      <c r="I48" s="25"/>
      <c r="J48" s="25"/>
    </row>
    <row r="49" spans="1:10" ht="19.5" customHeight="1" x14ac:dyDescent="0.3">
      <c r="A49" s="24"/>
      <c r="B49" s="24"/>
      <c r="C49" s="24"/>
      <c r="D49" s="24"/>
      <c r="E49" s="24"/>
      <c r="F49" s="24"/>
      <c r="G49" s="24"/>
      <c r="H49" s="24"/>
      <c r="I49" s="24"/>
      <c r="J49" s="24"/>
    </row>
    <row r="50" spans="1:10" ht="19.5" customHeight="1" x14ac:dyDescent="0.3">
      <c r="A50" s="25"/>
      <c r="B50" s="25"/>
      <c r="C50" s="25"/>
      <c r="D50" s="25"/>
      <c r="E50" s="25"/>
      <c r="F50" s="25"/>
      <c r="G50" s="25"/>
      <c r="H50" s="25"/>
      <c r="I50" s="25"/>
      <c r="J50" s="25"/>
    </row>
    <row r="51" spans="1:10" ht="19.5" customHeight="1" x14ac:dyDescent="0.3">
      <c r="A51" s="24"/>
      <c r="B51" s="24"/>
      <c r="C51" s="24"/>
      <c r="D51" s="24"/>
      <c r="E51" s="24"/>
      <c r="F51" s="24"/>
      <c r="G51" s="24"/>
      <c r="H51" s="24"/>
      <c r="I51" s="24"/>
      <c r="J51" s="24"/>
    </row>
    <row r="52" spans="1:10" ht="19.5" customHeight="1" x14ac:dyDescent="0.3">
      <c r="A52" s="25"/>
      <c r="B52" s="25"/>
      <c r="C52" s="25"/>
      <c r="D52" s="25"/>
      <c r="E52" s="25"/>
      <c r="F52" s="25"/>
      <c r="G52" s="25"/>
      <c r="H52" s="25"/>
      <c r="I52" s="25"/>
      <c r="J52" s="25"/>
    </row>
    <row r="53" spans="1:10" ht="19.5" customHeight="1" x14ac:dyDescent="0.3">
      <c r="A53" s="24"/>
      <c r="B53" s="24"/>
      <c r="C53" s="24"/>
      <c r="D53" s="24"/>
      <c r="E53" s="24"/>
      <c r="F53" s="24"/>
      <c r="G53" s="24"/>
      <c r="H53" s="24"/>
      <c r="I53" s="24"/>
      <c r="J53" s="24"/>
    </row>
    <row r="54" spans="1:10" ht="19.5" customHeight="1" x14ac:dyDescent="0.3">
      <c r="A54" s="25"/>
      <c r="B54" s="25"/>
      <c r="C54" s="25"/>
      <c r="D54" s="25"/>
      <c r="E54" s="25"/>
      <c r="F54" s="25"/>
      <c r="G54" s="25"/>
      <c r="H54" s="25"/>
      <c r="I54" s="25"/>
      <c r="J54" s="25"/>
    </row>
    <row r="55" spans="1:10" ht="19.5" customHeight="1" x14ac:dyDescent="0.3">
      <c r="A55" s="24"/>
      <c r="B55" s="24"/>
      <c r="C55" s="24"/>
      <c r="D55" s="24"/>
      <c r="E55" s="24"/>
      <c r="F55" s="24"/>
      <c r="G55" s="24"/>
      <c r="H55" s="24"/>
      <c r="I55" s="24"/>
      <c r="J55" s="24"/>
    </row>
    <row r="56" spans="1:10" ht="19.5" customHeight="1" x14ac:dyDescent="0.3">
      <c r="A56" s="25"/>
      <c r="B56" s="25"/>
      <c r="C56" s="25"/>
      <c r="D56" s="25"/>
      <c r="E56" s="25"/>
      <c r="F56" s="25"/>
      <c r="G56" s="25"/>
      <c r="H56" s="25"/>
      <c r="I56" s="25"/>
      <c r="J56" s="25"/>
    </row>
    <row r="57" spans="1:10" ht="19.5" customHeight="1" x14ac:dyDescent="0.3">
      <c r="A57" s="24"/>
      <c r="B57" s="24"/>
      <c r="C57" s="24"/>
      <c r="D57" s="24"/>
      <c r="E57" s="24"/>
      <c r="F57" s="24"/>
      <c r="G57" s="24"/>
      <c r="H57" s="24"/>
      <c r="I57" s="24"/>
      <c r="J57" s="24"/>
    </row>
    <row r="58" spans="1:10" ht="19.5" customHeight="1" x14ac:dyDescent="0.3">
      <c r="A58" s="25"/>
      <c r="B58" s="25"/>
      <c r="C58" s="25"/>
      <c r="D58" s="25"/>
      <c r="E58" s="25"/>
      <c r="F58" s="25"/>
      <c r="G58" s="25"/>
      <c r="H58" s="25"/>
      <c r="I58" s="25"/>
      <c r="J58" s="25"/>
    </row>
    <row r="59" spans="1:10" ht="19.5" customHeight="1" x14ac:dyDescent="0.3">
      <c r="A59" s="24"/>
      <c r="B59" s="24"/>
      <c r="C59" s="24"/>
      <c r="D59" s="24"/>
      <c r="E59" s="24"/>
      <c r="F59" s="24"/>
      <c r="G59" s="24"/>
      <c r="H59" s="24"/>
      <c r="I59" s="24"/>
      <c r="J59" s="24"/>
    </row>
    <row r="60" spans="1:10" ht="19.5" customHeight="1" x14ac:dyDescent="0.3">
      <c r="A60" s="25"/>
      <c r="B60" s="25"/>
      <c r="C60" s="25"/>
      <c r="D60" s="25"/>
      <c r="E60" s="25"/>
      <c r="F60" s="25"/>
      <c r="G60" s="25"/>
      <c r="H60" s="25"/>
      <c r="I60" s="25"/>
      <c r="J60" s="25"/>
    </row>
    <row r="61" spans="1:10" ht="19.5" customHeight="1" x14ac:dyDescent="0.3">
      <c r="A61" s="24"/>
      <c r="B61" s="24"/>
      <c r="C61" s="24"/>
      <c r="D61" s="24"/>
      <c r="E61" s="24"/>
      <c r="F61" s="24"/>
      <c r="G61" s="24"/>
      <c r="H61" s="24"/>
      <c r="I61" s="24"/>
      <c r="J61" s="24"/>
    </row>
    <row r="62" spans="1:10" ht="19.5" customHeight="1" x14ac:dyDescent="0.3">
      <c r="A62" s="25"/>
      <c r="B62" s="25"/>
      <c r="C62" s="25"/>
      <c r="D62" s="25"/>
      <c r="E62" s="25"/>
      <c r="F62" s="25"/>
      <c r="G62" s="25"/>
      <c r="H62" s="25"/>
      <c r="I62" s="25"/>
      <c r="J62" s="25"/>
    </row>
    <row r="63" spans="1:10" ht="19.5" customHeight="1" x14ac:dyDescent="0.3">
      <c r="A63" s="24"/>
      <c r="B63" s="24"/>
      <c r="C63" s="24"/>
      <c r="D63" s="24"/>
      <c r="E63" s="24"/>
      <c r="F63" s="24"/>
      <c r="G63" s="24"/>
      <c r="H63" s="24"/>
      <c r="I63" s="24"/>
      <c r="J63" s="24"/>
    </row>
    <row r="64" spans="1:10" ht="19.5" customHeight="1" x14ac:dyDescent="0.3">
      <c r="A64" s="25"/>
      <c r="B64" s="25"/>
      <c r="C64" s="25"/>
      <c r="D64" s="25"/>
      <c r="E64" s="25"/>
      <c r="F64" s="25"/>
      <c r="G64" s="25"/>
      <c r="H64" s="25"/>
      <c r="I64" s="25"/>
      <c r="J64" s="25"/>
    </row>
    <row r="65" spans="1:10" ht="19.5" customHeight="1" x14ac:dyDescent="0.3">
      <c r="A65" s="24"/>
      <c r="B65" s="24"/>
      <c r="C65" s="24"/>
      <c r="D65" s="24"/>
      <c r="E65" s="24"/>
      <c r="F65" s="24"/>
      <c r="G65" s="24"/>
      <c r="H65" s="24"/>
      <c r="I65" s="24"/>
      <c r="J65" s="24"/>
    </row>
    <row r="66" spans="1:10" ht="19.5" customHeight="1" x14ac:dyDescent="0.3">
      <c r="A66" s="25"/>
      <c r="B66" s="25"/>
      <c r="C66" s="25"/>
      <c r="D66" s="25"/>
      <c r="E66" s="25"/>
      <c r="F66" s="25"/>
      <c r="G66" s="25"/>
      <c r="H66" s="25"/>
      <c r="I66" s="25"/>
      <c r="J66" s="25"/>
    </row>
    <row r="67" spans="1:10" ht="19.5" customHeight="1" x14ac:dyDescent="0.3">
      <c r="A67" s="24"/>
      <c r="B67" s="24"/>
      <c r="C67" s="24"/>
      <c r="D67" s="24"/>
      <c r="E67" s="24"/>
      <c r="F67" s="24"/>
      <c r="G67" s="24"/>
      <c r="H67" s="24"/>
      <c r="I67" s="24"/>
      <c r="J67" s="24"/>
    </row>
    <row r="68" spans="1:10" ht="19.5" customHeight="1" x14ac:dyDescent="0.3">
      <c r="A68" s="25"/>
      <c r="B68" s="25"/>
      <c r="C68" s="25"/>
      <c r="D68" s="25"/>
      <c r="E68" s="25"/>
      <c r="F68" s="25"/>
      <c r="G68" s="25"/>
      <c r="H68" s="25"/>
      <c r="I68" s="25"/>
      <c r="J68" s="25"/>
    </row>
  </sheetData>
  <mergeCells count="18">
    <mergeCell ref="A15:B15"/>
    <mergeCell ref="C15:J15"/>
    <mergeCell ref="A11:B11"/>
    <mergeCell ref="C11:J11"/>
    <mergeCell ref="A12:J12"/>
    <mergeCell ref="A13:J13"/>
    <mergeCell ref="A14:J14"/>
    <mergeCell ref="A7:J7"/>
    <mergeCell ref="A8:J8"/>
    <mergeCell ref="A9:B9"/>
    <mergeCell ref="C9:J9"/>
    <mergeCell ref="A10:B10"/>
    <mergeCell ref="C10:J10"/>
    <mergeCell ref="A1:J1"/>
    <mergeCell ref="A3:J3"/>
    <mergeCell ref="A4:J4"/>
    <mergeCell ref="A5:J5"/>
    <mergeCell ref="A6:J6"/>
  </mergeCells>
  <conditionalFormatting sqref="J19:J68">
    <cfRule type="expression" dxfId="17" priority="2">
      <formula>J19="Godkendt"</formula>
    </cfRule>
    <cfRule type="expression" dxfId="16" priority="3">
      <formula>J19="Afvigelse"</formula>
    </cfRule>
    <cfRule type="expression" dxfId="15" priority="4">
      <formula>J19="Under behandling"</formula>
    </cfRule>
  </conditionalFormatting>
  <dataValidations count="3">
    <dataValidation type="list" allowBlank="1" showErrorMessage="1" errorTitle="Ugyldig" error="Vælg fra listen." sqref="D19:D68" xr:uid="{00000000-0002-0000-0500-000000000000}">
      <formula1>"Ny installation,Udvidelse,Reparation,Service,Gas"</formula1>
      <formula2>0</formula2>
    </dataValidation>
    <dataValidation type="list" allowBlank="1" showErrorMessage="1" errorTitle="Ugyldig" error="Vælg fra listen." sqref="E19:F68" xr:uid="{00000000-0002-0000-0500-000001000000}">
      <formula1>"OK,Ikke OK,N/A"</formula1>
      <formula2>0</formula2>
    </dataValidation>
    <dataValidation type="list" allowBlank="1" showErrorMessage="1" errorTitle="Ugyldig" error="Vælg fra listen." sqref="J19:J68" xr:uid="{00000000-0002-0000-0500-000003000000}">
      <formula1>"Godkendt,Afvigelse,Under behandling,Afventer"</formula1>
      <formula2>0</formula2>
    </dataValidation>
  </dataValidations>
  <pageMargins left="0.5" right="0.5" top="0.75" bottom="0.75" header="0.5" footer="0.5"/>
  <pageSetup orientation="landscape" horizontalDpi="300" verticalDpi="300"/>
  <headerFooter>
    <oddHeader>&amp;CKLS — Slutkontrol VVS</oddHeader>
    <oddFooter>&amp;CKLS Kvalitetsledelsessystem  ·  Side &amp;P af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B4513"/>
    <pageSetUpPr fitToPage="1"/>
  </sheetPr>
  <dimension ref="A1:J68"/>
  <sheetViews>
    <sheetView zoomScaleNormal="100" workbookViewId="0">
      <pane ySplit="18" topLeftCell="A19" activePane="bottomLeft" state="frozen"/>
      <selection pane="bottomLeft" sqref="A1:J1"/>
    </sheetView>
  </sheetViews>
  <sheetFormatPr defaultColWidth="8.6640625" defaultRowHeight="14.4" x14ac:dyDescent="0.3"/>
  <cols>
    <col min="1" max="2" width="12" customWidth="1"/>
    <col min="3" max="3" width="30" customWidth="1"/>
    <col min="4" max="4" width="18" customWidth="1"/>
    <col min="5" max="5" width="16" customWidth="1"/>
    <col min="6" max="8" width="18" customWidth="1"/>
    <col min="9" max="9" width="20" customWidth="1"/>
    <col min="10" max="10" width="18" customWidth="1"/>
  </cols>
  <sheetData>
    <row r="1" spans="1:10" ht="42" customHeight="1" x14ac:dyDescent="0.3">
      <c r="A1" s="82" t="s">
        <v>265</v>
      </c>
      <c r="B1" s="82"/>
      <c r="C1" s="82"/>
      <c r="D1" s="82"/>
      <c r="E1" s="82"/>
      <c r="F1" s="82"/>
      <c r="G1" s="82"/>
      <c r="H1" s="82"/>
      <c r="I1" s="82"/>
      <c r="J1" s="82"/>
    </row>
    <row r="2" spans="1:10" ht="15" customHeight="1" x14ac:dyDescent="0.3"/>
    <row r="3" spans="1:10" ht="21.75" customHeight="1" x14ac:dyDescent="0.3">
      <c r="A3" s="12" t="s">
        <v>266</v>
      </c>
      <c r="B3" s="12"/>
      <c r="C3" s="12"/>
      <c r="D3" s="12"/>
      <c r="E3" s="12"/>
      <c r="F3" s="12"/>
      <c r="G3" s="12"/>
      <c r="H3" s="12"/>
      <c r="I3" s="12"/>
      <c r="J3" s="12"/>
    </row>
    <row r="4" spans="1:10" ht="19.5" customHeight="1" x14ac:dyDescent="0.3">
      <c r="A4" s="11" t="s">
        <v>3</v>
      </c>
      <c r="B4" s="11"/>
      <c r="C4" s="11"/>
      <c r="D4" s="11"/>
      <c r="E4" s="11"/>
      <c r="F4" s="11"/>
      <c r="G4" s="11"/>
      <c r="H4" s="11"/>
      <c r="I4" s="11"/>
      <c r="J4" s="11"/>
    </row>
    <row r="5" spans="1:10" ht="36" customHeight="1" x14ac:dyDescent="0.3">
      <c r="A5" s="10" t="s">
        <v>267</v>
      </c>
      <c r="B5" s="10"/>
      <c r="C5" s="10"/>
      <c r="D5" s="10"/>
      <c r="E5" s="10"/>
      <c r="F5" s="10"/>
      <c r="G5" s="10"/>
      <c r="H5" s="10"/>
      <c r="I5" s="10"/>
      <c r="J5" s="10"/>
    </row>
    <row r="6" spans="1:10" ht="27.75" customHeight="1" x14ac:dyDescent="0.3">
      <c r="A6" s="3" t="s">
        <v>268</v>
      </c>
      <c r="B6" s="3"/>
      <c r="C6" s="3"/>
      <c r="D6" s="3"/>
      <c r="E6" s="3"/>
      <c r="F6" s="3"/>
      <c r="G6" s="3"/>
      <c r="H6" s="3"/>
      <c r="I6" s="3"/>
      <c r="J6" s="3"/>
    </row>
    <row r="7" spans="1:10" ht="4.5" customHeight="1" x14ac:dyDescent="0.3">
      <c r="A7" s="9"/>
      <c r="B7" s="9"/>
      <c r="C7" s="9"/>
      <c r="D7" s="9"/>
      <c r="E7" s="9"/>
      <c r="F7" s="9"/>
      <c r="G7" s="9"/>
      <c r="H7" s="9"/>
      <c r="I7" s="9"/>
      <c r="J7" s="9"/>
    </row>
    <row r="8" spans="1:10" ht="19.5" customHeight="1" x14ac:dyDescent="0.3">
      <c r="A8" s="8" t="s">
        <v>160</v>
      </c>
      <c r="B8" s="8"/>
      <c r="C8" s="8"/>
      <c r="D8" s="8"/>
      <c r="E8" s="8"/>
      <c r="F8" s="8"/>
      <c r="G8" s="8"/>
      <c r="H8" s="8"/>
      <c r="I8" s="8"/>
      <c r="J8" s="8"/>
    </row>
    <row r="9" spans="1:10" ht="36" customHeight="1" x14ac:dyDescent="0.3">
      <c r="A9" s="7" t="s">
        <v>269</v>
      </c>
      <c r="B9" s="7"/>
      <c r="C9" s="6" t="s">
        <v>270</v>
      </c>
      <c r="D9" s="6"/>
      <c r="E9" s="6"/>
      <c r="F9" s="6"/>
      <c r="G9" s="6"/>
      <c r="H9" s="6"/>
      <c r="I9" s="6"/>
      <c r="J9" s="6"/>
    </row>
    <row r="10" spans="1:10" ht="36" customHeight="1" x14ac:dyDescent="0.3">
      <c r="A10" s="7" t="s">
        <v>271</v>
      </c>
      <c r="B10" s="7"/>
      <c r="C10" s="6" t="s">
        <v>272</v>
      </c>
      <c r="D10" s="6"/>
      <c r="E10" s="6"/>
      <c r="F10" s="6"/>
      <c r="G10" s="6"/>
      <c r="H10" s="6"/>
      <c r="I10" s="6"/>
      <c r="J10" s="6"/>
    </row>
    <row r="11" spans="1:10" ht="36" customHeight="1" x14ac:dyDescent="0.3">
      <c r="A11" s="7" t="s">
        <v>273</v>
      </c>
      <c r="B11" s="7"/>
      <c r="C11" s="6" t="s">
        <v>274</v>
      </c>
      <c r="D11" s="6"/>
      <c r="E11" s="6"/>
      <c r="F11" s="6"/>
      <c r="G11" s="6"/>
      <c r="H11" s="6"/>
      <c r="I11" s="6"/>
      <c r="J11" s="6"/>
    </row>
    <row r="12" spans="1:10" ht="15" customHeight="1" x14ac:dyDescent="0.3">
      <c r="A12" s="70" t="s">
        <v>93</v>
      </c>
      <c r="B12" s="70"/>
      <c r="C12" s="70"/>
      <c r="D12" s="70"/>
      <c r="E12" s="70"/>
      <c r="F12" s="70"/>
      <c r="G12" s="70"/>
      <c r="H12" s="70"/>
      <c r="I12" s="70"/>
      <c r="J12" s="70"/>
    </row>
    <row r="13" spans="1:10" ht="19.5" customHeight="1" x14ac:dyDescent="0.3">
      <c r="A13" s="71" t="s">
        <v>275</v>
      </c>
      <c r="B13" s="71"/>
      <c r="C13" s="71"/>
      <c r="D13" s="71"/>
      <c r="E13" s="71"/>
      <c r="F13" s="71"/>
      <c r="G13" s="71"/>
      <c r="H13" s="71"/>
      <c r="I13" s="71"/>
      <c r="J13" s="71"/>
    </row>
    <row r="14" spans="1:10" ht="19.5" customHeight="1" x14ac:dyDescent="0.3">
      <c r="A14" s="72" t="s">
        <v>276</v>
      </c>
      <c r="B14" s="72"/>
      <c r="C14" s="72"/>
      <c r="D14" s="72"/>
      <c r="E14" s="72"/>
      <c r="F14" s="72"/>
      <c r="G14" s="72"/>
      <c r="H14" s="72"/>
      <c r="I14" s="72"/>
      <c r="J14" s="72"/>
    </row>
    <row r="15" spans="1:10" ht="36" customHeight="1" x14ac:dyDescent="0.3">
      <c r="A15" s="5" t="s">
        <v>277</v>
      </c>
      <c r="B15" s="5"/>
      <c r="C15" s="4" t="s">
        <v>278</v>
      </c>
      <c r="D15" s="4"/>
      <c r="E15" s="4"/>
      <c r="F15" s="4"/>
      <c r="G15" s="4"/>
      <c r="H15" s="4"/>
      <c r="I15" s="4"/>
      <c r="J15" s="4"/>
    </row>
    <row r="16" spans="1:10" ht="15" customHeight="1" x14ac:dyDescent="0.3"/>
    <row r="17" spans="1:10" ht="15" customHeight="1" x14ac:dyDescent="0.3"/>
    <row r="18" spans="1:10" ht="27.75" customHeight="1" x14ac:dyDescent="0.3">
      <c r="A18" s="36" t="s">
        <v>234</v>
      </c>
      <c r="B18" s="36" t="s">
        <v>235</v>
      </c>
      <c r="C18" s="36" t="s">
        <v>236</v>
      </c>
      <c r="D18" s="36" t="s">
        <v>261</v>
      </c>
      <c r="E18" s="36" t="s">
        <v>279</v>
      </c>
      <c r="F18" s="36" t="s">
        <v>263</v>
      </c>
      <c r="G18" s="36" t="s">
        <v>280</v>
      </c>
      <c r="H18" s="36" t="s">
        <v>242</v>
      </c>
      <c r="I18" s="36" t="s">
        <v>243</v>
      </c>
      <c r="J18" s="36" t="s">
        <v>156</v>
      </c>
    </row>
    <row r="19" spans="1:10" ht="19.5" customHeight="1" x14ac:dyDescent="0.3">
      <c r="A19" s="24"/>
      <c r="B19" s="24"/>
      <c r="C19" s="24"/>
      <c r="D19" s="24"/>
      <c r="E19" s="24"/>
      <c r="F19" s="24"/>
      <c r="G19" s="24"/>
      <c r="H19" s="24"/>
      <c r="I19" s="24"/>
      <c r="J19" s="24"/>
    </row>
    <row r="20" spans="1:10" ht="19.5" customHeight="1" x14ac:dyDescent="0.3">
      <c r="A20" s="37"/>
      <c r="B20" s="37"/>
      <c r="C20" s="37"/>
      <c r="D20" s="37"/>
      <c r="E20" s="37"/>
      <c r="F20" s="37"/>
      <c r="G20" s="37"/>
      <c r="H20" s="37"/>
      <c r="I20" s="37"/>
      <c r="J20" s="37"/>
    </row>
    <row r="21" spans="1:10" ht="19.5" customHeight="1" x14ac:dyDescent="0.3">
      <c r="A21" s="24"/>
      <c r="B21" s="24"/>
      <c r="C21" s="24"/>
      <c r="D21" s="24"/>
      <c r="E21" s="24"/>
      <c r="F21" s="24"/>
      <c r="G21" s="24"/>
      <c r="H21" s="24"/>
      <c r="I21" s="24"/>
      <c r="J21" s="24"/>
    </row>
    <row r="22" spans="1:10" ht="19.5" customHeight="1" x14ac:dyDescent="0.3">
      <c r="A22" s="37"/>
      <c r="B22" s="37"/>
      <c r="C22" s="37"/>
      <c r="D22" s="37"/>
      <c r="E22" s="37"/>
      <c r="F22" s="37"/>
      <c r="G22" s="37"/>
      <c r="H22" s="37"/>
      <c r="I22" s="37"/>
      <c r="J22" s="37"/>
    </row>
    <row r="23" spans="1:10" ht="19.5" customHeight="1" x14ac:dyDescent="0.3">
      <c r="A23" s="24"/>
      <c r="B23" s="24"/>
      <c r="C23" s="24"/>
      <c r="D23" s="24"/>
      <c r="E23" s="24"/>
      <c r="F23" s="24"/>
      <c r="G23" s="24"/>
      <c r="H23" s="24"/>
      <c r="I23" s="24"/>
      <c r="J23" s="24"/>
    </row>
    <row r="24" spans="1:10" ht="19.5" customHeight="1" x14ac:dyDescent="0.3">
      <c r="A24" s="37"/>
      <c r="B24" s="37"/>
      <c r="C24" s="37"/>
      <c r="D24" s="37"/>
      <c r="E24" s="37"/>
      <c r="F24" s="37"/>
      <c r="G24" s="37"/>
      <c r="H24" s="37"/>
      <c r="I24" s="37"/>
      <c r="J24" s="37"/>
    </row>
    <row r="25" spans="1:10" ht="19.5" customHeight="1" x14ac:dyDescent="0.3">
      <c r="A25" s="24"/>
      <c r="B25" s="24"/>
      <c r="C25" s="24"/>
      <c r="D25" s="24"/>
      <c r="E25" s="24"/>
      <c r="F25" s="24"/>
      <c r="G25" s="24"/>
      <c r="H25" s="24"/>
      <c r="I25" s="24"/>
      <c r="J25" s="24"/>
    </row>
    <row r="26" spans="1:10" ht="19.5" customHeight="1" x14ac:dyDescent="0.3">
      <c r="A26" s="37"/>
      <c r="B26" s="37"/>
      <c r="C26" s="37"/>
      <c r="D26" s="37"/>
      <c r="E26" s="37"/>
      <c r="F26" s="37"/>
      <c r="G26" s="37"/>
      <c r="H26" s="37"/>
      <c r="I26" s="37"/>
      <c r="J26" s="37"/>
    </row>
    <row r="27" spans="1:10" ht="19.5" customHeight="1" x14ac:dyDescent="0.3">
      <c r="A27" s="24"/>
      <c r="B27" s="24"/>
      <c r="C27" s="24"/>
      <c r="D27" s="24"/>
      <c r="E27" s="24"/>
      <c r="F27" s="24"/>
      <c r="G27" s="24"/>
      <c r="H27" s="24"/>
      <c r="I27" s="24"/>
      <c r="J27" s="24"/>
    </row>
    <row r="28" spans="1:10" ht="19.5" customHeight="1" x14ac:dyDescent="0.3">
      <c r="A28" s="37"/>
      <c r="B28" s="37"/>
      <c r="C28" s="37"/>
      <c r="D28" s="37"/>
      <c r="E28" s="37"/>
      <c r="F28" s="37"/>
      <c r="G28" s="37"/>
      <c r="H28" s="37"/>
      <c r="I28" s="37"/>
      <c r="J28" s="37"/>
    </row>
    <row r="29" spans="1:10" ht="19.5" customHeight="1" x14ac:dyDescent="0.3">
      <c r="A29" s="24"/>
      <c r="B29" s="24"/>
      <c r="C29" s="24"/>
      <c r="D29" s="24"/>
      <c r="E29" s="24"/>
      <c r="F29" s="24"/>
      <c r="G29" s="24"/>
      <c r="H29" s="24"/>
      <c r="I29" s="24"/>
      <c r="J29" s="24"/>
    </row>
    <row r="30" spans="1:10" ht="19.5" customHeight="1" x14ac:dyDescent="0.3">
      <c r="A30" s="37"/>
      <c r="B30" s="37"/>
      <c r="C30" s="37"/>
      <c r="D30" s="37"/>
      <c r="E30" s="37"/>
      <c r="F30" s="37"/>
      <c r="G30" s="37"/>
      <c r="H30" s="37"/>
      <c r="I30" s="37"/>
      <c r="J30" s="37"/>
    </row>
    <row r="31" spans="1:10" ht="19.5" customHeight="1" x14ac:dyDescent="0.3">
      <c r="A31" s="24"/>
      <c r="B31" s="24"/>
      <c r="C31" s="24"/>
      <c r="D31" s="24"/>
      <c r="E31" s="24"/>
      <c r="F31" s="24"/>
      <c r="G31" s="24"/>
      <c r="H31" s="24"/>
      <c r="I31" s="24"/>
      <c r="J31" s="24"/>
    </row>
    <row r="32" spans="1:10" ht="19.5" customHeight="1" x14ac:dyDescent="0.3">
      <c r="A32" s="37"/>
      <c r="B32" s="37"/>
      <c r="C32" s="37"/>
      <c r="D32" s="37"/>
      <c r="E32" s="37"/>
      <c r="F32" s="37"/>
      <c r="G32" s="37"/>
      <c r="H32" s="37"/>
      <c r="I32" s="37"/>
      <c r="J32" s="37"/>
    </row>
    <row r="33" spans="1:10" ht="19.5" customHeight="1" x14ac:dyDescent="0.3">
      <c r="A33" s="24"/>
      <c r="B33" s="24"/>
      <c r="C33" s="24"/>
      <c r="D33" s="24"/>
      <c r="E33" s="24"/>
      <c r="F33" s="24"/>
      <c r="G33" s="24"/>
      <c r="H33" s="24"/>
      <c r="I33" s="24"/>
      <c r="J33" s="24"/>
    </row>
    <row r="34" spans="1:10" ht="19.5" customHeight="1" x14ac:dyDescent="0.3">
      <c r="A34" s="37"/>
      <c r="B34" s="37"/>
      <c r="C34" s="37"/>
      <c r="D34" s="37"/>
      <c r="E34" s="37"/>
      <c r="F34" s="37"/>
      <c r="G34" s="37"/>
      <c r="H34" s="37"/>
      <c r="I34" s="37"/>
      <c r="J34" s="37"/>
    </row>
    <row r="35" spans="1:10" ht="19.5" customHeight="1" x14ac:dyDescent="0.3">
      <c r="A35" s="24"/>
      <c r="B35" s="24"/>
      <c r="C35" s="24"/>
      <c r="D35" s="24"/>
      <c r="E35" s="24"/>
      <c r="F35" s="24"/>
      <c r="G35" s="24"/>
      <c r="H35" s="24"/>
      <c r="I35" s="24"/>
      <c r="J35" s="24"/>
    </row>
    <row r="36" spans="1:10" ht="19.5" customHeight="1" x14ac:dyDescent="0.3">
      <c r="A36" s="37"/>
      <c r="B36" s="37"/>
      <c r="C36" s="37"/>
      <c r="D36" s="37"/>
      <c r="E36" s="37"/>
      <c r="F36" s="37"/>
      <c r="G36" s="37"/>
      <c r="H36" s="37"/>
      <c r="I36" s="37"/>
      <c r="J36" s="37"/>
    </row>
    <row r="37" spans="1:10" ht="19.5" customHeight="1" x14ac:dyDescent="0.3">
      <c r="A37" s="24"/>
      <c r="B37" s="24"/>
      <c r="C37" s="24"/>
      <c r="D37" s="24"/>
      <c r="E37" s="24"/>
      <c r="F37" s="24"/>
      <c r="G37" s="24"/>
      <c r="H37" s="24"/>
      <c r="I37" s="24"/>
      <c r="J37" s="24"/>
    </row>
    <row r="38" spans="1:10" ht="19.5" customHeight="1" x14ac:dyDescent="0.3">
      <c r="A38" s="37"/>
      <c r="B38" s="37"/>
      <c r="C38" s="37"/>
      <c r="D38" s="37"/>
      <c r="E38" s="37"/>
      <c r="F38" s="37"/>
      <c r="G38" s="37"/>
      <c r="H38" s="37"/>
      <c r="I38" s="37"/>
      <c r="J38" s="37"/>
    </row>
    <row r="39" spans="1:10" ht="19.5" customHeight="1" x14ac:dyDescent="0.3">
      <c r="A39" s="24"/>
      <c r="B39" s="24"/>
      <c r="C39" s="24"/>
      <c r="D39" s="24"/>
      <c r="E39" s="24"/>
      <c r="F39" s="24"/>
      <c r="G39" s="24"/>
      <c r="H39" s="24"/>
      <c r="I39" s="24"/>
      <c r="J39" s="24"/>
    </row>
    <row r="40" spans="1:10" ht="19.5" customHeight="1" x14ac:dyDescent="0.3">
      <c r="A40" s="37"/>
      <c r="B40" s="37"/>
      <c r="C40" s="37"/>
      <c r="D40" s="37"/>
      <c r="E40" s="37"/>
      <c r="F40" s="37"/>
      <c r="G40" s="37"/>
      <c r="H40" s="37"/>
      <c r="I40" s="37"/>
      <c r="J40" s="37"/>
    </row>
    <row r="41" spans="1:10" ht="19.5" customHeight="1" x14ac:dyDescent="0.3">
      <c r="A41" s="24"/>
      <c r="B41" s="24"/>
      <c r="C41" s="24"/>
      <c r="D41" s="24"/>
      <c r="E41" s="24"/>
      <c r="F41" s="24"/>
      <c r="G41" s="24"/>
      <c r="H41" s="24"/>
      <c r="I41" s="24"/>
      <c r="J41" s="24"/>
    </row>
    <row r="42" spans="1:10" ht="19.5" customHeight="1" x14ac:dyDescent="0.3">
      <c r="A42" s="37"/>
      <c r="B42" s="37"/>
      <c r="C42" s="37"/>
      <c r="D42" s="37"/>
      <c r="E42" s="37"/>
      <c r="F42" s="37"/>
      <c r="G42" s="37"/>
      <c r="H42" s="37"/>
      <c r="I42" s="37"/>
      <c r="J42" s="37"/>
    </row>
    <row r="43" spans="1:10" ht="19.5" customHeight="1" x14ac:dyDescent="0.3">
      <c r="A43" s="24"/>
      <c r="B43" s="24"/>
      <c r="C43" s="24"/>
      <c r="D43" s="24"/>
      <c r="E43" s="24"/>
      <c r="F43" s="24"/>
      <c r="G43" s="24"/>
      <c r="H43" s="24"/>
      <c r="I43" s="24"/>
      <c r="J43" s="24"/>
    </row>
    <row r="44" spans="1:10" ht="19.5" customHeight="1" x14ac:dyDescent="0.3">
      <c r="A44" s="37"/>
      <c r="B44" s="37"/>
      <c r="C44" s="37"/>
      <c r="D44" s="37"/>
      <c r="E44" s="37"/>
      <c r="F44" s="37"/>
      <c r="G44" s="37"/>
      <c r="H44" s="37"/>
      <c r="I44" s="37"/>
      <c r="J44" s="37"/>
    </row>
    <row r="45" spans="1:10" ht="19.5" customHeight="1" x14ac:dyDescent="0.3">
      <c r="A45" s="24"/>
      <c r="B45" s="24"/>
      <c r="C45" s="24"/>
      <c r="D45" s="24"/>
      <c r="E45" s="24"/>
      <c r="F45" s="24"/>
      <c r="G45" s="24"/>
      <c r="H45" s="24"/>
      <c r="I45" s="24"/>
      <c r="J45" s="24"/>
    </row>
    <row r="46" spans="1:10" ht="19.5" customHeight="1" x14ac:dyDescent="0.3">
      <c r="A46" s="37"/>
      <c r="B46" s="37"/>
      <c r="C46" s="37"/>
      <c r="D46" s="37"/>
      <c r="E46" s="37"/>
      <c r="F46" s="37"/>
      <c r="G46" s="37"/>
      <c r="H46" s="37"/>
      <c r="I46" s="37"/>
      <c r="J46" s="37"/>
    </row>
    <row r="47" spans="1:10" ht="19.5" customHeight="1" x14ac:dyDescent="0.3">
      <c r="A47" s="24"/>
      <c r="B47" s="24"/>
      <c r="C47" s="24"/>
      <c r="D47" s="24"/>
      <c r="E47" s="24"/>
      <c r="F47" s="24"/>
      <c r="G47" s="24"/>
      <c r="H47" s="24"/>
      <c r="I47" s="24"/>
      <c r="J47" s="24"/>
    </row>
    <row r="48" spans="1:10" ht="19.5" customHeight="1" x14ac:dyDescent="0.3">
      <c r="A48" s="37"/>
      <c r="B48" s="37"/>
      <c r="C48" s="37"/>
      <c r="D48" s="37"/>
      <c r="E48" s="37"/>
      <c r="F48" s="37"/>
      <c r="G48" s="37"/>
      <c r="H48" s="37"/>
      <c r="I48" s="37"/>
      <c r="J48" s="37"/>
    </row>
    <row r="49" spans="1:10" ht="19.5" customHeight="1" x14ac:dyDescent="0.3">
      <c r="A49" s="24"/>
      <c r="B49" s="24"/>
      <c r="C49" s="24"/>
      <c r="D49" s="24"/>
      <c r="E49" s="24"/>
      <c r="F49" s="24"/>
      <c r="G49" s="24"/>
      <c r="H49" s="24"/>
      <c r="I49" s="24"/>
      <c r="J49" s="24"/>
    </row>
    <row r="50" spans="1:10" ht="19.5" customHeight="1" x14ac:dyDescent="0.3">
      <c r="A50" s="37"/>
      <c r="B50" s="37"/>
      <c r="C50" s="37"/>
      <c r="D50" s="37"/>
      <c r="E50" s="37"/>
      <c r="F50" s="37"/>
      <c r="G50" s="37"/>
      <c r="H50" s="37"/>
      <c r="I50" s="37"/>
      <c r="J50" s="37"/>
    </row>
    <row r="51" spans="1:10" ht="19.5" customHeight="1" x14ac:dyDescent="0.3">
      <c r="A51" s="24"/>
      <c r="B51" s="24"/>
      <c r="C51" s="24"/>
      <c r="D51" s="24"/>
      <c r="E51" s="24"/>
      <c r="F51" s="24"/>
      <c r="G51" s="24"/>
      <c r="H51" s="24"/>
      <c r="I51" s="24"/>
      <c r="J51" s="24"/>
    </row>
    <row r="52" spans="1:10" ht="19.5" customHeight="1" x14ac:dyDescent="0.3">
      <c r="A52" s="37"/>
      <c r="B52" s="37"/>
      <c r="C52" s="37"/>
      <c r="D52" s="37"/>
      <c r="E52" s="37"/>
      <c r="F52" s="37"/>
      <c r="G52" s="37"/>
      <c r="H52" s="37"/>
      <c r="I52" s="37"/>
      <c r="J52" s="37"/>
    </row>
    <row r="53" spans="1:10" ht="19.5" customHeight="1" x14ac:dyDescent="0.3">
      <c r="A53" s="24"/>
      <c r="B53" s="24"/>
      <c r="C53" s="24"/>
      <c r="D53" s="24"/>
      <c r="E53" s="24"/>
      <c r="F53" s="24"/>
      <c r="G53" s="24"/>
      <c r="H53" s="24"/>
      <c r="I53" s="24"/>
      <c r="J53" s="24"/>
    </row>
    <row r="54" spans="1:10" ht="19.5" customHeight="1" x14ac:dyDescent="0.3">
      <c r="A54" s="37"/>
      <c r="B54" s="37"/>
      <c r="C54" s="37"/>
      <c r="D54" s="37"/>
      <c r="E54" s="37"/>
      <c r="F54" s="37"/>
      <c r="G54" s="37"/>
      <c r="H54" s="37"/>
      <c r="I54" s="37"/>
      <c r="J54" s="37"/>
    </row>
    <row r="55" spans="1:10" ht="19.5" customHeight="1" x14ac:dyDescent="0.3">
      <c r="A55" s="24"/>
      <c r="B55" s="24"/>
      <c r="C55" s="24"/>
      <c r="D55" s="24"/>
      <c r="E55" s="24"/>
      <c r="F55" s="24"/>
      <c r="G55" s="24"/>
      <c r="H55" s="24"/>
      <c r="I55" s="24"/>
      <c r="J55" s="24"/>
    </row>
    <row r="56" spans="1:10" ht="19.5" customHeight="1" x14ac:dyDescent="0.3">
      <c r="A56" s="37"/>
      <c r="B56" s="37"/>
      <c r="C56" s="37"/>
      <c r="D56" s="37"/>
      <c r="E56" s="37"/>
      <c r="F56" s="37"/>
      <c r="G56" s="37"/>
      <c r="H56" s="37"/>
      <c r="I56" s="37"/>
      <c r="J56" s="37"/>
    </row>
    <row r="57" spans="1:10" ht="19.5" customHeight="1" x14ac:dyDescent="0.3">
      <c r="A57" s="24"/>
      <c r="B57" s="24"/>
      <c r="C57" s="24"/>
      <c r="D57" s="24"/>
      <c r="E57" s="24"/>
      <c r="F57" s="24"/>
      <c r="G57" s="24"/>
      <c r="H57" s="24"/>
      <c r="I57" s="24"/>
      <c r="J57" s="24"/>
    </row>
    <row r="58" spans="1:10" ht="19.5" customHeight="1" x14ac:dyDescent="0.3">
      <c r="A58" s="37"/>
      <c r="B58" s="37"/>
      <c r="C58" s="37"/>
      <c r="D58" s="37"/>
      <c r="E58" s="37"/>
      <c r="F58" s="37"/>
      <c r="G58" s="37"/>
      <c r="H58" s="37"/>
      <c r="I58" s="37"/>
      <c r="J58" s="37"/>
    </row>
    <row r="59" spans="1:10" ht="19.5" customHeight="1" x14ac:dyDescent="0.3">
      <c r="A59" s="24"/>
      <c r="B59" s="24"/>
      <c r="C59" s="24"/>
      <c r="D59" s="24"/>
      <c r="E59" s="24"/>
      <c r="F59" s="24"/>
      <c r="G59" s="24"/>
      <c r="H59" s="24"/>
      <c r="I59" s="24"/>
      <c r="J59" s="24"/>
    </row>
    <row r="60" spans="1:10" ht="19.5" customHeight="1" x14ac:dyDescent="0.3">
      <c r="A60" s="37"/>
      <c r="B60" s="37"/>
      <c r="C60" s="37"/>
      <c r="D60" s="37"/>
      <c r="E60" s="37"/>
      <c r="F60" s="37"/>
      <c r="G60" s="37"/>
      <c r="H60" s="37"/>
      <c r="I60" s="37"/>
      <c r="J60" s="37"/>
    </row>
    <row r="61" spans="1:10" ht="19.5" customHeight="1" x14ac:dyDescent="0.3">
      <c r="A61" s="24"/>
      <c r="B61" s="24"/>
      <c r="C61" s="24"/>
      <c r="D61" s="24"/>
      <c r="E61" s="24"/>
      <c r="F61" s="24"/>
      <c r="G61" s="24"/>
      <c r="H61" s="24"/>
      <c r="I61" s="24"/>
      <c r="J61" s="24"/>
    </row>
    <row r="62" spans="1:10" ht="19.5" customHeight="1" x14ac:dyDescent="0.3">
      <c r="A62" s="37"/>
      <c r="B62" s="37"/>
      <c r="C62" s="37"/>
      <c r="D62" s="37"/>
      <c r="E62" s="37"/>
      <c r="F62" s="37"/>
      <c r="G62" s="37"/>
      <c r="H62" s="37"/>
      <c r="I62" s="37"/>
      <c r="J62" s="37"/>
    </row>
    <row r="63" spans="1:10" ht="19.5" customHeight="1" x14ac:dyDescent="0.3">
      <c r="A63" s="24"/>
      <c r="B63" s="24"/>
      <c r="C63" s="24"/>
      <c r="D63" s="24"/>
      <c r="E63" s="24"/>
      <c r="F63" s="24"/>
      <c r="G63" s="24"/>
      <c r="H63" s="24"/>
      <c r="I63" s="24"/>
      <c r="J63" s="24"/>
    </row>
    <row r="64" spans="1:10" ht="19.5" customHeight="1" x14ac:dyDescent="0.3">
      <c r="A64" s="37"/>
      <c r="B64" s="37"/>
      <c r="C64" s="37"/>
      <c r="D64" s="37"/>
      <c r="E64" s="37"/>
      <c r="F64" s="37"/>
      <c r="G64" s="37"/>
      <c r="H64" s="37"/>
      <c r="I64" s="37"/>
      <c r="J64" s="37"/>
    </row>
    <row r="65" spans="1:10" ht="19.5" customHeight="1" x14ac:dyDescent="0.3">
      <c r="A65" s="24"/>
      <c r="B65" s="24"/>
      <c r="C65" s="24"/>
      <c r="D65" s="24"/>
      <c r="E65" s="24"/>
      <c r="F65" s="24"/>
      <c r="G65" s="24"/>
      <c r="H65" s="24"/>
      <c r="I65" s="24"/>
      <c r="J65" s="24"/>
    </row>
    <row r="66" spans="1:10" ht="19.5" customHeight="1" x14ac:dyDescent="0.3">
      <c r="A66" s="37"/>
      <c r="B66" s="37"/>
      <c r="C66" s="37"/>
      <c r="D66" s="37"/>
      <c r="E66" s="37"/>
      <c r="F66" s="37"/>
      <c r="G66" s="37"/>
      <c r="H66" s="37"/>
      <c r="I66" s="37"/>
      <c r="J66" s="37"/>
    </row>
    <row r="67" spans="1:10" ht="19.5" customHeight="1" x14ac:dyDescent="0.3">
      <c r="A67" s="24"/>
      <c r="B67" s="24"/>
      <c r="C67" s="24"/>
      <c r="D67" s="24"/>
      <c r="E67" s="24"/>
      <c r="F67" s="24"/>
      <c r="G67" s="24"/>
      <c r="H67" s="24"/>
      <c r="I67" s="24"/>
      <c r="J67" s="24"/>
    </row>
    <row r="68" spans="1:10" ht="19.5" customHeight="1" x14ac:dyDescent="0.3">
      <c r="A68" s="37"/>
      <c r="B68" s="37"/>
      <c r="C68" s="37"/>
      <c r="D68" s="37"/>
      <c r="E68" s="37"/>
      <c r="F68" s="37"/>
      <c r="G68" s="37"/>
      <c r="H68" s="37"/>
      <c r="I68" s="37"/>
      <c r="J68" s="37"/>
    </row>
  </sheetData>
  <mergeCells count="18">
    <mergeCell ref="A15:B15"/>
    <mergeCell ref="C15:J15"/>
    <mergeCell ref="A11:B11"/>
    <mergeCell ref="C11:J11"/>
    <mergeCell ref="A12:J12"/>
    <mergeCell ref="A13:J13"/>
    <mergeCell ref="A14:J14"/>
    <mergeCell ref="A7:J7"/>
    <mergeCell ref="A8:J8"/>
    <mergeCell ref="A9:B9"/>
    <mergeCell ref="C9:J9"/>
    <mergeCell ref="A10:B10"/>
    <mergeCell ref="C10:J10"/>
    <mergeCell ref="A1:J1"/>
    <mergeCell ref="A3:J3"/>
    <mergeCell ref="A4:J4"/>
    <mergeCell ref="A5:J5"/>
    <mergeCell ref="A6:J6"/>
  </mergeCells>
  <conditionalFormatting sqref="J19:J68">
    <cfRule type="expression" dxfId="14" priority="2">
      <formula>J19="Godkendt"</formula>
    </cfRule>
    <cfRule type="expression" dxfId="13" priority="3">
      <formula>J19="Afvigelse"</formula>
    </cfRule>
    <cfRule type="expression" dxfId="12" priority="4">
      <formula>J19="Under behandling"</formula>
    </cfRule>
  </conditionalFormatting>
  <dataValidations count="4">
    <dataValidation type="list" allowBlank="1" showErrorMessage="1" errorTitle="Ugyldig" error="Vælg fra listen." sqref="D19:D68" xr:uid="{00000000-0002-0000-0600-000000000000}">
      <formula1>"Ny kloak,Separering,Reparation,Tilslutning,Renovering"</formula1>
      <formula2>0</formula2>
    </dataValidation>
    <dataValidation type="list" allowBlank="1" showErrorMessage="1" errorTitle="Ugyldig" error="Vælg fra listen." sqref="E19:E68" xr:uid="{00000000-0002-0000-0600-000001000000}">
      <formula1>"Udført,Ikke udført,N/A"</formula1>
      <formula2>0</formula2>
    </dataValidation>
    <dataValidation type="list" allowBlank="1" showErrorMessage="1" errorTitle="Ugyldig" error="Vælg fra listen." sqref="F19:G68" xr:uid="{00000000-0002-0000-0600-000002000000}">
      <formula1>"OK,Ikke OK,N/A"</formula1>
      <formula2>0</formula2>
    </dataValidation>
    <dataValidation type="list" allowBlank="1" showErrorMessage="1" errorTitle="Ugyldig" error="Vælg fra listen." sqref="J19:J68" xr:uid="{00000000-0002-0000-0600-000004000000}">
      <formula1>"Godkendt,Afvigelse,Under behandling,Afventer"</formula1>
      <formula2>0</formula2>
    </dataValidation>
  </dataValidations>
  <pageMargins left="0.5" right="0.5" top="0.75" bottom="0.75" header="0.5" footer="0.5"/>
  <pageSetup orientation="landscape" horizontalDpi="300" verticalDpi="300"/>
  <headerFooter>
    <oddHeader>&amp;CKLS — Slutkontrol Kloak</oddHeader>
    <oddFooter>&amp;CKLS Kvalitetsledelsessystem  ·  Side &amp;P af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392B"/>
    <pageSetUpPr fitToPage="1"/>
  </sheetPr>
  <dimension ref="A1:N74"/>
  <sheetViews>
    <sheetView zoomScaleNormal="100" workbookViewId="0">
      <pane ySplit="24" topLeftCell="A40" activePane="bottomLeft" state="frozen"/>
      <selection pane="bottomLeft" sqref="A1:K1"/>
    </sheetView>
  </sheetViews>
  <sheetFormatPr defaultColWidth="8.6640625" defaultRowHeight="14.4" x14ac:dyDescent="0.3"/>
  <cols>
    <col min="1" max="1" width="10" customWidth="1"/>
    <col min="2" max="2" width="13" customWidth="1"/>
    <col min="3" max="3" width="18" customWidth="1"/>
    <col min="4" max="4" width="13" customWidth="1"/>
    <col min="5" max="5" width="30" customWidth="1"/>
    <col min="6" max="6" width="28" customWidth="1"/>
    <col min="7" max="7" width="30" customWidth="1"/>
    <col min="8" max="8" width="18" customWidth="1"/>
    <col min="9" max="10" width="13" customWidth="1"/>
    <col min="11" max="11" width="20" customWidth="1"/>
    <col min="13" max="13" width="16" customWidth="1"/>
    <col min="14" max="14" width="10" customWidth="1"/>
  </cols>
  <sheetData>
    <row r="1" spans="1:11" ht="42" customHeight="1" x14ac:dyDescent="0.3">
      <c r="A1" s="83" t="s">
        <v>281</v>
      </c>
      <c r="B1" s="83"/>
      <c r="C1" s="83"/>
      <c r="D1" s="83"/>
      <c r="E1" s="83"/>
      <c r="F1" s="83"/>
      <c r="G1" s="83"/>
      <c r="H1" s="83"/>
      <c r="I1" s="83"/>
      <c r="J1" s="83"/>
      <c r="K1" s="83"/>
    </row>
    <row r="2" spans="1:11" ht="15" customHeight="1" x14ac:dyDescent="0.3">
      <c r="A2" s="84" t="s">
        <v>282</v>
      </c>
      <c r="B2" s="84"/>
      <c r="C2" s="84"/>
      <c r="D2" s="84"/>
      <c r="E2" s="84"/>
      <c r="F2" s="84"/>
      <c r="G2" s="84"/>
      <c r="H2" s="84"/>
      <c r="I2" s="84"/>
      <c r="J2" s="84"/>
      <c r="K2" s="84"/>
    </row>
    <row r="3" spans="1:11" ht="15" customHeight="1" x14ac:dyDescent="0.3"/>
    <row r="4" spans="1:11" ht="21.75" customHeight="1" x14ac:dyDescent="0.3">
      <c r="A4" s="12" t="s">
        <v>283</v>
      </c>
      <c r="B4" s="12"/>
      <c r="C4" s="12"/>
      <c r="D4" s="12"/>
      <c r="E4" s="12"/>
      <c r="F4" s="12"/>
      <c r="G4" s="12"/>
      <c r="H4" s="12"/>
      <c r="I4" s="12"/>
      <c r="J4" s="12"/>
      <c r="K4" s="12"/>
    </row>
    <row r="5" spans="1:11" ht="19.5" customHeight="1" x14ac:dyDescent="0.3">
      <c r="A5" s="11" t="s">
        <v>3</v>
      </c>
      <c r="B5" s="11"/>
      <c r="C5" s="11"/>
      <c r="D5" s="11"/>
      <c r="E5" s="11"/>
      <c r="F5" s="11"/>
      <c r="G5" s="11"/>
      <c r="H5" s="11"/>
      <c r="I5" s="11"/>
      <c r="J5" s="11"/>
      <c r="K5" s="11"/>
    </row>
    <row r="6" spans="1:11" ht="36" customHeight="1" x14ac:dyDescent="0.3">
      <c r="A6" s="10" t="s">
        <v>284</v>
      </c>
      <c r="B6" s="10"/>
      <c r="C6" s="10"/>
      <c r="D6" s="10"/>
      <c r="E6" s="10"/>
      <c r="F6" s="10"/>
      <c r="G6" s="10"/>
      <c r="H6" s="10"/>
      <c r="I6" s="10"/>
      <c r="J6" s="10"/>
      <c r="K6" s="10"/>
    </row>
    <row r="7" spans="1:11" ht="27.75" customHeight="1" x14ac:dyDescent="0.3">
      <c r="A7" s="3" t="s">
        <v>285</v>
      </c>
      <c r="B7" s="3"/>
      <c r="C7" s="3"/>
      <c r="D7" s="3"/>
      <c r="E7" s="3"/>
      <c r="F7" s="3"/>
      <c r="G7" s="3"/>
      <c r="H7" s="3"/>
      <c r="I7" s="3"/>
      <c r="J7" s="3"/>
      <c r="K7" s="3"/>
    </row>
    <row r="8" spans="1:11" ht="4.5" customHeight="1" x14ac:dyDescent="0.3">
      <c r="A8" s="9"/>
      <c r="B8" s="9"/>
      <c r="C8" s="9"/>
      <c r="D8" s="9"/>
      <c r="E8" s="9"/>
      <c r="F8" s="9"/>
      <c r="G8" s="9"/>
      <c r="H8" s="9"/>
      <c r="I8" s="9"/>
      <c r="J8" s="9"/>
      <c r="K8" s="9"/>
    </row>
    <row r="9" spans="1:11" ht="19.5" customHeight="1" x14ac:dyDescent="0.3">
      <c r="A9" s="8" t="s">
        <v>286</v>
      </c>
      <c r="B9" s="8"/>
      <c r="C9" s="8"/>
      <c r="D9" s="8"/>
      <c r="E9" s="8"/>
      <c r="F9" s="8"/>
      <c r="G9" s="8"/>
      <c r="H9" s="8"/>
      <c r="I9" s="8"/>
      <c r="J9" s="8"/>
      <c r="K9" s="8"/>
    </row>
    <row r="10" spans="1:11" ht="36" customHeight="1" x14ac:dyDescent="0.3">
      <c r="A10" s="7" t="s">
        <v>287</v>
      </c>
      <c r="B10" s="7"/>
      <c r="C10" s="6" t="s">
        <v>288</v>
      </c>
      <c r="D10" s="6"/>
      <c r="E10" s="6"/>
      <c r="F10" s="6"/>
      <c r="G10" s="6"/>
      <c r="H10" s="6"/>
      <c r="I10" s="6"/>
      <c r="J10" s="6"/>
      <c r="K10" s="6"/>
    </row>
    <row r="11" spans="1:11" ht="4.5" customHeight="1" x14ac:dyDescent="0.3">
      <c r="A11" s="9"/>
      <c r="B11" s="9"/>
      <c r="C11" s="9"/>
      <c r="D11" s="9"/>
      <c r="E11" s="9"/>
      <c r="F11" s="9"/>
      <c r="G11" s="9"/>
      <c r="H11" s="9"/>
      <c r="I11" s="9"/>
      <c r="J11" s="9"/>
      <c r="K11" s="9"/>
    </row>
    <row r="12" spans="1:11" ht="19.5" customHeight="1" x14ac:dyDescent="0.3">
      <c r="A12" s="8" t="s">
        <v>289</v>
      </c>
      <c r="B12" s="8"/>
      <c r="C12" s="8"/>
      <c r="D12" s="8"/>
      <c r="E12" s="8"/>
      <c r="F12" s="8"/>
      <c r="G12" s="8"/>
      <c r="H12" s="8"/>
      <c r="I12" s="8"/>
      <c r="J12" s="8"/>
      <c r="K12" s="8"/>
    </row>
    <row r="13" spans="1:11" ht="36" customHeight="1" x14ac:dyDescent="0.3">
      <c r="A13" s="7" t="s">
        <v>290</v>
      </c>
      <c r="B13" s="7"/>
      <c r="C13" s="6" t="s">
        <v>291</v>
      </c>
      <c r="D13" s="6"/>
      <c r="E13" s="6"/>
      <c r="F13" s="6"/>
      <c r="G13" s="6"/>
      <c r="H13" s="6"/>
      <c r="I13" s="6"/>
      <c r="J13" s="6"/>
      <c r="K13" s="6"/>
    </row>
    <row r="14" spans="1:11" ht="36" customHeight="1" x14ac:dyDescent="0.3">
      <c r="A14" s="7" t="s">
        <v>292</v>
      </c>
      <c r="B14" s="7"/>
      <c r="C14" s="6" t="s">
        <v>293</v>
      </c>
      <c r="D14" s="6"/>
      <c r="E14" s="6"/>
      <c r="F14" s="6"/>
      <c r="G14" s="6"/>
      <c r="H14" s="6"/>
      <c r="I14" s="6"/>
      <c r="J14" s="6"/>
      <c r="K14" s="6"/>
    </row>
    <row r="15" spans="1:11" ht="15" customHeight="1" x14ac:dyDescent="0.3">
      <c r="A15" s="70" t="s">
        <v>93</v>
      </c>
      <c r="B15" s="70"/>
      <c r="C15" s="70"/>
      <c r="D15" s="70"/>
      <c r="E15" s="70"/>
      <c r="F15" s="70"/>
      <c r="G15" s="70"/>
      <c r="H15" s="70"/>
      <c r="I15" s="70"/>
      <c r="J15" s="70"/>
      <c r="K15" s="70"/>
    </row>
    <row r="16" spans="1:11" ht="19.5" customHeight="1" x14ac:dyDescent="0.3">
      <c r="A16" s="71" t="s">
        <v>294</v>
      </c>
      <c r="B16" s="71"/>
      <c r="C16" s="71"/>
      <c r="D16" s="71"/>
      <c r="E16" s="71"/>
      <c r="F16" s="71"/>
      <c r="G16" s="71"/>
      <c r="H16" s="71"/>
      <c r="I16" s="71"/>
      <c r="J16" s="71"/>
      <c r="K16" s="71"/>
    </row>
    <row r="17" spans="1:14" ht="19.5" customHeight="1" x14ac:dyDescent="0.3">
      <c r="A17" s="72" t="s">
        <v>295</v>
      </c>
      <c r="B17" s="72"/>
      <c r="C17" s="72"/>
      <c r="D17" s="72"/>
      <c r="E17" s="72"/>
      <c r="F17" s="72"/>
      <c r="G17" s="72"/>
      <c r="H17" s="72"/>
      <c r="I17" s="72"/>
      <c r="J17" s="72"/>
      <c r="K17" s="72"/>
    </row>
    <row r="18" spans="1:14" ht="36" customHeight="1" x14ac:dyDescent="0.3">
      <c r="A18" s="7" t="s">
        <v>296</v>
      </c>
      <c r="B18" s="7"/>
      <c r="C18" s="6" t="s">
        <v>297</v>
      </c>
      <c r="D18" s="6"/>
      <c r="E18" s="6"/>
      <c r="F18" s="6"/>
      <c r="G18" s="6"/>
      <c r="H18" s="6"/>
      <c r="I18" s="6"/>
      <c r="J18" s="6"/>
      <c r="K18" s="6"/>
    </row>
    <row r="19" spans="1:14" ht="36" customHeight="1" x14ac:dyDescent="0.3">
      <c r="A19" s="7" t="s">
        <v>298</v>
      </c>
      <c r="B19" s="7"/>
      <c r="C19" s="6" t="s">
        <v>299</v>
      </c>
      <c r="D19" s="6"/>
      <c r="E19" s="6"/>
      <c r="F19" s="6"/>
      <c r="G19" s="6"/>
      <c r="H19" s="6"/>
      <c r="I19" s="6"/>
      <c r="J19" s="6"/>
      <c r="K19" s="6"/>
    </row>
    <row r="20" spans="1:14" ht="36" customHeight="1" x14ac:dyDescent="0.3">
      <c r="A20" s="5" t="s">
        <v>300</v>
      </c>
      <c r="B20" s="5"/>
      <c r="C20" s="4" t="s">
        <v>301</v>
      </c>
      <c r="D20" s="4"/>
      <c r="E20" s="4"/>
      <c r="F20" s="4"/>
      <c r="G20" s="4"/>
      <c r="H20" s="4"/>
      <c r="I20" s="4"/>
      <c r="J20" s="4"/>
      <c r="K20" s="4"/>
    </row>
    <row r="21" spans="1:14" ht="36" customHeight="1" x14ac:dyDescent="0.3">
      <c r="A21" s="76" t="s">
        <v>302</v>
      </c>
      <c r="B21" s="76"/>
      <c r="C21" s="77" t="s">
        <v>303</v>
      </c>
      <c r="D21" s="77"/>
      <c r="E21" s="77"/>
      <c r="F21" s="77"/>
      <c r="G21" s="77"/>
      <c r="H21" s="77"/>
      <c r="I21" s="77"/>
      <c r="J21" s="77"/>
      <c r="K21" s="77"/>
    </row>
    <row r="22" spans="1:14" ht="15" customHeight="1" x14ac:dyDescent="0.3"/>
    <row r="23" spans="1:14" ht="15" customHeight="1" x14ac:dyDescent="0.3"/>
    <row r="24" spans="1:14" ht="27.75" customHeight="1" x14ac:dyDescent="0.3">
      <c r="A24" s="38" t="s">
        <v>304</v>
      </c>
      <c r="B24" s="38" t="s">
        <v>305</v>
      </c>
      <c r="C24" s="38" t="s">
        <v>306</v>
      </c>
      <c r="D24" s="38" t="s">
        <v>235</v>
      </c>
      <c r="E24" s="38" t="s">
        <v>307</v>
      </c>
      <c r="F24" s="38" t="s">
        <v>308</v>
      </c>
      <c r="G24" s="38" t="s">
        <v>309</v>
      </c>
      <c r="H24" s="38" t="s">
        <v>175</v>
      </c>
      <c r="I24" s="38" t="s">
        <v>310</v>
      </c>
      <c r="J24" s="38" t="s">
        <v>311</v>
      </c>
      <c r="K24" s="38" t="s">
        <v>156</v>
      </c>
      <c r="M24" s="85" t="s">
        <v>312</v>
      </c>
      <c r="N24" s="85"/>
    </row>
    <row r="25" spans="1:14" ht="19.5" customHeight="1" x14ac:dyDescent="0.3">
      <c r="A25" s="30" t="str">
        <f t="shared" ref="A25:A56" si="0">IFERROR("AFV-"&amp;TEXT(ROW()-24,"000"),"")</f>
        <v>AFV-001</v>
      </c>
      <c r="B25" s="24"/>
      <c r="C25" s="24"/>
      <c r="D25" s="24"/>
      <c r="E25" s="24"/>
      <c r="F25" s="24"/>
      <c r="G25" s="24"/>
      <c r="H25" s="24"/>
      <c r="I25" s="24"/>
      <c r="J25" s="24"/>
      <c r="K25" s="24"/>
      <c r="M25" s="39" t="s">
        <v>313</v>
      </c>
      <c r="N25" s="40">
        <f>COUNTIF(K25:K74,"Åben")</f>
        <v>0</v>
      </c>
    </row>
    <row r="26" spans="1:14" ht="19.5" customHeight="1" x14ac:dyDescent="0.3">
      <c r="A26" s="41" t="str">
        <f t="shared" si="0"/>
        <v>AFV-002</v>
      </c>
      <c r="B26" s="42"/>
      <c r="C26" s="42"/>
      <c r="D26" s="42"/>
      <c r="E26" s="42"/>
      <c r="F26" s="42"/>
      <c r="G26" s="42"/>
      <c r="H26" s="42"/>
      <c r="I26" s="42"/>
      <c r="J26" s="42"/>
      <c r="K26" s="42"/>
      <c r="M26" s="39" t="s">
        <v>314</v>
      </c>
      <c r="N26" s="40">
        <f>COUNTIF(K25:K74,"Under behandling")</f>
        <v>0</v>
      </c>
    </row>
    <row r="27" spans="1:14" ht="19.5" customHeight="1" x14ac:dyDescent="0.3">
      <c r="A27" s="30" t="str">
        <f t="shared" si="0"/>
        <v>AFV-003</v>
      </c>
      <c r="B27" s="24"/>
      <c r="C27" s="24"/>
      <c r="D27" s="24"/>
      <c r="E27" s="24"/>
      <c r="F27" s="24"/>
      <c r="G27" s="24"/>
      <c r="H27" s="24"/>
      <c r="I27" s="24"/>
      <c r="J27" s="24"/>
      <c r="K27" s="24"/>
      <c r="M27" s="39" t="s">
        <v>315</v>
      </c>
      <c r="N27" s="40">
        <f>COUNTIF(K25:K74,"Afsluttet")</f>
        <v>0</v>
      </c>
    </row>
    <row r="28" spans="1:14" ht="19.5" customHeight="1" x14ac:dyDescent="0.3">
      <c r="A28" s="41" t="str">
        <f t="shared" si="0"/>
        <v>AFV-004</v>
      </c>
      <c r="B28" s="42"/>
      <c r="C28" s="42"/>
      <c r="D28" s="42"/>
      <c r="E28" s="42"/>
      <c r="F28" s="42"/>
      <c r="G28" s="42"/>
      <c r="H28" s="42"/>
      <c r="I28" s="42"/>
      <c r="J28" s="42"/>
      <c r="K28" s="42"/>
      <c r="M28" s="39" t="s">
        <v>316</v>
      </c>
      <c r="N28" s="40">
        <f>COUNTA(B25:B74)</f>
        <v>0</v>
      </c>
    </row>
    <row r="29" spans="1:14" ht="19.5" customHeight="1" x14ac:dyDescent="0.3">
      <c r="A29" s="30" t="str">
        <f t="shared" si="0"/>
        <v>AFV-005</v>
      </c>
      <c r="B29" s="24"/>
      <c r="C29" s="24"/>
      <c r="D29" s="24"/>
      <c r="E29" s="24"/>
      <c r="F29" s="24"/>
      <c r="G29" s="24"/>
      <c r="H29" s="24"/>
      <c r="I29" s="24"/>
      <c r="J29" s="24"/>
      <c r="K29" s="24"/>
    </row>
    <row r="30" spans="1:14" ht="19.5" customHeight="1" x14ac:dyDescent="0.3">
      <c r="A30" s="41" t="str">
        <f t="shared" si="0"/>
        <v>AFV-006</v>
      </c>
      <c r="B30" s="42"/>
      <c r="C30" s="42"/>
      <c r="D30" s="42"/>
      <c r="E30" s="42"/>
      <c r="F30" s="42"/>
      <c r="G30" s="42"/>
      <c r="H30" s="42"/>
      <c r="I30" s="42"/>
      <c r="J30" s="42"/>
      <c r="K30" s="42"/>
    </row>
    <row r="31" spans="1:14" ht="19.5" customHeight="1" x14ac:dyDescent="0.3">
      <c r="A31" s="30" t="str">
        <f t="shared" si="0"/>
        <v>AFV-007</v>
      </c>
      <c r="B31" s="24"/>
      <c r="C31" s="24"/>
      <c r="D31" s="24"/>
      <c r="E31" s="24"/>
      <c r="F31" s="24"/>
      <c r="G31" s="24"/>
      <c r="H31" s="24"/>
      <c r="I31" s="24"/>
      <c r="J31" s="24"/>
      <c r="K31" s="24"/>
    </row>
    <row r="32" spans="1:14" ht="19.5" customHeight="1" x14ac:dyDescent="0.3">
      <c r="A32" s="41" t="str">
        <f t="shared" si="0"/>
        <v>AFV-008</v>
      </c>
      <c r="B32" s="42"/>
      <c r="C32" s="42"/>
      <c r="D32" s="42"/>
      <c r="E32" s="42"/>
      <c r="F32" s="42"/>
      <c r="G32" s="42"/>
      <c r="H32" s="42"/>
      <c r="I32" s="42"/>
      <c r="J32" s="42"/>
      <c r="K32" s="42"/>
    </row>
    <row r="33" spans="1:11" ht="19.5" customHeight="1" x14ac:dyDescent="0.3">
      <c r="A33" s="30" t="str">
        <f t="shared" si="0"/>
        <v>AFV-009</v>
      </c>
      <c r="B33" s="24"/>
      <c r="C33" s="24"/>
      <c r="D33" s="24"/>
      <c r="E33" s="24"/>
      <c r="F33" s="24"/>
      <c r="G33" s="24"/>
      <c r="H33" s="24"/>
      <c r="I33" s="24"/>
      <c r="J33" s="24"/>
      <c r="K33" s="24"/>
    </row>
    <row r="34" spans="1:11" ht="19.5" customHeight="1" x14ac:dyDescent="0.3">
      <c r="A34" s="41" t="str">
        <f t="shared" si="0"/>
        <v>AFV-010</v>
      </c>
      <c r="B34" s="42"/>
      <c r="C34" s="42"/>
      <c r="D34" s="42"/>
      <c r="E34" s="42"/>
      <c r="F34" s="42"/>
      <c r="G34" s="42"/>
      <c r="H34" s="42"/>
      <c r="I34" s="42"/>
      <c r="J34" s="42"/>
      <c r="K34" s="42"/>
    </row>
    <row r="35" spans="1:11" ht="19.5" customHeight="1" x14ac:dyDescent="0.3">
      <c r="A35" s="30" t="str">
        <f t="shared" si="0"/>
        <v>AFV-011</v>
      </c>
      <c r="B35" s="24"/>
      <c r="C35" s="24"/>
      <c r="D35" s="24"/>
      <c r="E35" s="24"/>
      <c r="F35" s="24"/>
      <c r="G35" s="24"/>
      <c r="H35" s="24"/>
      <c r="I35" s="24"/>
      <c r="J35" s="24"/>
      <c r="K35" s="24"/>
    </row>
    <row r="36" spans="1:11" ht="19.5" customHeight="1" x14ac:dyDescent="0.3">
      <c r="A36" s="41" t="str">
        <f t="shared" si="0"/>
        <v>AFV-012</v>
      </c>
      <c r="B36" s="42"/>
      <c r="C36" s="42"/>
      <c r="D36" s="42"/>
      <c r="E36" s="42"/>
      <c r="F36" s="42"/>
      <c r="G36" s="42"/>
      <c r="H36" s="42"/>
      <c r="I36" s="42"/>
      <c r="J36" s="42"/>
      <c r="K36" s="42"/>
    </row>
    <row r="37" spans="1:11" ht="19.5" customHeight="1" x14ac:dyDescent="0.3">
      <c r="A37" s="30" t="str">
        <f t="shared" si="0"/>
        <v>AFV-013</v>
      </c>
      <c r="B37" s="24"/>
      <c r="C37" s="24"/>
      <c r="D37" s="24"/>
      <c r="E37" s="24"/>
      <c r="F37" s="24"/>
      <c r="G37" s="24"/>
      <c r="H37" s="24"/>
      <c r="I37" s="24"/>
      <c r="J37" s="24"/>
      <c r="K37" s="24"/>
    </row>
    <row r="38" spans="1:11" ht="19.5" customHeight="1" x14ac:dyDescent="0.3">
      <c r="A38" s="41" t="str">
        <f t="shared" si="0"/>
        <v>AFV-014</v>
      </c>
      <c r="B38" s="42"/>
      <c r="C38" s="42"/>
      <c r="D38" s="42"/>
      <c r="E38" s="42"/>
      <c r="F38" s="42"/>
      <c r="G38" s="42"/>
      <c r="H38" s="42"/>
      <c r="I38" s="42"/>
      <c r="J38" s="42"/>
      <c r="K38" s="42"/>
    </row>
    <row r="39" spans="1:11" ht="19.5" customHeight="1" x14ac:dyDescent="0.3">
      <c r="A39" s="30" t="str">
        <f t="shared" si="0"/>
        <v>AFV-015</v>
      </c>
      <c r="B39" s="24"/>
      <c r="C39" s="24"/>
      <c r="D39" s="24"/>
      <c r="E39" s="24"/>
      <c r="F39" s="24"/>
      <c r="G39" s="24"/>
      <c r="H39" s="24"/>
      <c r="I39" s="24"/>
      <c r="J39" s="24"/>
      <c r="K39" s="24"/>
    </row>
    <row r="40" spans="1:11" ht="19.5" customHeight="1" x14ac:dyDescent="0.3">
      <c r="A40" s="41" t="str">
        <f t="shared" si="0"/>
        <v>AFV-016</v>
      </c>
      <c r="B40" s="42"/>
      <c r="C40" s="42"/>
      <c r="D40" s="42"/>
      <c r="E40" s="42"/>
      <c r="F40" s="42"/>
      <c r="G40" s="42"/>
      <c r="H40" s="42"/>
      <c r="I40" s="42"/>
      <c r="J40" s="42"/>
      <c r="K40" s="42"/>
    </row>
    <row r="41" spans="1:11" ht="19.5" customHeight="1" x14ac:dyDescent="0.3">
      <c r="A41" s="30" t="str">
        <f t="shared" si="0"/>
        <v>AFV-017</v>
      </c>
      <c r="B41" s="24"/>
      <c r="C41" s="24"/>
      <c r="D41" s="24"/>
      <c r="E41" s="24"/>
      <c r="F41" s="24"/>
      <c r="G41" s="24"/>
      <c r="H41" s="24"/>
      <c r="I41" s="24"/>
      <c r="J41" s="24"/>
      <c r="K41" s="24"/>
    </row>
    <row r="42" spans="1:11" ht="19.5" customHeight="1" x14ac:dyDescent="0.3">
      <c r="A42" s="41" t="str">
        <f t="shared" si="0"/>
        <v>AFV-018</v>
      </c>
      <c r="B42" s="42"/>
      <c r="C42" s="42"/>
      <c r="D42" s="42"/>
      <c r="E42" s="42"/>
      <c r="F42" s="42"/>
      <c r="G42" s="42"/>
      <c r="H42" s="42"/>
      <c r="I42" s="42"/>
      <c r="J42" s="42"/>
      <c r="K42" s="42"/>
    </row>
    <row r="43" spans="1:11" ht="19.5" customHeight="1" x14ac:dyDescent="0.3">
      <c r="A43" s="30" t="str">
        <f t="shared" si="0"/>
        <v>AFV-019</v>
      </c>
      <c r="B43" s="24"/>
      <c r="C43" s="24"/>
      <c r="D43" s="24"/>
      <c r="E43" s="24"/>
      <c r="F43" s="24"/>
      <c r="G43" s="24"/>
      <c r="H43" s="24"/>
      <c r="I43" s="24"/>
      <c r="J43" s="24"/>
      <c r="K43" s="24"/>
    </row>
    <row r="44" spans="1:11" ht="19.5" customHeight="1" x14ac:dyDescent="0.3">
      <c r="A44" s="41" t="str">
        <f t="shared" si="0"/>
        <v>AFV-020</v>
      </c>
      <c r="B44" s="42"/>
      <c r="C44" s="42"/>
      <c r="D44" s="42"/>
      <c r="E44" s="42"/>
      <c r="F44" s="42"/>
      <c r="G44" s="42"/>
      <c r="H44" s="42"/>
      <c r="I44" s="42"/>
      <c r="J44" s="42"/>
      <c r="K44" s="42"/>
    </row>
    <row r="45" spans="1:11" ht="19.5" customHeight="1" x14ac:dyDescent="0.3">
      <c r="A45" s="30" t="str">
        <f t="shared" si="0"/>
        <v>AFV-021</v>
      </c>
      <c r="B45" s="24"/>
      <c r="C45" s="24"/>
      <c r="D45" s="24"/>
      <c r="E45" s="24"/>
      <c r="F45" s="24"/>
      <c r="G45" s="24"/>
      <c r="H45" s="24"/>
      <c r="I45" s="24"/>
      <c r="J45" s="24"/>
      <c r="K45" s="24"/>
    </row>
    <row r="46" spans="1:11" ht="19.5" customHeight="1" x14ac:dyDescent="0.3">
      <c r="A46" s="41" t="str">
        <f t="shared" si="0"/>
        <v>AFV-022</v>
      </c>
      <c r="B46" s="42"/>
      <c r="C46" s="42"/>
      <c r="D46" s="42"/>
      <c r="E46" s="42"/>
      <c r="F46" s="42"/>
      <c r="G46" s="42"/>
      <c r="H46" s="42"/>
      <c r="I46" s="42"/>
      <c r="J46" s="42"/>
      <c r="K46" s="42"/>
    </row>
    <row r="47" spans="1:11" ht="19.5" customHeight="1" x14ac:dyDescent="0.3">
      <c r="A47" s="30" t="str">
        <f t="shared" si="0"/>
        <v>AFV-023</v>
      </c>
      <c r="B47" s="24"/>
      <c r="C47" s="24"/>
      <c r="D47" s="24"/>
      <c r="E47" s="24"/>
      <c r="F47" s="24"/>
      <c r="G47" s="24"/>
      <c r="H47" s="24"/>
      <c r="I47" s="24"/>
      <c r="J47" s="24"/>
      <c r="K47" s="24"/>
    </row>
    <row r="48" spans="1:11" ht="19.5" customHeight="1" x14ac:dyDescent="0.3">
      <c r="A48" s="41" t="str">
        <f t="shared" si="0"/>
        <v>AFV-024</v>
      </c>
      <c r="B48" s="42"/>
      <c r="C48" s="42"/>
      <c r="D48" s="42"/>
      <c r="E48" s="42"/>
      <c r="F48" s="42"/>
      <c r="G48" s="42"/>
      <c r="H48" s="42"/>
      <c r="I48" s="42"/>
      <c r="J48" s="42"/>
      <c r="K48" s="42"/>
    </row>
    <row r="49" spans="1:11" ht="19.5" customHeight="1" x14ac:dyDescent="0.3">
      <c r="A49" s="30" t="str">
        <f t="shared" si="0"/>
        <v>AFV-025</v>
      </c>
      <c r="B49" s="24"/>
      <c r="C49" s="24"/>
      <c r="D49" s="24"/>
      <c r="E49" s="24"/>
      <c r="F49" s="24"/>
      <c r="G49" s="24"/>
      <c r="H49" s="24"/>
      <c r="I49" s="24"/>
      <c r="J49" s="24"/>
      <c r="K49" s="24"/>
    </row>
    <row r="50" spans="1:11" ht="19.5" customHeight="1" x14ac:dyDescent="0.3">
      <c r="A50" s="41" t="str">
        <f t="shared" si="0"/>
        <v>AFV-026</v>
      </c>
      <c r="B50" s="42"/>
      <c r="C50" s="42"/>
      <c r="D50" s="42"/>
      <c r="E50" s="42"/>
      <c r="F50" s="42"/>
      <c r="G50" s="42"/>
      <c r="H50" s="42"/>
      <c r="I50" s="42"/>
      <c r="J50" s="42"/>
      <c r="K50" s="42"/>
    </row>
    <row r="51" spans="1:11" ht="19.5" customHeight="1" x14ac:dyDescent="0.3">
      <c r="A51" s="30" t="str">
        <f t="shared" si="0"/>
        <v>AFV-027</v>
      </c>
      <c r="B51" s="24"/>
      <c r="C51" s="24"/>
      <c r="D51" s="24"/>
      <c r="E51" s="24"/>
      <c r="F51" s="24"/>
      <c r="G51" s="24"/>
      <c r="H51" s="24"/>
      <c r="I51" s="24"/>
      <c r="J51" s="24"/>
      <c r="K51" s="24"/>
    </row>
    <row r="52" spans="1:11" ht="19.5" customHeight="1" x14ac:dyDescent="0.3">
      <c r="A52" s="41" t="str">
        <f t="shared" si="0"/>
        <v>AFV-028</v>
      </c>
      <c r="B52" s="42"/>
      <c r="C52" s="42"/>
      <c r="D52" s="42"/>
      <c r="E52" s="42"/>
      <c r="F52" s="42"/>
      <c r="G52" s="42"/>
      <c r="H52" s="42"/>
      <c r="I52" s="42"/>
      <c r="J52" s="42"/>
      <c r="K52" s="42"/>
    </row>
    <row r="53" spans="1:11" ht="19.5" customHeight="1" x14ac:dyDescent="0.3">
      <c r="A53" s="30" t="str">
        <f t="shared" si="0"/>
        <v>AFV-029</v>
      </c>
      <c r="B53" s="24"/>
      <c r="C53" s="24"/>
      <c r="D53" s="24"/>
      <c r="E53" s="24"/>
      <c r="F53" s="24"/>
      <c r="G53" s="24"/>
      <c r="H53" s="24"/>
      <c r="I53" s="24"/>
      <c r="J53" s="24"/>
      <c r="K53" s="24"/>
    </row>
    <row r="54" spans="1:11" ht="19.5" customHeight="1" x14ac:dyDescent="0.3">
      <c r="A54" s="41" t="str">
        <f t="shared" si="0"/>
        <v>AFV-030</v>
      </c>
      <c r="B54" s="42"/>
      <c r="C54" s="42"/>
      <c r="D54" s="42"/>
      <c r="E54" s="42"/>
      <c r="F54" s="42"/>
      <c r="G54" s="42"/>
      <c r="H54" s="42"/>
      <c r="I54" s="42"/>
      <c r="J54" s="42"/>
      <c r="K54" s="42"/>
    </row>
    <row r="55" spans="1:11" ht="19.5" customHeight="1" x14ac:dyDescent="0.3">
      <c r="A55" s="30" t="str">
        <f t="shared" si="0"/>
        <v>AFV-031</v>
      </c>
      <c r="B55" s="24"/>
      <c r="C55" s="24"/>
      <c r="D55" s="24"/>
      <c r="E55" s="24"/>
      <c r="F55" s="24"/>
      <c r="G55" s="24"/>
      <c r="H55" s="24"/>
      <c r="I55" s="24"/>
      <c r="J55" s="24"/>
      <c r="K55" s="24"/>
    </row>
    <row r="56" spans="1:11" ht="19.5" customHeight="1" x14ac:dyDescent="0.3">
      <c r="A56" s="41" t="str">
        <f t="shared" si="0"/>
        <v>AFV-032</v>
      </c>
      <c r="B56" s="42"/>
      <c r="C56" s="42"/>
      <c r="D56" s="42"/>
      <c r="E56" s="42"/>
      <c r="F56" s="42"/>
      <c r="G56" s="42"/>
      <c r="H56" s="42"/>
      <c r="I56" s="42"/>
      <c r="J56" s="42"/>
      <c r="K56" s="42"/>
    </row>
    <row r="57" spans="1:11" ht="19.5" customHeight="1" x14ac:dyDescent="0.3">
      <c r="A57" s="30" t="str">
        <f t="shared" ref="A57:A74" si="1">IFERROR("AFV-"&amp;TEXT(ROW()-24,"000"),"")</f>
        <v>AFV-033</v>
      </c>
      <c r="B57" s="24"/>
      <c r="C57" s="24"/>
      <c r="D57" s="24"/>
      <c r="E57" s="24"/>
      <c r="F57" s="24"/>
      <c r="G57" s="24"/>
      <c r="H57" s="24"/>
      <c r="I57" s="24"/>
      <c r="J57" s="24"/>
      <c r="K57" s="24"/>
    </row>
    <row r="58" spans="1:11" ht="19.5" customHeight="1" x14ac:dyDescent="0.3">
      <c r="A58" s="41" t="str">
        <f t="shared" si="1"/>
        <v>AFV-034</v>
      </c>
      <c r="B58" s="42"/>
      <c r="C58" s="42"/>
      <c r="D58" s="42"/>
      <c r="E58" s="42"/>
      <c r="F58" s="42"/>
      <c r="G58" s="42"/>
      <c r="H58" s="42"/>
      <c r="I58" s="42"/>
      <c r="J58" s="42"/>
      <c r="K58" s="42"/>
    </row>
    <row r="59" spans="1:11" ht="19.5" customHeight="1" x14ac:dyDescent="0.3">
      <c r="A59" s="30" t="str">
        <f t="shared" si="1"/>
        <v>AFV-035</v>
      </c>
      <c r="B59" s="24"/>
      <c r="C59" s="24"/>
      <c r="D59" s="24"/>
      <c r="E59" s="24"/>
      <c r="F59" s="24"/>
      <c r="G59" s="24"/>
      <c r="H59" s="24"/>
      <c r="I59" s="24"/>
      <c r="J59" s="24"/>
      <c r="K59" s="24"/>
    </row>
    <row r="60" spans="1:11" ht="19.5" customHeight="1" x14ac:dyDescent="0.3">
      <c r="A60" s="41" t="str">
        <f t="shared" si="1"/>
        <v>AFV-036</v>
      </c>
      <c r="B60" s="42"/>
      <c r="C60" s="42"/>
      <c r="D60" s="42"/>
      <c r="E60" s="42"/>
      <c r="F60" s="42"/>
      <c r="G60" s="42"/>
      <c r="H60" s="42"/>
      <c r="I60" s="42"/>
      <c r="J60" s="42"/>
      <c r="K60" s="42"/>
    </row>
    <row r="61" spans="1:11" ht="19.5" customHeight="1" x14ac:dyDescent="0.3">
      <c r="A61" s="30" t="str">
        <f t="shared" si="1"/>
        <v>AFV-037</v>
      </c>
      <c r="B61" s="24"/>
      <c r="C61" s="24"/>
      <c r="D61" s="24"/>
      <c r="E61" s="24"/>
      <c r="F61" s="24"/>
      <c r="G61" s="24"/>
      <c r="H61" s="24"/>
      <c r="I61" s="24"/>
      <c r="J61" s="24"/>
      <c r="K61" s="24"/>
    </row>
    <row r="62" spans="1:11" ht="19.5" customHeight="1" x14ac:dyDescent="0.3">
      <c r="A62" s="41" t="str">
        <f t="shared" si="1"/>
        <v>AFV-038</v>
      </c>
      <c r="B62" s="42"/>
      <c r="C62" s="42"/>
      <c r="D62" s="42"/>
      <c r="E62" s="42"/>
      <c r="F62" s="42"/>
      <c r="G62" s="42"/>
      <c r="H62" s="42"/>
      <c r="I62" s="42"/>
      <c r="J62" s="42"/>
      <c r="K62" s="42"/>
    </row>
    <row r="63" spans="1:11" ht="19.5" customHeight="1" x14ac:dyDescent="0.3">
      <c r="A63" s="30" t="str">
        <f t="shared" si="1"/>
        <v>AFV-039</v>
      </c>
      <c r="B63" s="24"/>
      <c r="C63" s="24"/>
      <c r="D63" s="24"/>
      <c r="E63" s="24"/>
      <c r="F63" s="24"/>
      <c r="G63" s="24"/>
      <c r="H63" s="24"/>
      <c r="I63" s="24"/>
      <c r="J63" s="24"/>
      <c r="K63" s="24"/>
    </row>
    <row r="64" spans="1:11" ht="19.5" customHeight="1" x14ac:dyDescent="0.3">
      <c r="A64" s="41" t="str">
        <f t="shared" si="1"/>
        <v>AFV-040</v>
      </c>
      <c r="B64" s="42"/>
      <c r="C64" s="42"/>
      <c r="D64" s="42"/>
      <c r="E64" s="42"/>
      <c r="F64" s="42"/>
      <c r="G64" s="42"/>
      <c r="H64" s="42"/>
      <c r="I64" s="42"/>
      <c r="J64" s="42"/>
      <c r="K64" s="42"/>
    </row>
    <row r="65" spans="1:11" ht="19.5" customHeight="1" x14ac:dyDescent="0.3">
      <c r="A65" s="30" t="str">
        <f t="shared" si="1"/>
        <v>AFV-041</v>
      </c>
      <c r="B65" s="24"/>
      <c r="C65" s="24"/>
      <c r="D65" s="24"/>
      <c r="E65" s="24"/>
      <c r="F65" s="24"/>
      <c r="G65" s="24"/>
      <c r="H65" s="24"/>
      <c r="I65" s="24"/>
      <c r="J65" s="24"/>
      <c r="K65" s="24"/>
    </row>
    <row r="66" spans="1:11" ht="19.5" customHeight="1" x14ac:dyDescent="0.3">
      <c r="A66" s="41" t="str">
        <f t="shared" si="1"/>
        <v>AFV-042</v>
      </c>
      <c r="B66" s="42"/>
      <c r="C66" s="42"/>
      <c r="D66" s="42"/>
      <c r="E66" s="42"/>
      <c r="F66" s="42"/>
      <c r="G66" s="42"/>
      <c r="H66" s="42"/>
      <c r="I66" s="42"/>
      <c r="J66" s="42"/>
      <c r="K66" s="42"/>
    </row>
    <row r="67" spans="1:11" ht="19.5" customHeight="1" x14ac:dyDescent="0.3">
      <c r="A67" s="30" t="str">
        <f t="shared" si="1"/>
        <v>AFV-043</v>
      </c>
      <c r="B67" s="24"/>
      <c r="C67" s="24"/>
      <c r="D67" s="24"/>
      <c r="E67" s="24"/>
      <c r="F67" s="24"/>
      <c r="G67" s="24"/>
      <c r="H67" s="24"/>
      <c r="I67" s="24"/>
      <c r="J67" s="24"/>
      <c r="K67" s="24"/>
    </row>
    <row r="68" spans="1:11" ht="19.5" customHeight="1" x14ac:dyDescent="0.3">
      <c r="A68" s="41" t="str">
        <f t="shared" si="1"/>
        <v>AFV-044</v>
      </c>
      <c r="B68" s="42"/>
      <c r="C68" s="42"/>
      <c r="D68" s="42"/>
      <c r="E68" s="42"/>
      <c r="F68" s="42"/>
      <c r="G68" s="42"/>
      <c r="H68" s="42"/>
      <c r="I68" s="42"/>
      <c r="J68" s="42"/>
      <c r="K68" s="42"/>
    </row>
    <row r="69" spans="1:11" ht="19.5" customHeight="1" x14ac:dyDescent="0.3">
      <c r="A69" s="30" t="str">
        <f t="shared" si="1"/>
        <v>AFV-045</v>
      </c>
      <c r="B69" s="24"/>
      <c r="C69" s="24"/>
      <c r="D69" s="24"/>
      <c r="E69" s="24"/>
      <c r="F69" s="24"/>
      <c r="G69" s="24"/>
      <c r="H69" s="24"/>
      <c r="I69" s="24"/>
      <c r="J69" s="24"/>
      <c r="K69" s="24"/>
    </row>
    <row r="70" spans="1:11" ht="19.5" customHeight="1" x14ac:dyDescent="0.3">
      <c r="A70" s="41" t="str">
        <f t="shared" si="1"/>
        <v>AFV-046</v>
      </c>
      <c r="B70" s="42"/>
      <c r="C70" s="42"/>
      <c r="D70" s="42"/>
      <c r="E70" s="42"/>
      <c r="F70" s="42"/>
      <c r="G70" s="42"/>
      <c r="H70" s="42"/>
      <c r="I70" s="42"/>
      <c r="J70" s="42"/>
      <c r="K70" s="42"/>
    </row>
    <row r="71" spans="1:11" ht="19.5" customHeight="1" x14ac:dyDescent="0.3">
      <c r="A71" s="30" t="str">
        <f t="shared" si="1"/>
        <v>AFV-047</v>
      </c>
      <c r="B71" s="24"/>
      <c r="C71" s="24"/>
      <c r="D71" s="24"/>
      <c r="E71" s="24"/>
      <c r="F71" s="24"/>
      <c r="G71" s="24"/>
      <c r="H71" s="24"/>
      <c r="I71" s="24"/>
      <c r="J71" s="24"/>
      <c r="K71" s="24"/>
    </row>
    <row r="72" spans="1:11" ht="19.5" customHeight="1" x14ac:dyDescent="0.3">
      <c r="A72" s="41" t="str">
        <f t="shared" si="1"/>
        <v>AFV-048</v>
      </c>
      <c r="B72" s="42"/>
      <c r="C72" s="42"/>
      <c r="D72" s="42"/>
      <c r="E72" s="42"/>
      <c r="F72" s="42"/>
      <c r="G72" s="42"/>
      <c r="H72" s="42"/>
      <c r="I72" s="42"/>
      <c r="J72" s="42"/>
      <c r="K72" s="42"/>
    </row>
    <row r="73" spans="1:11" ht="19.5" customHeight="1" x14ac:dyDescent="0.3">
      <c r="A73" s="30" t="str">
        <f t="shared" si="1"/>
        <v>AFV-049</v>
      </c>
      <c r="B73" s="24"/>
      <c r="C73" s="24"/>
      <c r="D73" s="24"/>
      <c r="E73" s="24"/>
      <c r="F73" s="24"/>
      <c r="G73" s="24"/>
      <c r="H73" s="24"/>
      <c r="I73" s="24"/>
      <c r="J73" s="24"/>
      <c r="K73" s="24"/>
    </row>
    <row r="74" spans="1:11" ht="19.5" customHeight="1" x14ac:dyDescent="0.3">
      <c r="A74" s="41" t="str">
        <f t="shared" si="1"/>
        <v>AFV-050</v>
      </c>
      <c r="B74" s="42"/>
      <c r="C74" s="42"/>
      <c r="D74" s="42"/>
      <c r="E74" s="42"/>
      <c r="F74" s="42"/>
      <c r="G74" s="42"/>
      <c r="H74" s="42"/>
      <c r="I74" s="42"/>
      <c r="J74" s="42"/>
      <c r="K74" s="42"/>
    </row>
  </sheetData>
  <mergeCells count="28">
    <mergeCell ref="M24:N24"/>
    <mergeCell ref="A19:B19"/>
    <mergeCell ref="C19:K19"/>
    <mergeCell ref="A20:B20"/>
    <mergeCell ref="C20:K20"/>
    <mergeCell ref="A21:B21"/>
    <mergeCell ref="C21:K21"/>
    <mergeCell ref="A15:K15"/>
    <mergeCell ref="A16:K16"/>
    <mergeCell ref="A17:K17"/>
    <mergeCell ref="A18:B18"/>
    <mergeCell ref="C18:K18"/>
    <mergeCell ref="A11:K11"/>
    <mergeCell ref="A12:K12"/>
    <mergeCell ref="A13:B13"/>
    <mergeCell ref="C13:K13"/>
    <mergeCell ref="A14:B14"/>
    <mergeCell ref="C14:K14"/>
    <mergeCell ref="A7:K7"/>
    <mergeCell ref="A8:K8"/>
    <mergeCell ref="A9:K9"/>
    <mergeCell ref="A10:B10"/>
    <mergeCell ref="C10:K10"/>
    <mergeCell ref="A1:K1"/>
    <mergeCell ref="A2:K2"/>
    <mergeCell ref="A4:K4"/>
    <mergeCell ref="A5:K5"/>
    <mergeCell ref="A6:K6"/>
  </mergeCells>
  <conditionalFormatting sqref="K25:K74">
    <cfRule type="expression" dxfId="11" priority="2">
      <formula>K25="Godkendt"</formula>
    </cfRule>
    <cfRule type="expression" dxfId="10" priority="3">
      <formula>K25="Afvigelse"</formula>
    </cfRule>
    <cfRule type="expression" dxfId="9" priority="4">
      <formula>K25="Under behandling"</formula>
    </cfRule>
  </conditionalFormatting>
  <dataValidations count="1">
    <dataValidation type="list" allowBlank="1" showErrorMessage="1" errorTitle="Ugyldig" error="Vælg fra listen." sqref="K25:K74" xr:uid="{00000000-0002-0000-0700-000000000000}">
      <formula1>"Åben,Under behandling,Afsluttet,Lukket uden handling"</formula1>
      <formula2>0</formula2>
    </dataValidation>
  </dataValidations>
  <pageMargins left="0.5" right="0.5" top="0.75" bottom="0.75" header="0.5" footer="0.5"/>
  <pageSetup orientation="landscape" horizontalDpi="300" verticalDpi="300"/>
  <headerFooter>
    <oddHeader>&amp;CKLS — Afvigelsesrapport</oddHeader>
    <oddFooter>&amp;CKLS Kvalitetsledelsessystem  ·  Side &amp;P af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67E22"/>
    <pageSetUpPr fitToPage="1"/>
  </sheetPr>
  <dimension ref="A1:G49"/>
  <sheetViews>
    <sheetView zoomScaleNormal="100" workbookViewId="0">
      <pane ySplit="27" topLeftCell="A28" activePane="bottomLeft" state="frozen"/>
      <selection pane="bottomLeft" sqref="A1:G1"/>
    </sheetView>
  </sheetViews>
  <sheetFormatPr defaultColWidth="8.6640625" defaultRowHeight="14.4" x14ac:dyDescent="0.3"/>
  <cols>
    <col min="1" max="1" width="6" customWidth="1"/>
    <col min="2" max="2" width="42" customWidth="1"/>
    <col min="3" max="3" width="22" customWidth="1"/>
    <col min="4" max="4" width="16" customWidth="1"/>
    <col min="5" max="5" width="18" customWidth="1"/>
    <col min="6" max="6" width="13" customWidth="1"/>
    <col min="7" max="7" width="16" customWidth="1"/>
  </cols>
  <sheetData>
    <row r="1" spans="1:7" ht="42" customHeight="1" x14ac:dyDescent="0.3">
      <c r="A1" s="86" t="s">
        <v>317</v>
      </c>
      <c r="B1" s="86"/>
      <c r="C1" s="86"/>
      <c r="D1" s="86"/>
      <c r="E1" s="86"/>
      <c r="F1" s="86"/>
      <c r="G1" s="86"/>
    </row>
    <row r="2" spans="1:7" ht="15" customHeight="1" x14ac:dyDescent="0.3">
      <c r="A2" s="87" t="s">
        <v>318</v>
      </c>
      <c r="B2" s="87"/>
      <c r="C2" s="87"/>
      <c r="D2" s="87"/>
      <c r="E2" s="87"/>
      <c r="F2" s="87"/>
      <c r="G2" s="87"/>
    </row>
    <row r="3" spans="1:7" ht="15" customHeight="1" x14ac:dyDescent="0.3"/>
    <row r="4" spans="1:7" ht="21.75" customHeight="1" x14ac:dyDescent="0.3">
      <c r="A4" s="12" t="s">
        <v>319</v>
      </c>
      <c r="B4" s="12"/>
      <c r="C4" s="12"/>
      <c r="D4" s="12"/>
      <c r="E4" s="12"/>
      <c r="F4" s="12"/>
      <c r="G4" s="12"/>
    </row>
    <row r="5" spans="1:7" ht="19.5" customHeight="1" x14ac:dyDescent="0.3">
      <c r="A5" s="11" t="s">
        <v>3</v>
      </c>
      <c r="B5" s="11"/>
      <c r="C5" s="11"/>
      <c r="D5" s="11"/>
      <c r="E5" s="11"/>
      <c r="F5" s="11"/>
      <c r="G5" s="11"/>
    </row>
    <row r="6" spans="1:7" ht="36" customHeight="1" x14ac:dyDescent="0.3">
      <c r="A6" s="10" t="s">
        <v>320</v>
      </c>
      <c r="B6" s="10"/>
      <c r="C6" s="10"/>
      <c r="D6" s="10"/>
      <c r="E6" s="10"/>
      <c r="F6" s="10"/>
      <c r="G6" s="10"/>
    </row>
    <row r="7" spans="1:7" ht="27.75" customHeight="1" x14ac:dyDescent="0.3">
      <c r="A7" s="3" t="s">
        <v>321</v>
      </c>
      <c r="B7" s="3"/>
      <c r="C7" s="3"/>
      <c r="D7" s="3"/>
      <c r="E7" s="3"/>
      <c r="F7" s="3"/>
      <c r="G7" s="3"/>
    </row>
    <row r="8" spans="1:7" ht="4.5" customHeight="1" x14ac:dyDescent="0.3">
      <c r="A8" s="9"/>
      <c r="B8" s="9"/>
      <c r="C8" s="9"/>
      <c r="D8" s="9"/>
      <c r="E8" s="9"/>
      <c r="F8" s="9"/>
      <c r="G8" s="9"/>
    </row>
    <row r="9" spans="1:7" ht="19.5" customHeight="1" x14ac:dyDescent="0.3">
      <c r="A9" s="8" t="s">
        <v>322</v>
      </c>
      <c r="B9" s="8"/>
      <c r="C9" s="8"/>
      <c r="D9" s="8"/>
      <c r="E9" s="8"/>
      <c r="F9" s="8"/>
      <c r="G9" s="8"/>
    </row>
    <row r="10" spans="1:7" ht="36" customHeight="1" x14ac:dyDescent="0.3">
      <c r="A10" s="7" t="s">
        <v>323</v>
      </c>
      <c r="B10" s="7"/>
      <c r="C10" s="6" t="s">
        <v>324</v>
      </c>
      <c r="D10" s="6"/>
      <c r="E10" s="6"/>
      <c r="F10" s="6"/>
      <c r="G10" s="6"/>
    </row>
    <row r="11" spans="1:7" ht="36" customHeight="1" x14ac:dyDescent="0.3">
      <c r="A11" s="7" t="s">
        <v>325</v>
      </c>
      <c r="B11" s="7"/>
      <c r="C11" s="6" t="s">
        <v>326</v>
      </c>
      <c r="D11" s="6"/>
      <c r="E11" s="6"/>
      <c r="F11" s="6"/>
      <c r="G11" s="6"/>
    </row>
    <row r="12" spans="1:7" ht="36" customHeight="1" x14ac:dyDescent="0.3">
      <c r="A12" s="7" t="s">
        <v>327</v>
      </c>
      <c r="B12" s="7"/>
      <c r="C12" s="6" t="s">
        <v>328</v>
      </c>
      <c r="D12" s="6"/>
      <c r="E12" s="6"/>
      <c r="F12" s="6"/>
      <c r="G12" s="6"/>
    </row>
    <row r="13" spans="1:7" ht="15" customHeight="1" x14ac:dyDescent="0.3">
      <c r="A13" s="70" t="s">
        <v>93</v>
      </c>
      <c r="B13" s="70"/>
      <c r="C13" s="70"/>
      <c r="D13" s="70"/>
      <c r="E13" s="70"/>
      <c r="F13" s="70"/>
      <c r="G13" s="70"/>
    </row>
    <row r="14" spans="1:7" ht="19.5" customHeight="1" x14ac:dyDescent="0.3">
      <c r="A14" s="71" t="s">
        <v>329</v>
      </c>
      <c r="B14" s="71"/>
      <c r="C14" s="71"/>
      <c r="D14" s="71"/>
      <c r="E14" s="71"/>
      <c r="F14" s="71"/>
      <c r="G14" s="71"/>
    </row>
    <row r="15" spans="1:7" ht="19.5" customHeight="1" x14ac:dyDescent="0.3">
      <c r="A15" s="72" t="s">
        <v>330</v>
      </c>
      <c r="B15" s="72"/>
      <c r="C15" s="72"/>
      <c r="D15" s="72"/>
      <c r="E15" s="72"/>
      <c r="F15" s="72"/>
      <c r="G15" s="72"/>
    </row>
    <row r="16" spans="1:7" ht="36" customHeight="1" x14ac:dyDescent="0.3">
      <c r="A16" s="76" t="s">
        <v>331</v>
      </c>
      <c r="B16" s="76"/>
      <c r="C16" s="77" t="s">
        <v>332</v>
      </c>
      <c r="D16" s="77"/>
      <c r="E16" s="77"/>
      <c r="F16" s="77"/>
      <c r="G16" s="77"/>
    </row>
    <row r="17" spans="1:7" ht="36" customHeight="1" x14ac:dyDescent="0.3">
      <c r="A17" s="7" t="s">
        <v>333</v>
      </c>
      <c r="B17" s="7"/>
      <c r="C17" s="6" t="s">
        <v>334</v>
      </c>
      <c r="D17" s="6"/>
      <c r="E17" s="6"/>
      <c r="F17" s="6"/>
      <c r="G17" s="6"/>
    </row>
    <row r="18" spans="1:7" ht="15" customHeight="1" x14ac:dyDescent="0.3"/>
    <row r="19" spans="1:7" ht="15" customHeight="1" x14ac:dyDescent="0.3"/>
    <row r="20" spans="1:7" ht="19.5" customHeight="1" x14ac:dyDescent="0.3">
      <c r="A20" s="2" t="s">
        <v>335</v>
      </c>
      <c r="B20" s="2"/>
      <c r="C20" s="2"/>
      <c r="D20" s="2"/>
      <c r="E20" s="2"/>
      <c r="F20" s="2"/>
      <c r="G20" s="2"/>
    </row>
    <row r="21" spans="1:7" ht="19.5" customHeight="1" x14ac:dyDescent="0.3">
      <c r="A21" s="43" t="s">
        <v>336</v>
      </c>
      <c r="B21" s="1"/>
      <c r="C21" s="1"/>
      <c r="D21" s="1"/>
      <c r="E21" s="1"/>
      <c r="F21" s="1"/>
      <c r="G21" s="1"/>
    </row>
    <row r="22" spans="1:7" ht="19.5" customHeight="1" x14ac:dyDescent="0.3">
      <c r="A22" s="43" t="s">
        <v>337</v>
      </c>
      <c r="B22" s="1"/>
      <c r="C22" s="1"/>
      <c r="D22" s="1"/>
      <c r="E22" s="1"/>
      <c r="F22" s="1"/>
      <c r="G22" s="1"/>
    </row>
    <row r="23" spans="1:7" ht="19.5" customHeight="1" x14ac:dyDescent="0.3">
      <c r="A23" s="43" t="s">
        <v>338</v>
      </c>
      <c r="B23" s="1"/>
      <c r="C23" s="1"/>
      <c r="D23" s="1"/>
      <c r="E23" s="1"/>
      <c r="F23" s="1"/>
      <c r="G23" s="1"/>
    </row>
    <row r="24" spans="1:7" ht="19.5" customHeight="1" x14ac:dyDescent="0.3">
      <c r="A24" s="43" t="s">
        <v>339</v>
      </c>
      <c r="B24" s="1"/>
      <c r="C24" s="1"/>
      <c r="D24" s="1"/>
      <c r="E24" s="1"/>
      <c r="F24" s="1"/>
      <c r="G24" s="1"/>
    </row>
    <row r="25" spans="1:7" ht="15" customHeight="1" x14ac:dyDescent="0.3"/>
    <row r="26" spans="1:7" ht="21.75" customHeight="1" x14ac:dyDescent="0.3">
      <c r="A26" s="2" t="s">
        <v>340</v>
      </c>
      <c r="B26" s="2"/>
      <c r="C26" s="2"/>
      <c r="D26" s="2"/>
      <c r="E26" s="2"/>
      <c r="F26" s="2"/>
      <c r="G26" s="2"/>
    </row>
    <row r="27" spans="1:7" ht="27.75" customHeight="1" x14ac:dyDescent="0.3">
      <c r="A27" s="26" t="s">
        <v>172</v>
      </c>
      <c r="B27" s="26" t="s">
        <v>341</v>
      </c>
      <c r="C27" s="26" t="s">
        <v>342</v>
      </c>
      <c r="D27" s="26" t="s">
        <v>343</v>
      </c>
      <c r="E27" s="26" t="s">
        <v>175</v>
      </c>
      <c r="F27" s="26" t="s">
        <v>310</v>
      </c>
      <c r="G27" s="26" t="s">
        <v>156</v>
      </c>
    </row>
    <row r="28" spans="1:7" ht="19.5" customHeight="1" x14ac:dyDescent="0.3">
      <c r="A28" s="44" t="s">
        <v>37</v>
      </c>
      <c r="B28" s="45" t="s">
        <v>344</v>
      </c>
      <c r="C28" s="45"/>
      <c r="D28" s="45"/>
      <c r="E28" s="45"/>
      <c r="F28" s="45"/>
      <c r="G28" s="45"/>
    </row>
    <row r="29" spans="1:7" ht="19.5" customHeight="1" x14ac:dyDescent="0.3">
      <c r="A29" s="20" t="s">
        <v>41</v>
      </c>
      <c r="B29" s="46" t="s">
        <v>345</v>
      </c>
      <c r="C29" s="46"/>
      <c r="D29" s="46"/>
      <c r="E29" s="46"/>
      <c r="F29" s="46"/>
      <c r="G29" s="46"/>
    </row>
    <row r="30" spans="1:7" ht="19.5" customHeight="1" x14ac:dyDescent="0.3">
      <c r="A30" s="44" t="s">
        <v>45</v>
      </c>
      <c r="B30" s="45" t="s">
        <v>346</v>
      </c>
      <c r="C30" s="45"/>
      <c r="D30" s="45"/>
      <c r="E30" s="45"/>
      <c r="F30" s="45"/>
      <c r="G30" s="45"/>
    </row>
    <row r="31" spans="1:7" ht="19.5" customHeight="1" x14ac:dyDescent="0.3">
      <c r="A31" s="20" t="s">
        <v>48</v>
      </c>
      <c r="B31" s="46" t="s">
        <v>347</v>
      </c>
      <c r="C31" s="46"/>
      <c r="D31" s="46"/>
      <c r="E31" s="46"/>
      <c r="F31" s="46"/>
      <c r="G31" s="46"/>
    </row>
    <row r="32" spans="1:7" ht="19.5" customHeight="1" x14ac:dyDescent="0.3">
      <c r="A32" s="44" t="s">
        <v>52</v>
      </c>
      <c r="B32" s="45" t="s">
        <v>348</v>
      </c>
      <c r="C32" s="45"/>
      <c r="D32" s="45"/>
      <c r="E32" s="45"/>
      <c r="F32" s="45"/>
      <c r="G32" s="45"/>
    </row>
    <row r="33" spans="1:7" ht="19.5" customHeight="1" x14ac:dyDescent="0.3">
      <c r="A33" s="20" t="s">
        <v>56</v>
      </c>
      <c r="B33" s="46" t="s">
        <v>349</v>
      </c>
      <c r="C33" s="46"/>
      <c r="D33" s="46"/>
      <c r="E33" s="46"/>
      <c r="F33" s="46"/>
      <c r="G33" s="46"/>
    </row>
    <row r="34" spans="1:7" ht="19.5" customHeight="1" x14ac:dyDescent="0.3">
      <c r="A34" s="44" t="s">
        <v>60</v>
      </c>
      <c r="B34" s="45" t="s">
        <v>209</v>
      </c>
      <c r="C34" s="45"/>
      <c r="D34" s="45"/>
      <c r="E34" s="45"/>
      <c r="F34" s="45"/>
      <c r="G34" s="45"/>
    </row>
    <row r="35" spans="1:7" ht="19.5" customHeight="1" x14ac:dyDescent="0.3">
      <c r="A35" s="20" t="s">
        <v>64</v>
      </c>
      <c r="B35" s="46" t="s">
        <v>350</v>
      </c>
      <c r="C35" s="46"/>
      <c r="D35" s="46"/>
      <c r="E35" s="46"/>
      <c r="F35" s="46"/>
      <c r="G35" s="46"/>
    </row>
    <row r="36" spans="1:7" ht="19.5" customHeight="1" x14ac:dyDescent="0.3">
      <c r="A36" s="44" t="s">
        <v>68</v>
      </c>
      <c r="B36" s="45" t="s">
        <v>351</v>
      </c>
      <c r="C36" s="45"/>
      <c r="D36" s="45"/>
      <c r="E36" s="45"/>
      <c r="F36" s="45"/>
      <c r="G36" s="45"/>
    </row>
    <row r="37" spans="1:7" ht="19.5" customHeight="1" x14ac:dyDescent="0.3">
      <c r="A37" s="20" t="s">
        <v>71</v>
      </c>
      <c r="B37" s="46" t="s">
        <v>352</v>
      </c>
      <c r="C37" s="46"/>
      <c r="D37" s="46"/>
      <c r="E37" s="46"/>
      <c r="F37" s="46"/>
      <c r="G37" s="46"/>
    </row>
    <row r="38" spans="1:7" ht="19.5" customHeight="1" x14ac:dyDescent="0.3">
      <c r="A38" s="44" t="s">
        <v>74</v>
      </c>
      <c r="B38" s="45" t="s">
        <v>353</v>
      </c>
      <c r="C38" s="45"/>
      <c r="D38" s="45"/>
      <c r="E38" s="45"/>
      <c r="F38" s="45"/>
      <c r="G38" s="45"/>
    </row>
    <row r="39" spans="1:7" ht="19.5" customHeight="1" x14ac:dyDescent="0.3">
      <c r="A39" s="20" t="s">
        <v>77</v>
      </c>
      <c r="B39" s="46" t="s">
        <v>354</v>
      </c>
      <c r="C39" s="46"/>
      <c r="D39" s="46"/>
      <c r="E39" s="46"/>
      <c r="F39" s="46"/>
      <c r="G39" s="46"/>
    </row>
    <row r="40" spans="1:7" ht="15" customHeight="1" x14ac:dyDescent="0.3"/>
    <row r="41" spans="1:7" ht="15" customHeight="1" x14ac:dyDescent="0.3">
      <c r="A41" s="2" t="s">
        <v>355</v>
      </c>
      <c r="B41" s="2"/>
      <c r="C41" s="2"/>
      <c r="D41" s="2"/>
      <c r="E41" s="2"/>
      <c r="F41" s="2"/>
      <c r="G41" s="2"/>
    </row>
    <row r="42" spans="1:7" ht="42" customHeight="1" x14ac:dyDescent="0.3">
      <c r="A42" s="43" t="s">
        <v>356</v>
      </c>
      <c r="B42" s="88"/>
      <c r="C42" s="88"/>
      <c r="D42" s="88"/>
      <c r="E42" s="88"/>
      <c r="F42" s="88"/>
      <c r="G42" s="88"/>
    </row>
    <row r="43" spans="1:7" ht="42" customHeight="1" x14ac:dyDescent="0.3">
      <c r="A43" s="43" t="s">
        <v>357</v>
      </c>
      <c r="B43" s="88"/>
      <c r="C43" s="88"/>
      <c r="D43" s="88"/>
      <c r="E43" s="88"/>
      <c r="F43" s="88"/>
      <c r="G43" s="88"/>
    </row>
    <row r="44" spans="1:7" ht="42" customHeight="1" x14ac:dyDescent="0.3">
      <c r="A44" s="43" t="s">
        <v>358</v>
      </c>
      <c r="B44" s="88"/>
      <c r="C44" s="88"/>
      <c r="D44" s="88"/>
      <c r="E44" s="88"/>
      <c r="F44" s="88"/>
      <c r="G44" s="88"/>
    </row>
    <row r="45" spans="1:7" ht="15" customHeight="1" x14ac:dyDescent="0.3"/>
    <row r="46" spans="1:7" ht="15" customHeight="1" x14ac:dyDescent="0.3">
      <c r="A46" s="73" t="s">
        <v>359</v>
      </c>
      <c r="B46" s="73"/>
      <c r="C46" s="73"/>
      <c r="D46" s="73"/>
      <c r="E46" s="73"/>
      <c r="F46" s="73"/>
      <c r="G46" s="73"/>
    </row>
    <row r="47" spans="1:7" ht="27.75" customHeight="1" x14ac:dyDescent="0.3">
      <c r="A47" s="22" t="s">
        <v>360</v>
      </c>
      <c r="B47" s="1"/>
      <c r="C47" s="1"/>
      <c r="D47" s="1"/>
      <c r="E47" s="1"/>
      <c r="F47" s="1"/>
      <c r="G47" s="1"/>
    </row>
    <row r="48" spans="1:7" ht="27.75" customHeight="1" x14ac:dyDescent="0.3">
      <c r="A48" s="22" t="s">
        <v>125</v>
      </c>
      <c r="B48" s="1"/>
      <c r="C48" s="1"/>
      <c r="D48" s="1"/>
      <c r="E48" s="1"/>
      <c r="F48" s="1"/>
      <c r="G48" s="1"/>
    </row>
    <row r="49" spans="1:7" ht="27.75" customHeight="1" x14ac:dyDescent="0.3">
      <c r="A49" s="22" t="s">
        <v>126</v>
      </c>
      <c r="B49" s="1"/>
      <c r="C49" s="1"/>
      <c r="D49" s="1"/>
      <c r="E49" s="1"/>
      <c r="F49" s="1"/>
      <c r="G49" s="1"/>
    </row>
  </sheetData>
  <mergeCells count="35">
    <mergeCell ref="A46:G46"/>
    <mergeCell ref="B47:G47"/>
    <mergeCell ref="B48:G48"/>
    <mergeCell ref="B49:G49"/>
    <mergeCell ref="A26:G26"/>
    <mergeCell ref="A41:G41"/>
    <mergeCell ref="B42:G42"/>
    <mergeCell ref="B43:G43"/>
    <mergeCell ref="B44:G44"/>
    <mergeCell ref="A20:G20"/>
    <mergeCell ref="B21:G21"/>
    <mergeCell ref="B22:G22"/>
    <mergeCell ref="B23:G23"/>
    <mergeCell ref="B24:G24"/>
    <mergeCell ref="A14:G14"/>
    <mergeCell ref="A15:G15"/>
    <mergeCell ref="A16:B16"/>
    <mergeCell ref="C16:G16"/>
    <mergeCell ref="A17:B17"/>
    <mergeCell ref="C17:G17"/>
    <mergeCell ref="A11:B11"/>
    <mergeCell ref="C11:G11"/>
    <mergeCell ref="A12:B12"/>
    <mergeCell ref="C12:G12"/>
    <mergeCell ref="A13:G13"/>
    <mergeCell ref="A7:G7"/>
    <mergeCell ref="A8:G8"/>
    <mergeCell ref="A9:G9"/>
    <mergeCell ref="A10:B10"/>
    <mergeCell ref="C10:G10"/>
    <mergeCell ref="A1:G1"/>
    <mergeCell ref="A2:G2"/>
    <mergeCell ref="A4:G4"/>
    <mergeCell ref="A5:G5"/>
    <mergeCell ref="A6:G6"/>
  </mergeCells>
  <dataValidations count="3">
    <dataValidation type="list" allowBlank="1" showErrorMessage="1" errorTitle="Ugyldig" error="Vælg fra listen." sqref="C28:C39" xr:uid="{00000000-0002-0000-0800-000000000000}">
      <formula1>"Tilfredsstillende,Kræver handling,Ikke relevant"</formula1>
      <formula2>0</formula2>
    </dataValidation>
    <dataValidation type="list" allowBlank="1" showErrorMessage="1" errorTitle="Ugyldig" error="Vælg fra listen." sqref="D28:D39" xr:uid="{00000000-0002-0000-0800-000001000000}">
      <formula1>"Ja,Nej"</formula1>
      <formula2>0</formula2>
    </dataValidation>
    <dataValidation type="list" allowBlank="1" showErrorMessage="1" errorTitle="Ugyldig" error="Vælg fra listen." sqref="G28:G39" xr:uid="{00000000-0002-0000-0800-000002000000}">
      <formula1>"Åben,Igangsat,Afsluttet"</formula1>
      <formula2>0</formula2>
    </dataValidation>
  </dataValidations>
  <pageMargins left="0.5" right="0.5" top="0.75" bottom="0.75" header="0.5" footer="0.5"/>
  <pageSetup orientation="landscape" horizontalDpi="300" verticalDpi="300"/>
  <headerFooter>
    <oddHeader>&amp;CKLS — Intern Efterprøvning</oddHeader>
    <oddFooter>&amp;CKLS Kvalitetsledelsessystem  ·  Side &amp;P af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44AD"/>
    <pageSetUpPr fitToPage="1"/>
  </sheetPr>
  <dimension ref="A1:L38"/>
  <sheetViews>
    <sheetView zoomScaleNormal="100" workbookViewId="0">
      <pane ySplit="18" topLeftCell="A19" activePane="bottomLeft" state="frozen"/>
      <selection pane="bottomLeft" sqref="A1:L1"/>
    </sheetView>
  </sheetViews>
  <sheetFormatPr defaultColWidth="8.6640625" defaultRowHeight="14.4" x14ac:dyDescent="0.3"/>
  <cols>
    <col min="1" max="1" width="20" customWidth="1"/>
    <col min="2" max="2" width="18" customWidth="1"/>
    <col min="3" max="3" width="24" customWidth="1"/>
    <col min="4" max="6" width="11" customWidth="1"/>
    <col min="7" max="7" width="14" customWidth="1"/>
    <col min="8" max="8" width="24" customWidth="1"/>
    <col min="9" max="9" width="13" customWidth="1"/>
    <col min="10" max="11" width="14" customWidth="1"/>
    <col min="12" max="12" width="18" customWidth="1"/>
  </cols>
  <sheetData>
    <row r="1" spans="1:12" ht="42" customHeight="1" x14ac:dyDescent="0.3">
      <c r="A1" s="89" t="s">
        <v>361</v>
      </c>
      <c r="B1" s="89"/>
      <c r="C1" s="89"/>
      <c r="D1" s="89"/>
      <c r="E1" s="89"/>
      <c r="F1" s="89"/>
      <c r="G1" s="89"/>
      <c r="H1" s="89"/>
      <c r="I1" s="89"/>
      <c r="J1" s="89"/>
      <c r="K1" s="89"/>
      <c r="L1" s="89"/>
    </row>
    <row r="2" spans="1:12" ht="15" customHeight="1" x14ac:dyDescent="0.3"/>
    <row r="3" spans="1:12" ht="21.75" customHeight="1" x14ac:dyDescent="0.3">
      <c r="A3" s="12" t="s">
        <v>362</v>
      </c>
      <c r="B3" s="12"/>
      <c r="C3" s="12"/>
      <c r="D3" s="12"/>
      <c r="E3" s="12"/>
      <c r="F3" s="12"/>
      <c r="G3" s="12"/>
      <c r="H3" s="12"/>
      <c r="I3" s="12"/>
      <c r="J3" s="12"/>
      <c r="K3" s="12"/>
      <c r="L3" s="12"/>
    </row>
    <row r="4" spans="1:12" ht="19.5" customHeight="1" x14ac:dyDescent="0.3">
      <c r="A4" s="11" t="s">
        <v>3</v>
      </c>
      <c r="B4" s="11"/>
      <c r="C4" s="11"/>
      <c r="D4" s="11"/>
      <c r="E4" s="11"/>
      <c r="F4" s="11"/>
      <c r="G4" s="11"/>
      <c r="H4" s="11"/>
      <c r="I4" s="11"/>
      <c r="J4" s="11"/>
      <c r="K4" s="11"/>
      <c r="L4" s="11"/>
    </row>
    <row r="5" spans="1:12" ht="36" customHeight="1" x14ac:dyDescent="0.3">
      <c r="A5" s="10" t="s">
        <v>363</v>
      </c>
      <c r="B5" s="10"/>
      <c r="C5" s="10"/>
      <c r="D5" s="10"/>
      <c r="E5" s="10"/>
      <c r="F5" s="10"/>
      <c r="G5" s="10"/>
      <c r="H5" s="10"/>
      <c r="I5" s="10"/>
      <c r="J5" s="10"/>
      <c r="K5" s="10"/>
      <c r="L5" s="10"/>
    </row>
    <row r="6" spans="1:12" ht="4.5" customHeight="1" x14ac:dyDescent="0.3">
      <c r="A6" s="9"/>
      <c r="B6" s="9"/>
      <c r="C6" s="9"/>
      <c r="D6" s="9"/>
      <c r="E6" s="9"/>
      <c r="F6" s="9"/>
      <c r="G6" s="9"/>
      <c r="H6" s="9"/>
      <c r="I6" s="9"/>
      <c r="J6" s="9"/>
      <c r="K6" s="9"/>
      <c r="L6" s="9"/>
    </row>
    <row r="7" spans="1:12" ht="19.5" customHeight="1" x14ac:dyDescent="0.3">
      <c r="A7" s="8" t="s">
        <v>160</v>
      </c>
      <c r="B7" s="8"/>
      <c r="C7" s="8"/>
      <c r="D7" s="8"/>
      <c r="E7" s="8"/>
      <c r="F7" s="8"/>
      <c r="G7" s="8"/>
      <c r="H7" s="8"/>
      <c r="I7" s="8"/>
      <c r="J7" s="8"/>
      <c r="K7" s="8"/>
      <c r="L7" s="8"/>
    </row>
    <row r="8" spans="1:12" ht="36" customHeight="1" x14ac:dyDescent="0.3">
      <c r="A8" s="7" t="s">
        <v>364</v>
      </c>
      <c r="B8" s="7"/>
      <c r="C8" s="6" t="s">
        <v>365</v>
      </c>
      <c r="D8" s="6"/>
      <c r="E8" s="6"/>
      <c r="F8" s="6"/>
      <c r="G8" s="6"/>
      <c r="H8" s="6"/>
      <c r="I8" s="6"/>
      <c r="J8" s="6"/>
      <c r="K8" s="6"/>
      <c r="L8" s="6"/>
    </row>
    <row r="9" spans="1:12" ht="36" customHeight="1" x14ac:dyDescent="0.3">
      <c r="A9" s="7" t="s">
        <v>366</v>
      </c>
      <c r="B9" s="7"/>
      <c r="C9" s="6" t="s">
        <v>367</v>
      </c>
      <c r="D9" s="6"/>
      <c r="E9" s="6"/>
      <c r="F9" s="6"/>
      <c r="G9" s="6"/>
      <c r="H9" s="6"/>
      <c r="I9" s="6"/>
      <c r="J9" s="6"/>
      <c r="K9" s="6"/>
      <c r="L9" s="6"/>
    </row>
    <row r="10" spans="1:12" ht="36" customHeight="1" x14ac:dyDescent="0.3">
      <c r="A10" s="7" t="s">
        <v>368</v>
      </c>
      <c r="B10" s="7"/>
      <c r="C10" s="6" t="s">
        <v>369</v>
      </c>
      <c r="D10" s="6"/>
      <c r="E10" s="6"/>
      <c r="F10" s="6"/>
      <c r="G10" s="6"/>
      <c r="H10" s="6"/>
      <c r="I10" s="6"/>
      <c r="J10" s="6"/>
      <c r="K10" s="6"/>
      <c r="L10" s="6"/>
    </row>
    <row r="11" spans="1:12" ht="15" customHeight="1" x14ac:dyDescent="0.3">
      <c r="A11" s="70" t="s">
        <v>93</v>
      </c>
      <c r="B11" s="70"/>
      <c r="C11" s="70"/>
      <c r="D11" s="70"/>
      <c r="E11" s="70"/>
      <c r="F11" s="70"/>
      <c r="G11" s="70"/>
      <c r="H11" s="70"/>
      <c r="I11" s="70"/>
      <c r="J11" s="70"/>
      <c r="K11" s="70"/>
      <c r="L11" s="70"/>
    </row>
    <row r="12" spans="1:12" ht="19.5" customHeight="1" x14ac:dyDescent="0.3">
      <c r="A12" s="71" t="s">
        <v>370</v>
      </c>
      <c r="B12" s="71"/>
      <c r="C12" s="71"/>
      <c r="D12" s="71"/>
      <c r="E12" s="71"/>
      <c r="F12" s="71"/>
      <c r="G12" s="71"/>
      <c r="H12" s="71"/>
      <c r="I12" s="71"/>
      <c r="J12" s="71"/>
      <c r="K12" s="71"/>
      <c r="L12" s="71"/>
    </row>
    <row r="13" spans="1:12" ht="19.5" customHeight="1" x14ac:dyDescent="0.3">
      <c r="A13" s="72" t="s">
        <v>371</v>
      </c>
      <c r="B13" s="72"/>
      <c r="C13" s="72"/>
      <c r="D13" s="72"/>
      <c r="E13" s="72"/>
      <c r="F13" s="72"/>
      <c r="G13" s="72"/>
      <c r="H13" s="72"/>
      <c r="I13" s="72"/>
      <c r="J13" s="72"/>
      <c r="K13" s="72"/>
      <c r="L13" s="72"/>
    </row>
    <row r="14" spans="1:12" ht="36" customHeight="1" x14ac:dyDescent="0.3">
      <c r="A14" s="76" t="s">
        <v>372</v>
      </c>
      <c r="B14" s="76"/>
      <c r="C14" s="77" t="s">
        <v>373</v>
      </c>
      <c r="D14" s="77"/>
      <c r="E14" s="77"/>
      <c r="F14" s="77"/>
      <c r="G14" s="77"/>
      <c r="H14" s="77"/>
      <c r="I14" s="77"/>
      <c r="J14" s="77"/>
      <c r="K14" s="77"/>
      <c r="L14" s="77"/>
    </row>
    <row r="15" spans="1:12" ht="27.75" customHeight="1" x14ac:dyDescent="0.3">
      <c r="A15" s="3" t="s">
        <v>374</v>
      </c>
      <c r="B15" s="3"/>
      <c r="C15" s="3"/>
      <c r="D15" s="3"/>
      <c r="E15" s="3"/>
      <c r="F15" s="3"/>
      <c r="G15" s="3"/>
      <c r="H15" s="3"/>
      <c r="I15" s="3"/>
      <c r="J15" s="3"/>
      <c r="K15" s="3"/>
      <c r="L15" s="3"/>
    </row>
    <row r="16" spans="1:12" ht="15" customHeight="1" x14ac:dyDescent="0.3"/>
    <row r="17" spans="1:12" ht="15" customHeight="1" x14ac:dyDescent="0.3"/>
    <row r="18" spans="1:12" ht="27.75" customHeight="1" x14ac:dyDescent="0.3">
      <c r="A18" s="47" t="s">
        <v>141</v>
      </c>
      <c r="B18" s="47" t="s">
        <v>142</v>
      </c>
      <c r="C18" s="47" t="s">
        <v>375</v>
      </c>
      <c r="D18" s="47" t="s">
        <v>376</v>
      </c>
      <c r="E18" s="47" t="s">
        <v>377</v>
      </c>
      <c r="F18" s="47" t="s">
        <v>378</v>
      </c>
      <c r="G18" s="47" t="s">
        <v>379</v>
      </c>
      <c r="H18" s="47" t="s">
        <v>380</v>
      </c>
      <c r="I18" s="47" t="s">
        <v>381</v>
      </c>
      <c r="J18" s="47" t="s">
        <v>382</v>
      </c>
      <c r="K18" s="47" t="s">
        <v>383</v>
      </c>
      <c r="L18" s="47" t="s">
        <v>384</v>
      </c>
    </row>
    <row r="19" spans="1:12" ht="19.5" customHeight="1" x14ac:dyDescent="0.3">
      <c r="A19" s="24"/>
      <c r="B19" s="24"/>
      <c r="C19" s="24"/>
      <c r="D19" s="24"/>
      <c r="E19" s="24"/>
      <c r="F19" s="24"/>
      <c r="G19" s="24"/>
      <c r="H19" s="24"/>
      <c r="I19" s="24"/>
      <c r="J19" s="24"/>
      <c r="K19" s="24"/>
      <c r="L19" s="24"/>
    </row>
    <row r="20" spans="1:12" ht="19.5" customHeight="1" x14ac:dyDescent="0.3">
      <c r="A20" s="48"/>
      <c r="B20" s="48"/>
      <c r="C20" s="48"/>
      <c r="D20" s="48"/>
      <c r="E20" s="48"/>
      <c r="F20" s="48"/>
      <c r="G20" s="48"/>
      <c r="H20" s="48"/>
      <c r="I20" s="48"/>
      <c r="J20" s="48"/>
      <c r="K20" s="48"/>
      <c r="L20" s="48"/>
    </row>
    <row r="21" spans="1:12" ht="19.5" customHeight="1" x14ac:dyDescent="0.3">
      <c r="A21" s="24"/>
      <c r="B21" s="24"/>
      <c r="C21" s="24"/>
      <c r="D21" s="24"/>
      <c r="E21" s="24"/>
      <c r="F21" s="24"/>
      <c r="G21" s="24"/>
      <c r="H21" s="24"/>
      <c r="I21" s="24"/>
      <c r="J21" s="24"/>
      <c r="K21" s="24"/>
      <c r="L21" s="24"/>
    </row>
    <row r="22" spans="1:12" ht="19.5" customHeight="1" x14ac:dyDescent="0.3">
      <c r="A22" s="48"/>
      <c r="B22" s="48"/>
      <c r="C22" s="48"/>
      <c r="D22" s="48"/>
      <c r="E22" s="48"/>
      <c r="F22" s="48"/>
      <c r="G22" s="48"/>
      <c r="H22" s="48"/>
      <c r="I22" s="48"/>
      <c r="J22" s="48"/>
      <c r="K22" s="48"/>
      <c r="L22" s="48"/>
    </row>
    <row r="23" spans="1:12" ht="19.5" customHeight="1" x14ac:dyDescent="0.3">
      <c r="A23" s="24"/>
      <c r="B23" s="24"/>
      <c r="C23" s="24"/>
      <c r="D23" s="24"/>
      <c r="E23" s="24"/>
      <c r="F23" s="24"/>
      <c r="G23" s="24"/>
      <c r="H23" s="24"/>
      <c r="I23" s="24"/>
      <c r="J23" s="24"/>
      <c r="K23" s="24"/>
      <c r="L23" s="24"/>
    </row>
    <row r="24" spans="1:12" ht="19.5" customHeight="1" x14ac:dyDescent="0.3">
      <c r="A24" s="48"/>
      <c r="B24" s="48"/>
      <c r="C24" s="48"/>
      <c r="D24" s="48"/>
      <c r="E24" s="48"/>
      <c r="F24" s="48"/>
      <c r="G24" s="48"/>
      <c r="H24" s="48"/>
      <c r="I24" s="48"/>
      <c r="J24" s="48"/>
      <c r="K24" s="48"/>
      <c r="L24" s="48"/>
    </row>
    <row r="25" spans="1:12" ht="19.5" customHeight="1" x14ac:dyDescent="0.3">
      <c r="A25" s="24"/>
      <c r="B25" s="24"/>
      <c r="C25" s="24"/>
      <c r="D25" s="24"/>
      <c r="E25" s="24"/>
      <c r="F25" s="24"/>
      <c r="G25" s="24"/>
      <c r="H25" s="24"/>
      <c r="I25" s="24"/>
      <c r="J25" s="24"/>
      <c r="K25" s="24"/>
      <c r="L25" s="24"/>
    </row>
    <row r="26" spans="1:12" ht="19.5" customHeight="1" x14ac:dyDescent="0.3">
      <c r="A26" s="48"/>
      <c r="B26" s="48"/>
      <c r="C26" s="48"/>
      <c r="D26" s="48"/>
      <c r="E26" s="48"/>
      <c r="F26" s="48"/>
      <c r="G26" s="48"/>
      <c r="H26" s="48"/>
      <c r="I26" s="48"/>
      <c r="J26" s="48"/>
      <c r="K26" s="48"/>
      <c r="L26" s="48"/>
    </row>
    <row r="27" spans="1:12" ht="19.5" customHeight="1" x14ac:dyDescent="0.3">
      <c r="A27" s="24"/>
      <c r="B27" s="24"/>
      <c r="C27" s="24"/>
      <c r="D27" s="24"/>
      <c r="E27" s="24"/>
      <c r="F27" s="24"/>
      <c r="G27" s="24"/>
      <c r="H27" s="24"/>
      <c r="I27" s="24"/>
      <c r="J27" s="24"/>
      <c r="K27" s="24"/>
      <c r="L27" s="24"/>
    </row>
    <row r="28" spans="1:12" ht="19.5" customHeight="1" x14ac:dyDescent="0.3">
      <c r="A28" s="48"/>
      <c r="B28" s="48"/>
      <c r="C28" s="48"/>
      <c r="D28" s="48"/>
      <c r="E28" s="48"/>
      <c r="F28" s="48"/>
      <c r="G28" s="48"/>
      <c r="H28" s="48"/>
      <c r="I28" s="48"/>
      <c r="J28" s="48"/>
      <c r="K28" s="48"/>
      <c r="L28" s="48"/>
    </row>
    <row r="29" spans="1:12" ht="19.5" customHeight="1" x14ac:dyDescent="0.3">
      <c r="A29" s="24"/>
      <c r="B29" s="24"/>
      <c r="C29" s="24"/>
      <c r="D29" s="24"/>
      <c r="E29" s="24"/>
      <c r="F29" s="24"/>
      <c r="G29" s="24"/>
      <c r="H29" s="24"/>
      <c r="I29" s="24"/>
      <c r="J29" s="24"/>
      <c r="K29" s="24"/>
      <c r="L29" s="24"/>
    </row>
    <row r="30" spans="1:12" ht="19.5" customHeight="1" x14ac:dyDescent="0.3">
      <c r="A30" s="48"/>
      <c r="B30" s="48"/>
      <c r="C30" s="48"/>
      <c r="D30" s="48"/>
      <c r="E30" s="48"/>
      <c r="F30" s="48"/>
      <c r="G30" s="48"/>
      <c r="H30" s="48"/>
      <c r="I30" s="48"/>
      <c r="J30" s="48"/>
      <c r="K30" s="48"/>
      <c r="L30" s="48"/>
    </row>
    <row r="31" spans="1:12" ht="19.5" customHeight="1" x14ac:dyDescent="0.3">
      <c r="A31" s="24"/>
      <c r="B31" s="24"/>
      <c r="C31" s="24"/>
      <c r="D31" s="24"/>
      <c r="E31" s="24"/>
      <c r="F31" s="24"/>
      <c r="G31" s="24"/>
      <c r="H31" s="24"/>
      <c r="I31" s="24"/>
      <c r="J31" s="24"/>
      <c r="K31" s="24"/>
      <c r="L31" s="24"/>
    </row>
    <row r="32" spans="1:12" ht="19.5" customHeight="1" x14ac:dyDescent="0.3">
      <c r="A32" s="48"/>
      <c r="B32" s="48"/>
      <c r="C32" s="48"/>
      <c r="D32" s="48"/>
      <c r="E32" s="48"/>
      <c r="F32" s="48"/>
      <c r="G32" s="48"/>
      <c r="H32" s="48"/>
      <c r="I32" s="48"/>
      <c r="J32" s="48"/>
      <c r="K32" s="48"/>
      <c r="L32" s="48"/>
    </row>
    <row r="33" spans="1:12" ht="19.5" customHeight="1" x14ac:dyDescent="0.3">
      <c r="A33" s="24"/>
      <c r="B33" s="24"/>
      <c r="C33" s="24"/>
      <c r="D33" s="24"/>
      <c r="E33" s="24"/>
      <c r="F33" s="24"/>
      <c r="G33" s="24"/>
      <c r="H33" s="24"/>
      <c r="I33" s="24"/>
      <c r="J33" s="24"/>
      <c r="K33" s="24"/>
      <c r="L33" s="24"/>
    </row>
    <row r="34" spans="1:12" ht="19.5" customHeight="1" x14ac:dyDescent="0.3">
      <c r="A34" s="48"/>
      <c r="B34" s="48"/>
      <c r="C34" s="48"/>
      <c r="D34" s="48"/>
      <c r="E34" s="48"/>
      <c r="F34" s="48"/>
      <c r="G34" s="48"/>
      <c r="H34" s="48"/>
      <c r="I34" s="48"/>
      <c r="J34" s="48"/>
      <c r="K34" s="48"/>
      <c r="L34" s="48"/>
    </row>
    <row r="35" spans="1:12" ht="19.5" customHeight="1" x14ac:dyDescent="0.3">
      <c r="A35" s="24"/>
      <c r="B35" s="24"/>
      <c r="C35" s="24"/>
      <c r="D35" s="24"/>
      <c r="E35" s="24"/>
      <c r="F35" s="24"/>
      <c r="G35" s="24"/>
      <c r="H35" s="24"/>
      <c r="I35" s="24"/>
      <c r="J35" s="24"/>
      <c r="K35" s="24"/>
      <c r="L35" s="24"/>
    </row>
    <row r="36" spans="1:12" ht="19.5" customHeight="1" x14ac:dyDescent="0.3">
      <c r="A36" s="48"/>
      <c r="B36" s="48"/>
      <c r="C36" s="48"/>
      <c r="D36" s="48"/>
      <c r="E36" s="48"/>
      <c r="F36" s="48"/>
      <c r="G36" s="48"/>
      <c r="H36" s="48"/>
      <c r="I36" s="48"/>
      <c r="J36" s="48"/>
      <c r="K36" s="48"/>
      <c r="L36" s="48"/>
    </row>
    <row r="37" spans="1:12" ht="19.5" customHeight="1" x14ac:dyDescent="0.3">
      <c r="A37" s="24"/>
      <c r="B37" s="24"/>
      <c r="C37" s="24"/>
      <c r="D37" s="24"/>
      <c r="E37" s="24"/>
      <c r="F37" s="24"/>
      <c r="G37" s="24"/>
      <c r="H37" s="24"/>
      <c r="I37" s="24"/>
      <c r="J37" s="24"/>
      <c r="K37" s="24"/>
      <c r="L37" s="24"/>
    </row>
    <row r="38" spans="1:12" ht="19.5" customHeight="1" x14ac:dyDescent="0.3">
      <c r="A38" s="48"/>
      <c r="B38" s="48"/>
      <c r="C38" s="48"/>
      <c r="D38" s="48"/>
      <c r="E38" s="48"/>
      <c r="F38" s="48"/>
      <c r="G38" s="48"/>
      <c r="H38" s="48"/>
      <c r="I38" s="48"/>
      <c r="J38" s="48"/>
      <c r="K38" s="48"/>
      <c r="L38" s="48"/>
    </row>
  </sheetData>
  <mergeCells count="18">
    <mergeCell ref="A14:B14"/>
    <mergeCell ref="C14:L14"/>
    <mergeCell ref="A15:L15"/>
    <mergeCell ref="A10:B10"/>
    <mergeCell ref="C10:L10"/>
    <mergeCell ref="A11:L11"/>
    <mergeCell ref="A12:L12"/>
    <mergeCell ref="A13:L13"/>
    <mergeCell ref="A7:L7"/>
    <mergeCell ref="A8:B8"/>
    <mergeCell ref="C8:L8"/>
    <mergeCell ref="A9:B9"/>
    <mergeCell ref="C9:L9"/>
    <mergeCell ref="A1:L1"/>
    <mergeCell ref="A3:L3"/>
    <mergeCell ref="A4:L4"/>
    <mergeCell ref="A5:L5"/>
    <mergeCell ref="A6:L6"/>
  </mergeCells>
  <dataValidations count="2">
    <dataValidation type="list" allowBlank="1" showErrorMessage="1" errorTitle="Ugyldig" error="Vælg fra listen." sqref="D19:G38" xr:uid="{00000000-0002-0000-0900-000000000000}">
      <formula1>"Ja,Nej,Under uddannelse,N/A"</formula1>
      <formula2>0</formula2>
    </dataValidation>
    <dataValidation type="list" allowBlank="1" showErrorMessage="1" errorTitle="Ugyldig" error="Vælg fra listen." sqref="K19:K38" xr:uid="{00000000-0002-0000-0900-000004000000}">
      <formula1>"Basis,Mellemtrin,Avanceret,Ekspert"</formula1>
      <formula2>0</formula2>
    </dataValidation>
  </dataValidations>
  <pageMargins left="0.5" right="0.5" top="0.75" bottom="0.75" header="0.5" footer="0.5"/>
  <pageSetup orientation="landscape" horizontalDpi="300" verticalDpi="300"/>
  <headerFooter>
    <oddHeader>&amp;CKLS — Kompetenceskema</oddHeader>
    <oddFooter>&amp;CKLS Kvalitetsledelsessystem  ·  Side &amp;P af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A5276"/>
    <pageSetUpPr fitToPage="1"/>
  </sheetPr>
  <dimension ref="A1:J43"/>
  <sheetViews>
    <sheetView zoomScaleNormal="100" workbookViewId="0">
      <pane ySplit="18" topLeftCell="A19" activePane="bottomLeft" state="frozen"/>
      <selection pane="bottomLeft" sqref="A1:J1"/>
    </sheetView>
  </sheetViews>
  <sheetFormatPr defaultColWidth="8.6640625" defaultRowHeight="14.4" x14ac:dyDescent="0.3"/>
  <cols>
    <col min="1" max="1" width="11" customWidth="1"/>
    <col min="2" max="2" width="32" customWidth="1"/>
    <col min="3" max="3" width="22" customWidth="1"/>
    <col min="4" max="4" width="18" customWidth="1"/>
    <col min="5" max="5" width="17" customWidth="1"/>
    <col min="6" max="6" width="18" customWidth="1"/>
    <col min="7" max="8" width="20" customWidth="1"/>
    <col min="9" max="9" width="18" customWidth="1"/>
    <col min="10" max="10" width="24" customWidth="1"/>
  </cols>
  <sheetData>
    <row r="1" spans="1:10" ht="42" customHeight="1" x14ac:dyDescent="0.3">
      <c r="A1" s="90" t="s">
        <v>385</v>
      </c>
      <c r="B1" s="90"/>
      <c r="C1" s="90"/>
      <c r="D1" s="90"/>
      <c r="E1" s="90"/>
      <c r="F1" s="90"/>
      <c r="G1" s="90"/>
      <c r="H1" s="90"/>
      <c r="I1" s="90"/>
      <c r="J1" s="90"/>
    </row>
    <row r="2" spans="1:10" ht="15" customHeight="1" x14ac:dyDescent="0.3"/>
    <row r="3" spans="1:10" ht="21.75" customHeight="1" x14ac:dyDescent="0.3">
      <c r="A3" s="12" t="s">
        <v>386</v>
      </c>
      <c r="B3" s="12"/>
      <c r="C3" s="12"/>
      <c r="D3" s="12"/>
      <c r="E3" s="12"/>
      <c r="F3" s="12"/>
      <c r="G3" s="12"/>
      <c r="H3" s="12"/>
      <c r="I3" s="12"/>
      <c r="J3" s="12"/>
    </row>
    <row r="4" spans="1:10" ht="19.5" customHeight="1" x14ac:dyDescent="0.3">
      <c r="A4" s="11" t="s">
        <v>3</v>
      </c>
      <c r="B4" s="11"/>
      <c r="C4" s="11"/>
      <c r="D4" s="11"/>
      <c r="E4" s="11"/>
      <c r="F4" s="11"/>
      <c r="G4" s="11"/>
      <c r="H4" s="11"/>
      <c r="I4" s="11"/>
      <c r="J4" s="11"/>
    </row>
    <row r="5" spans="1:10" ht="36" customHeight="1" x14ac:dyDescent="0.3">
      <c r="A5" s="10" t="s">
        <v>387</v>
      </c>
      <c r="B5" s="10"/>
      <c r="C5" s="10"/>
      <c r="D5" s="10"/>
      <c r="E5" s="10"/>
      <c r="F5" s="10"/>
      <c r="G5" s="10"/>
      <c r="H5" s="10"/>
      <c r="I5" s="10"/>
      <c r="J5" s="10"/>
    </row>
    <row r="6" spans="1:10" ht="27.75" customHeight="1" x14ac:dyDescent="0.3">
      <c r="A6" s="3" t="s">
        <v>388</v>
      </c>
      <c r="B6" s="3"/>
      <c r="C6" s="3"/>
      <c r="D6" s="3"/>
      <c r="E6" s="3"/>
      <c r="F6" s="3"/>
      <c r="G6" s="3"/>
      <c r="H6" s="3"/>
      <c r="I6" s="3"/>
      <c r="J6" s="3"/>
    </row>
    <row r="7" spans="1:10" ht="4.5" customHeight="1" x14ac:dyDescent="0.3">
      <c r="A7" s="9"/>
      <c r="B7" s="9"/>
      <c r="C7" s="9"/>
      <c r="D7" s="9"/>
      <c r="E7" s="9"/>
      <c r="F7" s="9"/>
      <c r="G7" s="9"/>
      <c r="H7" s="9"/>
      <c r="I7" s="9"/>
      <c r="J7" s="9"/>
    </row>
    <row r="8" spans="1:10" ht="19.5" customHeight="1" x14ac:dyDescent="0.3">
      <c r="A8" s="8" t="s">
        <v>160</v>
      </c>
      <c r="B8" s="8"/>
      <c r="C8" s="8"/>
      <c r="D8" s="8"/>
      <c r="E8" s="8"/>
      <c r="F8" s="8"/>
      <c r="G8" s="8"/>
      <c r="H8" s="8"/>
      <c r="I8" s="8"/>
      <c r="J8" s="8"/>
    </row>
    <row r="9" spans="1:10" ht="36" customHeight="1" x14ac:dyDescent="0.3">
      <c r="A9" s="7" t="s">
        <v>389</v>
      </c>
      <c r="B9" s="7"/>
      <c r="C9" s="6" t="s">
        <v>390</v>
      </c>
      <c r="D9" s="6"/>
      <c r="E9" s="6"/>
      <c r="F9" s="6"/>
      <c r="G9" s="6"/>
      <c r="H9" s="6"/>
      <c r="I9" s="6"/>
      <c r="J9" s="6"/>
    </row>
    <row r="10" spans="1:10" ht="36" customHeight="1" x14ac:dyDescent="0.3">
      <c r="A10" s="7" t="s">
        <v>391</v>
      </c>
      <c r="B10" s="7"/>
      <c r="C10" s="6" t="s">
        <v>392</v>
      </c>
      <c r="D10" s="6"/>
      <c r="E10" s="6"/>
      <c r="F10" s="6"/>
      <c r="G10" s="6"/>
      <c r="H10" s="6"/>
      <c r="I10" s="6"/>
      <c r="J10" s="6"/>
    </row>
    <row r="11" spans="1:10" ht="15" customHeight="1" x14ac:dyDescent="0.3">
      <c r="A11" s="70" t="s">
        <v>93</v>
      </c>
      <c r="B11" s="70"/>
      <c r="C11" s="70"/>
      <c r="D11" s="70"/>
      <c r="E11" s="70"/>
      <c r="F11" s="70"/>
      <c r="G11" s="70"/>
      <c r="H11" s="70"/>
      <c r="I11" s="70"/>
      <c r="J11" s="70"/>
    </row>
    <row r="12" spans="1:10" ht="19.5" customHeight="1" x14ac:dyDescent="0.3">
      <c r="A12" s="71" t="s">
        <v>393</v>
      </c>
      <c r="B12" s="71"/>
      <c r="C12" s="71"/>
      <c r="D12" s="71"/>
      <c r="E12" s="71"/>
      <c r="F12" s="71"/>
      <c r="G12" s="71"/>
      <c r="H12" s="71"/>
      <c r="I12" s="71"/>
      <c r="J12" s="71"/>
    </row>
    <row r="13" spans="1:10" ht="19.5" customHeight="1" x14ac:dyDescent="0.3">
      <c r="A13" s="72" t="s">
        <v>394</v>
      </c>
      <c r="B13" s="72"/>
      <c r="C13" s="72"/>
      <c r="D13" s="72"/>
      <c r="E13" s="72"/>
      <c r="F13" s="72"/>
      <c r="G13" s="72"/>
      <c r="H13" s="72"/>
      <c r="I13" s="72"/>
      <c r="J13" s="72"/>
    </row>
    <row r="14" spans="1:10" ht="36" customHeight="1" x14ac:dyDescent="0.3">
      <c r="A14" s="7" t="s">
        <v>395</v>
      </c>
      <c r="B14" s="7"/>
      <c r="C14" s="6" t="s">
        <v>396</v>
      </c>
      <c r="D14" s="6"/>
      <c r="E14" s="6"/>
      <c r="F14" s="6"/>
      <c r="G14" s="6"/>
      <c r="H14" s="6"/>
      <c r="I14" s="6"/>
      <c r="J14" s="6"/>
    </row>
    <row r="15" spans="1:10" ht="36" customHeight="1" x14ac:dyDescent="0.3">
      <c r="A15" s="5" t="s">
        <v>397</v>
      </c>
      <c r="B15" s="5"/>
      <c r="C15" s="4" t="s">
        <v>398</v>
      </c>
      <c r="D15" s="4"/>
      <c r="E15" s="4"/>
      <c r="F15" s="4"/>
      <c r="G15" s="4"/>
      <c r="H15" s="4"/>
      <c r="I15" s="4"/>
      <c r="J15" s="4"/>
    </row>
    <row r="16" spans="1:10" ht="15" customHeight="1" x14ac:dyDescent="0.3"/>
    <row r="17" spans="1:10" ht="15" customHeight="1" x14ac:dyDescent="0.3"/>
    <row r="18" spans="1:10" ht="27.75" customHeight="1" x14ac:dyDescent="0.3">
      <c r="A18" s="49" t="s">
        <v>399</v>
      </c>
      <c r="B18" s="49" t="s">
        <v>400</v>
      </c>
      <c r="C18" s="49" t="s">
        <v>401</v>
      </c>
      <c r="D18" s="49" t="s">
        <v>402</v>
      </c>
      <c r="E18" s="49" t="s">
        <v>403</v>
      </c>
      <c r="F18" s="49" t="s">
        <v>404</v>
      </c>
      <c r="G18" s="49" t="s">
        <v>405</v>
      </c>
      <c r="H18" s="49" t="s">
        <v>406</v>
      </c>
      <c r="I18" s="49" t="s">
        <v>407</v>
      </c>
      <c r="J18" s="49" t="s">
        <v>156</v>
      </c>
    </row>
    <row r="19" spans="1:10" ht="19.5" customHeight="1" x14ac:dyDescent="0.3">
      <c r="A19" s="25" t="s">
        <v>408</v>
      </c>
      <c r="B19" s="25" t="s">
        <v>409</v>
      </c>
      <c r="C19" s="25"/>
      <c r="D19" s="25"/>
      <c r="E19" s="25"/>
      <c r="F19" s="25"/>
      <c r="G19" s="25"/>
      <c r="H19" s="25"/>
      <c r="I19" s="25"/>
      <c r="J19" s="25"/>
    </row>
    <row r="20" spans="1:10" ht="19.5" customHeight="1" x14ac:dyDescent="0.3">
      <c r="A20" s="24" t="s">
        <v>410</v>
      </c>
      <c r="B20" s="24" t="s">
        <v>411</v>
      </c>
      <c r="C20" s="24"/>
      <c r="D20" s="24"/>
      <c r="E20" s="24"/>
      <c r="F20" s="24"/>
      <c r="G20" s="24"/>
      <c r="H20" s="24"/>
      <c r="I20" s="24"/>
      <c r="J20" s="24"/>
    </row>
    <row r="21" spans="1:10" ht="19.5" customHeight="1" x14ac:dyDescent="0.3">
      <c r="A21" s="25" t="s">
        <v>412</v>
      </c>
      <c r="B21" s="25" t="s">
        <v>413</v>
      </c>
      <c r="C21" s="25"/>
      <c r="D21" s="25"/>
      <c r="E21" s="25"/>
      <c r="F21" s="25"/>
      <c r="G21" s="25"/>
      <c r="H21" s="25"/>
      <c r="I21" s="25"/>
      <c r="J21" s="25"/>
    </row>
    <row r="22" spans="1:10" ht="19.5" customHeight="1" x14ac:dyDescent="0.3">
      <c r="A22" s="24" t="s">
        <v>414</v>
      </c>
      <c r="B22" s="24" t="s">
        <v>415</v>
      </c>
      <c r="C22" s="24"/>
      <c r="D22" s="24"/>
      <c r="E22" s="24"/>
      <c r="F22" s="24"/>
      <c r="G22" s="24"/>
      <c r="H22" s="24"/>
      <c r="I22" s="24"/>
      <c r="J22" s="24"/>
    </row>
    <row r="23" spans="1:10" ht="19.5" customHeight="1" x14ac:dyDescent="0.3">
      <c r="A23" s="25" t="s">
        <v>416</v>
      </c>
      <c r="B23" s="25" t="s">
        <v>417</v>
      </c>
      <c r="C23" s="25"/>
      <c r="D23" s="25"/>
      <c r="E23" s="25"/>
      <c r="F23" s="25"/>
      <c r="G23" s="25"/>
      <c r="H23" s="25"/>
      <c r="I23" s="25"/>
      <c r="J23" s="25"/>
    </row>
    <row r="24" spans="1:10" ht="19.5" customHeight="1" x14ac:dyDescent="0.3">
      <c r="A24" s="24" t="s">
        <v>418</v>
      </c>
      <c r="B24" s="24" t="s">
        <v>419</v>
      </c>
      <c r="C24" s="24"/>
      <c r="D24" s="24"/>
      <c r="E24" s="24"/>
      <c r="F24" s="24"/>
      <c r="G24" s="24"/>
      <c r="H24" s="24"/>
      <c r="I24" s="24"/>
      <c r="J24" s="24"/>
    </row>
    <row r="25" spans="1:10" ht="19.5" customHeight="1" x14ac:dyDescent="0.3">
      <c r="A25" s="25" t="s">
        <v>420</v>
      </c>
      <c r="B25" s="25" t="s">
        <v>421</v>
      </c>
      <c r="C25" s="25"/>
      <c r="D25" s="25"/>
      <c r="E25" s="25"/>
      <c r="F25" s="25"/>
      <c r="G25" s="25"/>
      <c r="H25" s="25"/>
      <c r="I25" s="25"/>
      <c r="J25" s="25"/>
    </row>
    <row r="26" spans="1:10" ht="19.5" customHeight="1" x14ac:dyDescent="0.3">
      <c r="A26" s="24" t="s">
        <v>422</v>
      </c>
      <c r="B26" s="24" t="s">
        <v>423</v>
      </c>
      <c r="C26" s="24"/>
      <c r="D26" s="24"/>
      <c r="E26" s="24"/>
      <c r="F26" s="24"/>
      <c r="G26" s="24"/>
      <c r="H26" s="24"/>
      <c r="I26" s="24"/>
      <c r="J26" s="24"/>
    </row>
    <row r="27" spans="1:10" ht="19.5" customHeight="1" x14ac:dyDescent="0.3">
      <c r="A27" s="24"/>
      <c r="B27" s="24"/>
      <c r="C27" s="24"/>
      <c r="D27" s="24"/>
      <c r="E27" s="24"/>
      <c r="F27" s="24"/>
      <c r="G27" s="24"/>
      <c r="H27" s="24"/>
      <c r="I27" s="24"/>
      <c r="J27" s="24"/>
    </row>
    <row r="28" spans="1:10" ht="19.5" customHeight="1" x14ac:dyDescent="0.3">
      <c r="A28" s="25"/>
      <c r="B28" s="25"/>
      <c r="C28" s="25"/>
      <c r="D28" s="25"/>
      <c r="E28" s="25"/>
      <c r="F28" s="25"/>
      <c r="G28" s="25"/>
      <c r="H28" s="25"/>
      <c r="I28" s="25"/>
      <c r="J28" s="25"/>
    </row>
    <row r="29" spans="1:10" ht="19.5" customHeight="1" x14ac:dyDescent="0.3">
      <c r="A29" s="24"/>
      <c r="B29" s="24"/>
      <c r="C29" s="24"/>
      <c r="D29" s="24"/>
      <c r="E29" s="24"/>
      <c r="F29" s="24"/>
      <c r="G29" s="24"/>
      <c r="H29" s="24"/>
      <c r="I29" s="24"/>
      <c r="J29" s="24"/>
    </row>
    <row r="30" spans="1:10" ht="19.5" customHeight="1" x14ac:dyDescent="0.3">
      <c r="A30" s="25"/>
      <c r="B30" s="25"/>
      <c r="C30" s="25"/>
      <c r="D30" s="25"/>
      <c r="E30" s="25"/>
      <c r="F30" s="25"/>
      <c r="G30" s="25"/>
      <c r="H30" s="25"/>
      <c r="I30" s="25"/>
      <c r="J30" s="25"/>
    </row>
    <row r="31" spans="1:10" ht="19.5" customHeight="1" x14ac:dyDescent="0.3">
      <c r="A31" s="24"/>
      <c r="B31" s="24"/>
      <c r="C31" s="24"/>
      <c r="D31" s="24"/>
      <c r="E31" s="24"/>
      <c r="F31" s="24"/>
      <c r="G31" s="24"/>
      <c r="H31" s="24"/>
      <c r="I31" s="24"/>
      <c r="J31" s="24"/>
    </row>
    <row r="32" spans="1:10" ht="19.5" customHeight="1" x14ac:dyDescent="0.3">
      <c r="A32" s="25"/>
      <c r="B32" s="25"/>
      <c r="C32" s="25"/>
      <c r="D32" s="25"/>
      <c r="E32" s="25"/>
      <c r="F32" s="25"/>
      <c r="G32" s="25"/>
      <c r="H32" s="25"/>
      <c r="I32" s="25"/>
      <c r="J32" s="25"/>
    </row>
    <row r="33" spans="1:10" ht="19.5" customHeight="1" x14ac:dyDescent="0.3">
      <c r="A33" s="24"/>
      <c r="B33" s="24"/>
      <c r="C33" s="24"/>
      <c r="D33" s="24"/>
      <c r="E33" s="24"/>
      <c r="F33" s="24"/>
      <c r="G33" s="24"/>
      <c r="H33" s="24"/>
      <c r="I33" s="24"/>
      <c r="J33" s="24"/>
    </row>
    <row r="34" spans="1:10" ht="19.5" customHeight="1" x14ac:dyDescent="0.3">
      <c r="A34" s="25"/>
      <c r="B34" s="25"/>
      <c r="C34" s="25"/>
      <c r="D34" s="25"/>
      <c r="E34" s="25"/>
      <c r="F34" s="25"/>
      <c r="G34" s="25"/>
      <c r="H34" s="25"/>
      <c r="I34" s="25"/>
      <c r="J34" s="25"/>
    </row>
    <row r="35" spans="1:10" ht="19.5" customHeight="1" x14ac:dyDescent="0.3">
      <c r="A35" s="24"/>
      <c r="B35" s="24"/>
      <c r="C35" s="24"/>
      <c r="D35" s="24"/>
      <c r="E35" s="24"/>
      <c r="F35" s="24"/>
      <c r="G35" s="24"/>
      <c r="H35" s="24"/>
      <c r="I35" s="24"/>
      <c r="J35" s="24"/>
    </row>
    <row r="36" spans="1:10" ht="19.5" customHeight="1" x14ac:dyDescent="0.3">
      <c r="A36" s="25"/>
      <c r="B36" s="25"/>
      <c r="C36" s="25"/>
      <c r="D36" s="25"/>
      <c r="E36" s="25"/>
      <c r="F36" s="25"/>
      <c r="G36" s="25"/>
      <c r="H36" s="25"/>
      <c r="I36" s="25"/>
      <c r="J36" s="25"/>
    </row>
    <row r="37" spans="1:10" ht="19.5" customHeight="1" x14ac:dyDescent="0.3">
      <c r="A37" s="24"/>
      <c r="B37" s="24"/>
      <c r="C37" s="24"/>
      <c r="D37" s="24"/>
      <c r="E37" s="24"/>
      <c r="F37" s="24"/>
      <c r="G37" s="24"/>
      <c r="H37" s="24"/>
      <c r="I37" s="24"/>
      <c r="J37" s="24"/>
    </row>
    <row r="38" spans="1:10" ht="19.5" customHeight="1" x14ac:dyDescent="0.3">
      <c r="A38" s="25"/>
      <c r="B38" s="25"/>
      <c r="C38" s="25"/>
      <c r="D38" s="25"/>
      <c r="E38" s="25"/>
      <c r="F38" s="25"/>
      <c r="G38" s="25"/>
      <c r="H38" s="25"/>
      <c r="I38" s="25"/>
      <c r="J38" s="25"/>
    </row>
    <row r="39" spans="1:10" ht="19.5" customHeight="1" x14ac:dyDescent="0.3">
      <c r="A39" s="24"/>
      <c r="B39" s="24"/>
      <c r="C39" s="24"/>
      <c r="D39" s="24"/>
      <c r="E39" s="24"/>
      <c r="F39" s="24"/>
      <c r="G39" s="24"/>
      <c r="H39" s="24"/>
      <c r="I39" s="24"/>
      <c r="J39" s="24"/>
    </row>
    <row r="40" spans="1:10" ht="19.5" customHeight="1" x14ac:dyDescent="0.3">
      <c r="A40" s="25"/>
      <c r="B40" s="25"/>
      <c r="C40" s="25"/>
      <c r="D40" s="25"/>
      <c r="E40" s="25"/>
      <c r="F40" s="25"/>
      <c r="G40" s="25"/>
      <c r="H40" s="25"/>
      <c r="I40" s="25"/>
      <c r="J40" s="25"/>
    </row>
    <row r="41" spans="1:10" ht="19.5" customHeight="1" x14ac:dyDescent="0.3">
      <c r="A41" s="24"/>
      <c r="B41" s="24"/>
      <c r="C41" s="24"/>
      <c r="D41" s="24"/>
      <c r="E41" s="24"/>
      <c r="F41" s="24"/>
      <c r="G41" s="24"/>
      <c r="H41" s="24"/>
      <c r="I41" s="24"/>
      <c r="J41" s="24"/>
    </row>
    <row r="42" spans="1:10" ht="19.5" customHeight="1" x14ac:dyDescent="0.3">
      <c r="A42" s="25"/>
      <c r="B42" s="25"/>
      <c r="C42" s="25"/>
      <c r="D42" s="25"/>
      <c r="E42" s="25"/>
      <c r="F42" s="25"/>
      <c r="G42" s="25"/>
      <c r="H42" s="25"/>
      <c r="I42" s="25"/>
      <c r="J42" s="25"/>
    </row>
    <row r="43" spans="1:10" ht="19.5" customHeight="1" x14ac:dyDescent="0.3">
      <c r="A43" s="24"/>
      <c r="B43" s="24"/>
      <c r="C43" s="24"/>
      <c r="D43" s="24"/>
      <c r="E43" s="24"/>
      <c r="F43" s="24"/>
      <c r="G43" s="24"/>
      <c r="H43" s="24"/>
      <c r="I43" s="24"/>
      <c r="J43" s="24"/>
    </row>
  </sheetData>
  <mergeCells count="18">
    <mergeCell ref="A15:B15"/>
    <mergeCell ref="C15:J15"/>
    <mergeCell ref="A11:J11"/>
    <mergeCell ref="A12:J12"/>
    <mergeCell ref="A13:J13"/>
    <mergeCell ref="A14:B14"/>
    <mergeCell ref="C14:J14"/>
    <mergeCell ref="A7:J7"/>
    <mergeCell ref="A8:J8"/>
    <mergeCell ref="A9:B9"/>
    <mergeCell ref="C9:J9"/>
    <mergeCell ref="A10:B10"/>
    <mergeCell ref="C10:J10"/>
    <mergeCell ref="A1:J1"/>
    <mergeCell ref="A3:J3"/>
    <mergeCell ref="A4:J4"/>
    <mergeCell ref="A5:J5"/>
    <mergeCell ref="A6:J6"/>
  </mergeCells>
  <conditionalFormatting sqref="I19:I26">
    <cfRule type="expression" dxfId="8" priority="2">
      <formula>I19="Godkendt"</formula>
    </cfRule>
    <cfRule type="expression" dxfId="7" priority="3">
      <formula>I19="Afvigelse"</formula>
    </cfRule>
    <cfRule type="expression" dxfId="6" priority="4">
      <formula>I19="Under behandling"</formula>
    </cfRule>
  </conditionalFormatting>
  <dataValidations count="2">
    <dataValidation type="list" allowBlank="1" showErrorMessage="1" errorTitle="Ugyldig" error="Vælg fra listen." sqref="I19:I43" xr:uid="{00000000-0002-0000-0A00-000000000000}">
      <formula1>"OK,Ikke OK,Under kalibrering"</formula1>
      <formula2>0</formula2>
    </dataValidation>
    <dataValidation type="list" allowBlank="1" showErrorMessage="1" errorTitle="Ugyldig" error="Vælg fra listen." sqref="J19:J43" xr:uid="{00000000-0002-0000-0A00-000001000000}">
      <formula1>"Aktiv,Kalibrering påkrævet,Taget ud af drift,Sendt til reparation"</formula1>
      <formula2>0</formula2>
    </dataValidation>
  </dataValidations>
  <pageMargins left="0.5" right="0.5" top="0.75" bottom="0.75" header="0.5" footer="0.5"/>
  <pageSetup orientation="landscape" horizontalDpi="300" verticalDpi="300"/>
  <headerFooter>
    <oddHeader>&amp;CKLS — Måleudstyr</oddHeader>
    <oddFooter>&amp;CKLS Kvalitetsledelsessystem  ·  Side &amp;P af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7202A"/>
    <pageSetUpPr fitToPage="1"/>
  </sheetPr>
  <dimension ref="A1:H45"/>
  <sheetViews>
    <sheetView zoomScaleNormal="100" workbookViewId="0">
      <pane ySplit="17" topLeftCell="A29" activePane="bottomLeft" state="frozen"/>
      <selection pane="bottomLeft" activeCell="C11" sqref="C11:H11"/>
    </sheetView>
  </sheetViews>
  <sheetFormatPr defaultColWidth="8.6640625" defaultRowHeight="14.4" x14ac:dyDescent="0.3"/>
  <cols>
    <col min="1" max="1" width="13" customWidth="1"/>
    <col min="2" max="2" width="28" customWidth="1"/>
    <col min="3" max="3" width="22" customWidth="1"/>
    <col min="4" max="4" width="20" customWidth="1"/>
    <col min="5" max="7" width="18" customWidth="1"/>
    <col min="8" max="8" width="22" customWidth="1"/>
  </cols>
  <sheetData>
    <row r="1" spans="1:8" ht="42" customHeight="1" x14ac:dyDescent="0.3">
      <c r="A1" s="91" t="s">
        <v>424</v>
      </c>
      <c r="B1" s="91"/>
      <c r="C1" s="91"/>
      <c r="D1" s="91"/>
      <c r="E1" s="91"/>
      <c r="F1" s="91"/>
      <c r="G1" s="91"/>
      <c r="H1" s="91"/>
    </row>
    <row r="2" spans="1:8" ht="15" customHeight="1" x14ac:dyDescent="0.3"/>
    <row r="3" spans="1:8" ht="21.75" customHeight="1" x14ac:dyDescent="0.3">
      <c r="A3" s="12" t="s">
        <v>425</v>
      </c>
      <c r="B3" s="12"/>
      <c r="C3" s="12"/>
      <c r="D3" s="12"/>
      <c r="E3" s="12"/>
      <c r="F3" s="12"/>
      <c r="G3" s="12"/>
      <c r="H3" s="12"/>
    </row>
    <row r="4" spans="1:8" ht="19.5" customHeight="1" x14ac:dyDescent="0.3">
      <c r="A4" s="11" t="s">
        <v>3</v>
      </c>
      <c r="B4" s="11"/>
      <c r="C4" s="11"/>
      <c r="D4" s="11"/>
      <c r="E4" s="11"/>
      <c r="F4" s="11"/>
      <c r="G4" s="11"/>
      <c r="H4" s="11"/>
    </row>
    <row r="5" spans="1:8" ht="36" customHeight="1" x14ac:dyDescent="0.3">
      <c r="A5" s="10" t="s">
        <v>426</v>
      </c>
      <c r="B5" s="10"/>
      <c r="C5" s="10"/>
      <c r="D5" s="10"/>
      <c r="E5" s="10"/>
      <c r="F5" s="10"/>
      <c r="G5" s="10"/>
      <c r="H5" s="10"/>
    </row>
    <row r="6" spans="1:8" ht="4.5" customHeight="1" x14ac:dyDescent="0.3">
      <c r="A6" s="9"/>
      <c r="B6" s="9"/>
      <c r="C6" s="9"/>
      <c r="D6" s="9"/>
      <c r="E6" s="9"/>
      <c r="F6" s="9"/>
      <c r="G6" s="9"/>
      <c r="H6" s="9"/>
    </row>
    <row r="7" spans="1:8" ht="19.5" customHeight="1" x14ac:dyDescent="0.3">
      <c r="A7" s="8" t="s">
        <v>427</v>
      </c>
      <c r="B7" s="8"/>
      <c r="C7" s="8"/>
      <c r="D7" s="8"/>
      <c r="E7" s="8"/>
      <c r="F7" s="8"/>
      <c r="G7" s="8"/>
      <c r="H7" s="8"/>
    </row>
    <row r="8" spans="1:8" ht="36" customHeight="1" x14ac:dyDescent="0.3">
      <c r="A8" s="7" t="s">
        <v>428</v>
      </c>
      <c r="B8" s="7"/>
      <c r="C8" s="6" t="s">
        <v>429</v>
      </c>
      <c r="D8" s="6"/>
      <c r="E8" s="6"/>
      <c r="F8" s="6"/>
      <c r="G8" s="6"/>
      <c r="H8" s="6"/>
    </row>
    <row r="9" spans="1:8" ht="36" customHeight="1" x14ac:dyDescent="0.3">
      <c r="A9" s="7" t="s">
        <v>430</v>
      </c>
      <c r="B9" s="7"/>
      <c r="C9" s="6" t="s">
        <v>431</v>
      </c>
      <c r="D9" s="6"/>
      <c r="E9" s="6"/>
      <c r="F9" s="6"/>
      <c r="G9" s="6"/>
      <c r="H9" s="6"/>
    </row>
    <row r="10" spans="1:8" ht="36" customHeight="1" x14ac:dyDescent="0.3">
      <c r="A10" s="7" t="s">
        <v>432</v>
      </c>
      <c r="B10" s="7"/>
      <c r="C10" s="6" t="s">
        <v>433</v>
      </c>
      <c r="D10" s="6"/>
      <c r="E10" s="6"/>
      <c r="F10" s="6"/>
      <c r="G10" s="6"/>
      <c r="H10" s="6"/>
    </row>
    <row r="11" spans="1:8" ht="36" customHeight="1" x14ac:dyDescent="0.3">
      <c r="A11" s="5" t="s">
        <v>434</v>
      </c>
      <c r="B11" s="5"/>
      <c r="C11" s="4" t="s">
        <v>435</v>
      </c>
      <c r="D11" s="4"/>
      <c r="E11" s="4"/>
      <c r="F11" s="4"/>
      <c r="G11" s="4"/>
      <c r="H11" s="4"/>
    </row>
    <row r="12" spans="1:8" ht="36" customHeight="1" x14ac:dyDescent="0.3">
      <c r="A12" s="7" t="s">
        <v>436</v>
      </c>
      <c r="B12" s="7"/>
      <c r="C12" s="6" t="s">
        <v>437</v>
      </c>
      <c r="D12" s="6"/>
      <c r="E12" s="6"/>
      <c r="F12" s="6"/>
      <c r="G12" s="6"/>
      <c r="H12" s="6"/>
    </row>
    <row r="13" spans="1:8" ht="4.5" customHeight="1" x14ac:dyDescent="0.3">
      <c r="A13" s="9"/>
      <c r="B13" s="9"/>
      <c r="C13" s="9"/>
      <c r="D13" s="9"/>
      <c r="E13" s="9"/>
      <c r="F13" s="9"/>
      <c r="G13" s="9"/>
      <c r="H13" s="9"/>
    </row>
    <row r="14" spans="1:8" ht="27.75" customHeight="1" x14ac:dyDescent="0.3">
      <c r="A14" s="3" t="s">
        <v>438</v>
      </c>
      <c r="B14" s="3"/>
      <c r="C14" s="3"/>
      <c r="D14" s="3"/>
      <c r="E14" s="3"/>
      <c r="F14" s="3"/>
      <c r="G14" s="3"/>
      <c r="H14" s="3"/>
    </row>
    <row r="15" spans="1:8" ht="15" customHeight="1" x14ac:dyDescent="0.3"/>
    <row r="16" spans="1:8" ht="15" customHeight="1" x14ac:dyDescent="0.3"/>
    <row r="17" spans="1:8" ht="27.75" customHeight="1" x14ac:dyDescent="0.3">
      <c r="A17" s="50" t="s">
        <v>234</v>
      </c>
      <c r="B17" s="50" t="s">
        <v>439</v>
      </c>
      <c r="C17" s="50" t="s">
        <v>440</v>
      </c>
      <c r="D17" s="50" t="s">
        <v>441</v>
      </c>
      <c r="E17" s="50" t="s">
        <v>442</v>
      </c>
      <c r="F17" s="50" t="s">
        <v>443</v>
      </c>
      <c r="G17" s="50" t="s">
        <v>444</v>
      </c>
      <c r="H17" s="50" t="s">
        <v>156</v>
      </c>
    </row>
    <row r="18" spans="1:8" ht="19.5" customHeight="1" x14ac:dyDescent="0.3">
      <c r="A18" s="24"/>
      <c r="B18" s="24"/>
      <c r="C18" s="24"/>
      <c r="D18" s="24"/>
      <c r="E18" s="24"/>
      <c r="F18" s="24"/>
      <c r="G18" s="24"/>
      <c r="H18" s="24"/>
    </row>
    <row r="19" spans="1:8" ht="19.5" customHeight="1" x14ac:dyDescent="0.3">
      <c r="A19" s="51"/>
      <c r="B19" s="51"/>
      <c r="C19" s="51"/>
      <c r="D19" s="51"/>
      <c r="E19" s="51"/>
      <c r="F19" s="51"/>
      <c r="G19" s="51"/>
      <c r="H19" s="51"/>
    </row>
    <row r="20" spans="1:8" ht="19.5" customHeight="1" x14ac:dyDescent="0.3">
      <c r="A20" s="24"/>
      <c r="B20" s="24"/>
      <c r="C20" s="24"/>
      <c r="D20" s="24"/>
      <c r="E20" s="24"/>
      <c r="F20" s="24"/>
      <c r="G20" s="24"/>
      <c r="H20" s="24"/>
    </row>
    <row r="21" spans="1:8" ht="19.5" customHeight="1" x14ac:dyDescent="0.3">
      <c r="A21" s="51"/>
      <c r="B21" s="51"/>
      <c r="C21" s="51"/>
      <c r="D21" s="51"/>
      <c r="E21" s="51"/>
      <c r="F21" s="51"/>
      <c r="G21" s="51"/>
      <c r="H21" s="51"/>
    </row>
    <row r="22" spans="1:8" ht="19.5" customHeight="1" x14ac:dyDescent="0.3">
      <c r="A22" s="24"/>
      <c r="B22" s="24"/>
      <c r="C22" s="24"/>
      <c r="D22" s="24"/>
      <c r="E22" s="24"/>
      <c r="F22" s="24"/>
      <c r="G22" s="24"/>
      <c r="H22" s="24"/>
    </row>
    <row r="23" spans="1:8" ht="19.5" customHeight="1" x14ac:dyDescent="0.3">
      <c r="A23" s="51"/>
      <c r="B23" s="51"/>
      <c r="C23" s="51"/>
      <c r="D23" s="51"/>
      <c r="E23" s="51"/>
      <c r="F23" s="51"/>
      <c r="G23" s="51"/>
      <c r="H23" s="51"/>
    </row>
    <row r="24" spans="1:8" ht="19.5" customHeight="1" x14ac:dyDescent="0.3">
      <c r="A24" s="24"/>
      <c r="B24" s="24"/>
      <c r="C24" s="24"/>
      <c r="D24" s="24"/>
      <c r="E24" s="24"/>
      <c r="F24" s="24"/>
      <c r="G24" s="24"/>
      <c r="H24" s="24"/>
    </row>
    <row r="25" spans="1:8" ht="19.5" customHeight="1" x14ac:dyDescent="0.3">
      <c r="A25" s="51"/>
      <c r="B25" s="51"/>
      <c r="C25" s="51"/>
      <c r="D25" s="51"/>
      <c r="E25" s="51"/>
      <c r="F25" s="51"/>
      <c r="G25" s="51"/>
      <c r="H25" s="51"/>
    </row>
    <row r="26" spans="1:8" ht="19.5" customHeight="1" x14ac:dyDescent="0.3">
      <c r="A26" s="24"/>
      <c r="B26" s="24"/>
      <c r="C26" s="24"/>
      <c r="D26" s="24"/>
      <c r="E26" s="24"/>
      <c r="F26" s="24"/>
      <c r="G26" s="24"/>
      <c r="H26" s="24"/>
    </row>
    <row r="27" spans="1:8" ht="19.5" customHeight="1" x14ac:dyDescent="0.3">
      <c r="A27" s="51"/>
      <c r="B27" s="51"/>
      <c r="C27" s="51"/>
      <c r="D27" s="51"/>
      <c r="E27" s="51"/>
      <c r="F27" s="51"/>
      <c r="G27" s="51"/>
      <c r="H27" s="51"/>
    </row>
    <row r="28" spans="1:8" ht="19.5" customHeight="1" x14ac:dyDescent="0.3">
      <c r="A28" s="24"/>
      <c r="B28" s="24"/>
      <c r="C28" s="24"/>
      <c r="D28" s="24"/>
      <c r="E28" s="24"/>
      <c r="F28" s="24"/>
      <c r="G28" s="24"/>
      <c r="H28" s="24"/>
    </row>
    <row r="29" spans="1:8" ht="19.5" customHeight="1" x14ac:dyDescent="0.3">
      <c r="A29" s="51"/>
      <c r="B29" s="51"/>
      <c r="C29" s="51"/>
      <c r="D29" s="51"/>
      <c r="E29" s="51"/>
      <c r="F29" s="51"/>
      <c r="G29" s="51"/>
      <c r="H29" s="51"/>
    </row>
    <row r="30" spans="1:8" ht="19.5" customHeight="1" x14ac:dyDescent="0.3">
      <c r="A30" s="24"/>
      <c r="B30" s="24"/>
      <c r="C30" s="24"/>
      <c r="D30" s="24"/>
      <c r="E30" s="24"/>
      <c r="F30" s="24"/>
      <c r="G30" s="24"/>
      <c r="H30" s="24"/>
    </row>
    <row r="31" spans="1:8" ht="19.5" customHeight="1" x14ac:dyDescent="0.3">
      <c r="A31" s="51"/>
      <c r="B31" s="51"/>
      <c r="C31" s="51"/>
      <c r="D31" s="51"/>
      <c r="E31" s="51"/>
      <c r="F31" s="51"/>
      <c r="G31" s="51"/>
      <c r="H31" s="51"/>
    </row>
    <row r="32" spans="1:8" ht="19.5" customHeight="1" x14ac:dyDescent="0.3">
      <c r="A32" s="24"/>
      <c r="B32" s="24"/>
      <c r="C32" s="24"/>
      <c r="D32" s="24"/>
      <c r="E32" s="24"/>
      <c r="F32" s="24"/>
      <c r="G32" s="24"/>
      <c r="H32" s="24"/>
    </row>
    <row r="33" spans="1:8" ht="19.5" customHeight="1" x14ac:dyDescent="0.3">
      <c r="A33" s="51"/>
      <c r="B33" s="51"/>
      <c r="C33" s="51"/>
      <c r="D33" s="51"/>
      <c r="E33" s="51"/>
      <c r="F33" s="51"/>
      <c r="G33" s="51"/>
      <c r="H33" s="51"/>
    </row>
    <row r="34" spans="1:8" ht="19.5" customHeight="1" x14ac:dyDescent="0.3">
      <c r="A34" s="24"/>
      <c r="B34" s="24"/>
      <c r="C34" s="24"/>
      <c r="D34" s="24"/>
      <c r="E34" s="24"/>
      <c r="F34" s="24"/>
      <c r="G34" s="24"/>
      <c r="H34" s="24"/>
    </row>
    <row r="35" spans="1:8" ht="19.5" customHeight="1" x14ac:dyDescent="0.3">
      <c r="A35" s="51"/>
      <c r="B35" s="51"/>
      <c r="C35" s="51"/>
      <c r="D35" s="51"/>
      <c r="E35" s="51"/>
      <c r="F35" s="51"/>
      <c r="G35" s="51"/>
      <c r="H35" s="51"/>
    </row>
    <row r="36" spans="1:8" ht="19.5" customHeight="1" x14ac:dyDescent="0.3">
      <c r="A36" s="24"/>
      <c r="B36" s="24"/>
      <c r="C36" s="24"/>
      <c r="D36" s="24"/>
      <c r="E36" s="24"/>
      <c r="F36" s="24"/>
      <c r="G36" s="24"/>
      <c r="H36" s="24"/>
    </row>
    <row r="37" spans="1:8" ht="19.5" customHeight="1" x14ac:dyDescent="0.3">
      <c r="A37" s="51"/>
      <c r="B37" s="51"/>
      <c r="C37" s="51"/>
      <c r="D37" s="51"/>
      <c r="E37" s="51"/>
      <c r="F37" s="51"/>
      <c r="G37" s="51"/>
      <c r="H37" s="51"/>
    </row>
    <row r="38" spans="1:8" ht="15" customHeight="1" x14ac:dyDescent="0.3"/>
    <row r="39" spans="1:8" ht="15" customHeight="1" x14ac:dyDescent="0.3">
      <c r="A39" s="2" t="s">
        <v>445</v>
      </c>
      <c r="B39" s="2"/>
      <c r="C39" s="2"/>
      <c r="D39" s="2"/>
      <c r="E39" s="2"/>
      <c r="F39" s="2"/>
      <c r="G39" s="2"/>
      <c r="H39" s="2"/>
    </row>
    <row r="40" spans="1:8" ht="27.75" customHeight="1" x14ac:dyDescent="0.3">
      <c r="A40" s="26" t="s">
        <v>176</v>
      </c>
      <c r="B40" s="26" t="s">
        <v>155</v>
      </c>
      <c r="C40" s="26" t="s">
        <v>440</v>
      </c>
      <c r="D40" s="26" t="s">
        <v>446</v>
      </c>
      <c r="E40" s="26" t="s">
        <v>447</v>
      </c>
      <c r="F40" s="26" t="s">
        <v>156</v>
      </c>
      <c r="G40" s="26"/>
      <c r="H40" s="26"/>
    </row>
    <row r="41" spans="1:8" ht="19.5" customHeight="1" x14ac:dyDescent="0.3">
      <c r="A41" s="24"/>
      <c r="B41" s="24"/>
      <c r="C41" s="24"/>
      <c r="D41" s="24"/>
      <c r="E41" s="24"/>
      <c r="F41" s="24"/>
    </row>
    <row r="42" spans="1:8" ht="19.5" customHeight="1" x14ac:dyDescent="0.3">
      <c r="A42" s="27"/>
      <c r="B42" s="27"/>
      <c r="C42" s="27"/>
      <c r="D42" s="27"/>
      <c r="E42" s="27"/>
      <c r="F42" s="27"/>
    </row>
    <row r="43" spans="1:8" ht="19.5" customHeight="1" x14ac:dyDescent="0.3">
      <c r="A43" s="24"/>
      <c r="B43" s="24"/>
      <c r="C43" s="24"/>
      <c r="D43" s="24"/>
      <c r="E43" s="24"/>
      <c r="F43" s="24"/>
    </row>
    <row r="44" spans="1:8" ht="19.5" customHeight="1" x14ac:dyDescent="0.3">
      <c r="A44" s="27"/>
      <c r="B44" s="27"/>
      <c r="C44" s="27"/>
      <c r="D44" s="27"/>
      <c r="E44" s="27"/>
      <c r="F44" s="27"/>
    </row>
    <row r="45" spans="1:8" ht="19.5" customHeight="1" x14ac:dyDescent="0.3">
      <c r="A45" s="24"/>
      <c r="B45" s="24"/>
      <c r="C45" s="24"/>
      <c r="D45" s="24"/>
      <c r="E45" s="24"/>
      <c r="F45" s="24"/>
    </row>
  </sheetData>
  <mergeCells count="19">
    <mergeCell ref="A13:H13"/>
    <mergeCell ref="A14:H14"/>
    <mergeCell ref="A39:H39"/>
    <mergeCell ref="A10:B10"/>
    <mergeCell ref="C10:H10"/>
    <mergeCell ref="A11:B11"/>
    <mergeCell ref="C11:H11"/>
    <mergeCell ref="A12:B12"/>
    <mergeCell ref="C12:H12"/>
    <mergeCell ref="A7:H7"/>
    <mergeCell ref="A8:B8"/>
    <mergeCell ref="C8:H8"/>
    <mergeCell ref="A9:B9"/>
    <mergeCell ref="C9:H9"/>
    <mergeCell ref="A1:H1"/>
    <mergeCell ref="A3:H3"/>
    <mergeCell ref="A4:H4"/>
    <mergeCell ref="A5:H5"/>
    <mergeCell ref="A6:H6"/>
  </mergeCells>
  <conditionalFormatting sqref="H18:H37">
    <cfRule type="expression" dxfId="5" priority="2">
      <formula>H18="Godkendt"</formula>
    </cfRule>
    <cfRule type="expression" dxfId="4" priority="3">
      <formula>H18="Afvigelse"</formula>
    </cfRule>
    <cfRule type="expression" dxfId="3" priority="4">
      <formula>H18="Under behandling"</formula>
    </cfRule>
  </conditionalFormatting>
  <dataValidations count="6">
    <dataValidation type="list" allowBlank="1" showErrorMessage="1" errorTitle="Ugyldig" error="Vælg fra listen." sqref="B18:B37" xr:uid="{00000000-0002-0000-0B00-000000000000}">
      <formula1>"Fase 1 (præaudit),Fase 2 (godkendelse),Gengodkendelse,Tilsynsbesøg,Sikkerhedsstyrelses tilsyn"</formula1>
      <formula2>0</formula2>
    </dataValidation>
    <dataValidation type="list" allowBlank="1" showErrorMessage="1" errorTitle="Ugyldig" error="Vælg fra listen." sqref="E18:E37" xr:uid="{00000000-0002-0000-0B00-000001000000}">
      <formula1>"0,1,2,3,4,5+"</formula1>
      <formula2>0</formula2>
    </dataValidation>
    <dataValidation type="list" allowBlank="1" showErrorMessage="1" errorTitle="Ugyldig" error="Vælg fra listen." sqref="F18:F37" xr:uid="{00000000-0002-0000-0B00-000002000000}">
      <formula1>"Ja,Nej"</formula1>
      <formula2>0</formula2>
    </dataValidation>
    <dataValidation type="list" allowBlank="1" showErrorMessage="1" errorTitle="Ugyldig" error="Vælg fra listen." sqref="G18:G37" xr:uid="{00000000-0002-0000-0B00-000003000000}">
      <formula1>"Ja,Nej,Afventer"</formula1>
      <formula2>0</formula2>
    </dataValidation>
    <dataValidation type="list" allowBlank="1" showErrorMessage="1" errorTitle="Ugyldig" error="Vælg fra listen." sqref="H18:H37" xr:uid="{00000000-0002-0000-0B00-000004000000}">
      <formula1>"Godkendt,Betinget godkendt,Ikke godkendt,Afventer"</formula1>
      <formula2>0</formula2>
    </dataValidation>
    <dataValidation type="list" allowBlank="1" showErrorMessage="1" errorTitle="Ugyldig" error="Vælg fra listen." sqref="F41:F45" xr:uid="{00000000-0002-0000-0B00-000064000000}">
      <formula1>"Aktiv,Udløbet,Fornyet"</formula1>
      <formula2>0</formula2>
    </dataValidation>
  </dataValidations>
  <pageMargins left="0.5" right="0.5" top="0.75" bottom="0.75" header="0.5" footer="0.5"/>
  <pageSetup orientation="landscape" horizontalDpi="300" verticalDpi="300"/>
  <headerFooter>
    <oddHeader>&amp;CKLS — Tilsyn</oddHeader>
    <oddFooter>&amp;CKLS Kvalitetsledelsessystem  ·  Side &amp;P af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D6608"/>
    <pageSetUpPr fitToPage="1"/>
  </sheetPr>
  <dimension ref="A1:H34"/>
  <sheetViews>
    <sheetView zoomScaleNormal="100" workbookViewId="0">
      <pane ySplit="20" topLeftCell="A21" activePane="bottomLeft" state="frozen"/>
      <selection pane="bottomLeft"/>
    </sheetView>
  </sheetViews>
  <sheetFormatPr defaultColWidth="8.6640625" defaultRowHeight="14.4" x14ac:dyDescent="0.3"/>
  <cols>
    <col min="1" max="1" width="11" customWidth="1"/>
    <col min="2" max="2" width="42" customWidth="1"/>
    <col min="3" max="3" width="20" customWidth="1"/>
    <col min="4" max="4" width="8" customWidth="1"/>
    <col min="5" max="5" width="15" customWidth="1"/>
    <col min="6" max="6" width="16" customWidth="1"/>
    <col min="7" max="7" width="35" customWidth="1"/>
    <col min="8" max="8" width="22" customWidth="1"/>
  </cols>
  <sheetData>
    <row r="1" spans="1:8" ht="42" customHeight="1" x14ac:dyDescent="0.3">
      <c r="A1" s="92" t="s">
        <v>448</v>
      </c>
      <c r="B1" s="92"/>
      <c r="C1" s="92"/>
      <c r="D1" s="92"/>
      <c r="E1" s="92"/>
      <c r="F1" s="92"/>
      <c r="G1" s="92"/>
      <c r="H1" s="92"/>
    </row>
    <row r="2" spans="1:8" ht="15" customHeight="1" x14ac:dyDescent="0.3"/>
    <row r="3" spans="1:8" ht="21.75" customHeight="1" x14ac:dyDescent="0.3">
      <c r="A3" s="12" t="s">
        <v>449</v>
      </c>
      <c r="B3" s="12"/>
      <c r="C3" s="12"/>
      <c r="D3" s="12"/>
      <c r="E3" s="12"/>
      <c r="F3" s="12"/>
      <c r="G3" s="12"/>
      <c r="H3" s="12"/>
    </row>
    <row r="4" spans="1:8" ht="19.5" customHeight="1" x14ac:dyDescent="0.3">
      <c r="A4" s="11" t="s">
        <v>3</v>
      </c>
      <c r="B4" s="11"/>
      <c r="C4" s="11"/>
      <c r="D4" s="11"/>
      <c r="E4" s="11"/>
      <c r="F4" s="11"/>
      <c r="G4" s="11"/>
      <c r="H4" s="11"/>
    </row>
    <row r="5" spans="1:8" ht="36" customHeight="1" x14ac:dyDescent="0.3">
      <c r="A5" s="10" t="s">
        <v>450</v>
      </c>
      <c r="B5" s="10"/>
      <c r="C5" s="10"/>
      <c r="D5" s="10"/>
      <c r="E5" s="10"/>
      <c r="F5" s="10"/>
      <c r="G5" s="10"/>
      <c r="H5" s="10"/>
    </row>
    <row r="6" spans="1:8" ht="4.5" customHeight="1" x14ac:dyDescent="0.3">
      <c r="A6" s="9"/>
      <c r="B6" s="9"/>
      <c r="C6" s="9"/>
      <c r="D6" s="9"/>
      <c r="E6" s="9"/>
      <c r="F6" s="9"/>
      <c r="G6" s="9"/>
      <c r="H6" s="9"/>
    </row>
    <row r="7" spans="1:8" ht="19.5" customHeight="1" x14ac:dyDescent="0.3">
      <c r="A7" s="8" t="s">
        <v>451</v>
      </c>
      <c r="B7" s="8"/>
      <c r="C7" s="8"/>
      <c r="D7" s="8"/>
      <c r="E7" s="8"/>
      <c r="F7" s="8"/>
      <c r="G7" s="8"/>
      <c r="H7" s="8"/>
    </row>
    <row r="8" spans="1:8" ht="36" customHeight="1" x14ac:dyDescent="0.3">
      <c r="A8" s="7" t="s">
        <v>452</v>
      </c>
      <c r="B8" s="7"/>
      <c r="C8" s="6" t="s">
        <v>453</v>
      </c>
      <c r="D8" s="6"/>
      <c r="E8" s="6"/>
      <c r="F8" s="6"/>
      <c r="G8" s="6"/>
      <c r="H8" s="6"/>
    </row>
    <row r="9" spans="1:8" ht="15" customHeight="1" x14ac:dyDescent="0.3">
      <c r="A9" s="70" t="s">
        <v>93</v>
      </c>
      <c r="B9" s="70"/>
      <c r="C9" s="70"/>
      <c r="D9" s="70"/>
      <c r="E9" s="70"/>
      <c r="F9" s="70"/>
      <c r="G9" s="70"/>
      <c r="H9" s="70"/>
    </row>
    <row r="10" spans="1:8" ht="19.5" customHeight="1" x14ac:dyDescent="0.3">
      <c r="A10" s="71" t="s">
        <v>454</v>
      </c>
      <c r="B10" s="71"/>
      <c r="C10" s="71"/>
      <c r="D10" s="71"/>
      <c r="E10" s="71"/>
      <c r="F10" s="71"/>
      <c r="G10" s="71"/>
      <c r="H10" s="71"/>
    </row>
    <row r="11" spans="1:8" ht="19.5" customHeight="1" x14ac:dyDescent="0.3">
      <c r="A11" s="72" t="s">
        <v>455</v>
      </c>
      <c r="B11" s="72"/>
      <c r="C11" s="72"/>
      <c r="D11" s="72"/>
      <c r="E11" s="72"/>
      <c r="F11" s="72"/>
      <c r="G11" s="72"/>
      <c r="H11" s="72"/>
    </row>
    <row r="12" spans="1:8" ht="4.5" customHeight="1" x14ac:dyDescent="0.3">
      <c r="A12" s="9"/>
      <c r="B12" s="9"/>
      <c r="C12" s="9"/>
      <c r="D12" s="9"/>
      <c r="E12" s="9"/>
      <c r="F12" s="9"/>
      <c r="G12" s="9"/>
      <c r="H12" s="9"/>
    </row>
    <row r="13" spans="1:8" ht="19.5" customHeight="1" x14ac:dyDescent="0.3">
      <c r="A13" s="8" t="s">
        <v>160</v>
      </c>
      <c r="B13" s="8"/>
      <c r="C13" s="8"/>
      <c r="D13" s="8"/>
      <c r="E13" s="8"/>
      <c r="F13" s="8"/>
      <c r="G13" s="8"/>
      <c r="H13" s="8"/>
    </row>
    <row r="14" spans="1:8" ht="36" customHeight="1" x14ac:dyDescent="0.3">
      <c r="A14" s="7" t="s">
        <v>456</v>
      </c>
      <c r="B14" s="7"/>
      <c r="C14" s="6" t="s">
        <v>457</v>
      </c>
      <c r="D14" s="6"/>
      <c r="E14" s="6"/>
      <c r="F14" s="6"/>
      <c r="G14" s="6"/>
      <c r="H14" s="6"/>
    </row>
    <row r="15" spans="1:8" ht="36" customHeight="1" x14ac:dyDescent="0.3">
      <c r="A15" s="5" t="s">
        <v>458</v>
      </c>
      <c r="B15" s="5"/>
      <c r="C15" s="4" t="s">
        <v>459</v>
      </c>
      <c r="D15" s="4"/>
      <c r="E15" s="4"/>
      <c r="F15" s="4"/>
      <c r="G15" s="4"/>
      <c r="H15" s="4"/>
    </row>
    <row r="16" spans="1:8" ht="36" customHeight="1" x14ac:dyDescent="0.3">
      <c r="A16" s="76" t="s">
        <v>460</v>
      </c>
      <c r="B16" s="76"/>
      <c r="C16" s="77" t="s">
        <v>461</v>
      </c>
      <c r="D16" s="77"/>
      <c r="E16" s="77"/>
      <c r="F16" s="77"/>
      <c r="G16" s="77"/>
      <c r="H16" s="77"/>
    </row>
    <row r="17" spans="1:8" ht="27.75" customHeight="1" x14ac:dyDescent="0.3">
      <c r="A17" s="3" t="s">
        <v>462</v>
      </c>
      <c r="B17" s="3"/>
      <c r="C17" s="3"/>
      <c r="D17" s="3"/>
      <c r="E17" s="3"/>
      <c r="F17" s="3"/>
      <c r="G17" s="3"/>
      <c r="H17" s="3"/>
    </row>
    <row r="18" spans="1:8" ht="15" customHeight="1" x14ac:dyDescent="0.3"/>
    <row r="19" spans="1:8" ht="15" customHeight="1" x14ac:dyDescent="0.3"/>
    <row r="20" spans="1:8" ht="27.75" customHeight="1" x14ac:dyDescent="0.3">
      <c r="A20" s="52" t="s">
        <v>463</v>
      </c>
      <c r="B20" s="52" t="s">
        <v>464</v>
      </c>
      <c r="C20" s="52" t="s">
        <v>175</v>
      </c>
      <c r="D20" s="52" t="s">
        <v>465</v>
      </c>
      <c r="E20" s="52" t="s">
        <v>176</v>
      </c>
      <c r="F20" s="52" t="s">
        <v>466</v>
      </c>
      <c r="G20" s="52" t="s">
        <v>467</v>
      </c>
      <c r="H20" s="52" t="s">
        <v>156</v>
      </c>
    </row>
    <row r="21" spans="1:8" ht="19.5" customHeight="1" x14ac:dyDescent="0.3">
      <c r="A21" s="53" t="s">
        <v>468</v>
      </c>
      <c r="B21" s="54" t="s">
        <v>469</v>
      </c>
      <c r="C21" s="54" t="s">
        <v>44</v>
      </c>
      <c r="D21" s="55" t="s">
        <v>33</v>
      </c>
      <c r="E21" s="54"/>
      <c r="F21" s="54"/>
      <c r="G21" s="54"/>
      <c r="H21" s="54" t="s">
        <v>182</v>
      </c>
    </row>
    <row r="22" spans="1:8" ht="19.5" customHeight="1" x14ac:dyDescent="0.3">
      <c r="A22" s="30" t="s">
        <v>470</v>
      </c>
      <c r="B22" s="24" t="s">
        <v>42</v>
      </c>
      <c r="C22" s="24" t="s">
        <v>44</v>
      </c>
      <c r="D22" s="31" t="s">
        <v>33</v>
      </c>
      <c r="E22" s="24"/>
      <c r="F22" s="24"/>
      <c r="G22" s="24"/>
      <c r="H22" s="24" t="s">
        <v>182</v>
      </c>
    </row>
    <row r="23" spans="1:8" ht="19.5" customHeight="1" x14ac:dyDescent="0.3">
      <c r="A23" s="53" t="s">
        <v>471</v>
      </c>
      <c r="B23" s="54" t="s">
        <v>472</v>
      </c>
      <c r="C23" s="54" t="s">
        <v>44</v>
      </c>
      <c r="D23" s="55" t="s">
        <v>33</v>
      </c>
      <c r="E23" s="54"/>
      <c r="F23" s="54"/>
      <c r="G23" s="54"/>
      <c r="H23" s="54" t="s">
        <v>182</v>
      </c>
    </row>
    <row r="24" spans="1:8" ht="19.5" customHeight="1" x14ac:dyDescent="0.3">
      <c r="A24" s="30" t="s">
        <v>473</v>
      </c>
      <c r="B24" s="24" t="s">
        <v>474</v>
      </c>
      <c r="C24" s="24" t="s">
        <v>51</v>
      </c>
      <c r="D24" s="31" t="s">
        <v>33</v>
      </c>
      <c r="E24" s="24"/>
      <c r="F24" s="24"/>
      <c r="G24" s="24"/>
      <c r="H24" s="24" t="s">
        <v>182</v>
      </c>
    </row>
    <row r="25" spans="1:8" ht="19.5" customHeight="1" x14ac:dyDescent="0.3">
      <c r="A25" s="53" t="s">
        <v>475</v>
      </c>
      <c r="B25" s="54" t="s">
        <v>476</v>
      </c>
      <c r="C25" s="54" t="s">
        <v>55</v>
      </c>
      <c r="D25" s="55" t="s">
        <v>33</v>
      </c>
      <c r="E25" s="54"/>
      <c r="F25" s="54"/>
      <c r="G25" s="54"/>
      <c r="H25" s="54" t="s">
        <v>182</v>
      </c>
    </row>
    <row r="26" spans="1:8" ht="19.5" customHeight="1" x14ac:dyDescent="0.3">
      <c r="A26" s="30" t="s">
        <v>477</v>
      </c>
      <c r="B26" s="24" t="s">
        <v>478</v>
      </c>
      <c r="C26" s="24" t="s">
        <v>59</v>
      </c>
      <c r="D26" s="31" t="s">
        <v>33</v>
      </c>
      <c r="E26" s="24"/>
      <c r="F26" s="24"/>
      <c r="G26" s="24"/>
      <c r="H26" s="24" t="s">
        <v>182</v>
      </c>
    </row>
    <row r="27" spans="1:8" ht="19.5" customHeight="1" x14ac:dyDescent="0.3">
      <c r="A27" s="53" t="s">
        <v>479</v>
      </c>
      <c r="B27" s="54" t="s">
        <v>480</v>
      </c>
      <c r="C27" s="54" t="s">
        <v>63</v>
      </c>
      <c r="D27" s="55" t="s">
        <v>33</v>
      </c>
      <c r="E27" s="54"/>
      <c r="F27" s="54"/>
      <c r="G27" s="54"/>
      <c r="H27" s="54" t="s">
        <v>182</v>
      </c>
    </row>
    <row r="28" spans="1:8" ht="19.5" customHeight="1" x14ac:dyDescent="0.3">
      <c r="A28" s="30" t="s">
        <v>481</v>
      </c>
      <c r="B28" s="24" t="s">
        <v>482</v>
      </c>
      <c r="C28" s="24" t="s">
        <v>51</v>
      </c>
      <c r="D28" s="31" t="s">
        <v>33</v>
      </c>
      <c r="E28" s="24"/>
      <c r="F28" s="24"/>
      <c r="G28" s="24"/>
      <c r="H28" s="24" t="s">
        <v>182</v>
      </c>
    </row>
    <row r="29" spans="1:8" ht="19.5" customHeight="1" x14ac:dyDescent="0.3">
      <c r="A29" s="53" t="s">
        <v>483</v>
      </c>
      <c r="B29" s="54" t="s">
        <v>484</v>
      </c>
      <c r="C29" s="54" t="s">
        <v>44</v>
      </c>
      <c r="D29" s="55" t="s">
        <v>33</v>
      </c>
      <c r="E29" s="54"/>
      <c r="F29" s="54"/>
      <c r="G29" s="54"/>
      <c r="H29" s="54" t="s">
        <v>182</v>
      </c>
    </row>
    <row r="30" spans="1:8" ht="19.5" customHeight="1" x14ac:dyDescent="0.3">
      <c r="A30" s="30" t="s">
        <v>485</v>
      </c>
      <c r="B30" s="24" t="s">
        <v>486</v>
      </c>
      <c r="C30" s="24" t="s">
        <v>55</v>
      </c>
      <c r="D30" s="31" t="s">
        <v>33</v>
      </c>
      <c r="E30" s="24"/>
      <c r="F30" s="24"/>
      <c r="G30" s="24"/>
      <c r="H30" s="24" t="s">
        <v>182</v>
      </c>
    </row>
    <row r="31" spans="1:8" ht="19.5" customHeight="1" x14ac:dyDescent="0.3">
      <c r="A31" s="53" t="s">
        <v>487</v>
      </c>
      <c r="B31" s="54" t="s">
        <v>488</v>
      </c>
      <c r="C31" s="54" t="s">
        <v>44</v>
      </c>
      <c r="D31" s="55" t="s">
        <v>33</v>
      </c>
      <c r="E31" s="54"/>
      <c r="F31" s="54"/>
      <c r="G31" s="54"/>
      <c r="H31" s="54" t="s">
        <v>182</v>
      </c>
    </row>
    <row r="32" spans="1:8" ht="19.5" customHeight="1" x14ac:dyDescent="0.3">
      <c r="A32" s="30" t="s">
        <v>489</v>
      </c>
      <c r="B32" s="24" t="s">
        <v>490</v>
      </c>
      <c r="C32" s="24" t="s">
        <v>44</v>
      </c>
      <c r="D32" s="31" t="s">
        <v>33</v>
      </c>
      <c r="E32" s="24"/>
      <c r="F32" s="24"/>
      <c r="G32" s="24"/>
      <c r="H32" s="24" t="s">
        <v>182</v>
      </c>
    </row>
    <row r="33" spans="1:8" ht="19.5" customHeight="1" x14ac:dyDescent="0.3">
      <c r="A33" s="53" t="s">
        <v>491</v>
      </c>
      <c r="B33" s="54" t="s">
        <v>492</v>
      </c>
      <c r="C33" s="54" t="s">
        <v>51</v>
      </c>
      <c r="D33" s="55" t="s">
        <v>33</v>
      </c>
      <c r="E33" s="54"/>
      <c r="F33" s="54"/>
      <c r="G33" s="54"/>
      <c r="H33" s="54" t="s">
        <v>182</v>
      </c>
    </row>
    <row r="34" spans="1:8" ht="19.5" customHeight="1" x14ac:dyDescent="0.3">
      <c r="A34" s="30" t="s">
        <v>493</v>
      </c>
      <c r="B34" s="24" t="s">
        <v>494</v>
      </c>
      <c r="C34" s="24" t="s">
        <v>44</v>
      </c>
      <c r="D34" s="31" t="s">
        <v>33</v>
      </c>
      <c r="E34" s="24"/>
      <c r="F34" s="24"/>
      <c r="G34" s="24"/>
      <c r="H34" s="24" t="s">
        <v>182</v>
      </c>
    </row>
  </sheetData>
  <mergeCells count="20">
    <mergeCell ref="A15:B15"/>
    <mergeCell ref="C15:H15"/>
    <mergeCell ref="A16:B16"/>
    <mergeCell ref="C16:H16"/>
    <mergeCell ref="A17:H17"/>
    <mergeCell ref="A11:H11"/>
    <mergeCell ref="A12:H12"/>
    <mergeCell ref="A13:H13"/>
    <mergeCell ref="A14:B14"/>
    <mergeCell ref="C14:H14"/>
    <mergeCell ref="A7:H7"/>
    <mergeCell ref="A8:B8"/>
    <mergeCell ref="C8:H8"/>
    <mergeCell ref="A9:H9"/>
    <mergeCell ref="A10:H10"/>
    <mergeCell ref="A1:H1"/>
    <mergeCell ref="A3:H3"/>
    <mergeCell ref="A4:H4"/>
    <mergeCell ref="A5:H5"/>
    <mergeCell ref="A6:H6"/>
  </mergeCells>
  <conditionalFormatting sqref="H21:H34">
    <cfRule type="expression" dxfId="2" priority="2">
      <formula>H21="Godkendt"</formula>
    </cfRule>
    <cfRule type="expression" dxfId="1" priority="3">
      <formula>H21="Afvigelse"</formula>
    </cfRule>
    <cfRule type="expression" dxfId="0" priority="4">
      <formula>H21="Under behandling"</formula>
    </cfRule>
  </conditionalFormatting>
  <dataValidations count="1">
    <dataValidation type="list" allowBlank="1" showErrorMessage="1" errorTitle="Ugyldig" error="Vælg fra listen." sqref="H21:H34" xr:uid="{00000000-0002-0000-0C00-000000000000}">
      <formula1>"Aktiv,Under revision,Udgået,Afventer godkendelse"</formula1>
      <formula2>0</formula2>
    </dataValidation>
  </dataValidations>
  <pageMargins left="0.5" right="0.5" top="0.75" bottom="0.75" header="0.5" footer="0.5"/>
  <pageSetup orientation="landscape" horizontalDpi="300" verticalDpi="300"/>
  <headerFooter>
    <oddHeader>&amp;CKLS — Dokumentstyring</oddHeader>
    <oddFooter>&amp;CKLS Kvalitetsledelsessystem  ·  Side &amp;P af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E8449"/>
    <pageSetUpPr fitToPage="1"/>
  </sheetPr>
  <dimension ref="A1:L31"/>
  <sheetViews>
    <sheetView zoomScaleNormal="100" workbookViewId="0"/>
  </sheetViews>
  <sheetFormatPr defaultColWidth="8.6640625" defaultRowHeight="14.4" x14ac:dyDescent="0.3"/>
  <cols>
    <col min="1" max="1" width="28" customWidth="1"/>
    <col min="2" max="2" width="16" customWidth="1"/>
    <col min="3" max="3" width="12" customWidth="1"/>
    <col min="4" max="4" width="10" customWidth="1"/>
    <col min="5" max="5" width="4" customWidth="1"/>
    <col min="6" max="6" width="22" customWidth="1"/>
    <col min="7" max="7" width="16" customWidth="1"/>
    <col min="8" max="8" width="10" customWidth="1"/>
    <col min="9" max="9" width="4" customWidth="1"/>
    <col min="10" max="10" width="13" customWidth="1"/>
    <col min="11" max="12" width="10" customWidth="1"/>
  </cols>
  <sheetData>
    <row r="1" spans="1:12" ht="49.5" customHeight="1" x14ac:dyDescent="0.3">
      <c r="A1" s="93" t="s">
        <v>495</v>
      </c>
      <c r="B1" s="93"/>
      <c r="C1" s="93"/>
      <c r="D1" s="93"/>
      <c r="E1" s="93"/>
      <c r="F1" s="93"/>
      <c r="G1" s="93"/>
      <c r="H1" s="93"/>
      <c r="I1" s="93"/>
      <c r="J1" s="93"/>
      <c r="K1" s="93"/>
      <c r="L1" s="93"/>
    </row>
    <row r="2" spans="1:12" ht="15" customHeight="1" x14ac:dyDescent="0.3">
      <c r="A2" s="94" t="s">
        <v>496</v>
      </c>
      <c r="B2" s="94"/>
      <c r="C2" s="94"/>
      <c r="D2" s="94"/>
      <c r="E2" s="94"/>
      <c r="F2" s="94"/>
      <c r="G2" s="94"/>
      <c r="H2" s="94"/>
      <c r="I2" s="94"/>
      <c r="J2" s="94"/>
      <c r="K2" s="94"/>
      <c r="L2" s="94"/>
    </row>
    <row r="3" spans="1:12" ht="15" customHeight="1" x14ac:dyDescent="0.3"/>
    <row r="4" spans="1:12" ht="21.75" customHeight="1" x14ac:dyDescent="0.3">
      <c r="A4" s="12" t="s">
        <v>497</v>
      </c>
      <c r="B4" s="12"/>
      <c r="C4" s="12"/>
      <c r="D4" s="12"/>
      <c r="E4" s="12"/>
      <c r="F4" s="12"/>
      <c r="G4" s="12"/>
      <c r="H4" s="12"/>
      <c r="I4" s="12"/>
      <c r="J4" s="12"/>
      <c r="K4" s="12"/>
      <c r="L4" s="12"/>
    </row>
    <row r="5" spans="1:12" ht="19.5" customHeight="1" x14ac:dyDescent="0.3">
      <c r="A5" s="11" t="s">
        <v>3</v>
      </c>
      <c r="B5" s="11"/>
      <c r="C5" s="11"/>
      <c r="D5" s="11"/>
      <c r="E5" s="11"/>
      <c r="F5" s="11"/>
      <c r="G5" s="11"/>
      <c r="H5" s="11"/>
      <c r="I5" s="11"/>
      <c r="J5" s="11"/>
      <c r="K5" s="11"/>
      <c r="L5" s="11"/>
    </row>
    <row r="6" spans="1:12" ht="36" customHeight="1" x14ac:dyDescent="0.3">
      <c r="A6" s="10" t="s">
        <v>498</v>
      </c>
      <c r="B6" s="10"/>
      <c r="C6" s="10"/>
      <c r="D6" s="10"/>
      <c r="E6" s="10"/>
      <c r="F6" s="10"/>
      <c r="G6" s="10"/>
      <c r="H6" s="10"/>
      <c r="I6" s="10"/>
      <c r="J6" s="10"/>
      <c r="K6" s="10"/>
      <c r="L6" s="10"/>
    </row>
    <row r="7" spans="1:12" ht="4.5" customHeight="1" x14ac:dyDescent="0.3">
      <c r="A7" s="9"/>
      <c r="B7" s="9"/>
      <c r="C7" s="9"/>
      <c r="D7" s="9"/>
      <c r="E7" s="9"/>
      <c r="F7" s="9"/>
      <c r="G7" s="9"/>
      <c r="H7" s="9"/>
      <c r="I7" s="9"/>
      <c r="J7" s="9"/>
      <c r="K7" s="9"/>
      <c r="L7" s="9"/>
    </row>
    <row r="8" spans="1:12" ht="19.5" customHeight="1" x14ac:dyDescent="0.3">
      <c r="A8" s="8" t="s">
        <v>499</v>
      </c>
      <c r="B8" s="8"/>
      <c r="C8" s="8"/>
      <c r="D8" s="8"/>
      <c r="E8" s="8"/>
      <c r="F8" s="8"/>
      <c r="G8" s="8"/>
      <c r="H8" s="8"/>
      <c r="I8" s="8"/>
      <c r="J8" s="8"/>
      <c r="K8" s="8"/>
      <c r="L8" s="8"/>
    </row>
    <row r="9" spans="1:12" ht="36" customHeight="1" x14ac:dyDescent="0.3">
      <c r="A9" s="7" t="s">
        <v>500</v>
      </c>
      <c r="B9" s="7"/>
      <c r="C9" s="6" t="s">
        <v>501</v>
      </c>
      <c r="D9" s="6"/>
      <c r="E9" s="6"/>
      <c r="F9" s="6"/>
      <c r="G9" s="6"/>
      <c r="H9" s="6"/>
      <c r="I9" s="6"/>
      <c r="J9" s="6"/>
      <c r="K9" s="6"/>
      <c r="L9" s="6"/>
    </row>
    <row r="10" spans="1:12" ht="36" customHeight="1" x14ac:dyDescent="0.3">
      <c r="A10" s="7" t="s">
        <v>502</v>
      </c>
      <c r="B10" s="7"/>
      <c r="C10" s="6" t="s">
        <v>503</v>
      </c>
      <c r="D10" s="6"/>
      <c r="E10" s="6"/>
      <c r="F10" s="6"/>
      <c r="G10" s="6"/>
      <c r="H10" s="6"/>
      <c r="I10" s="6"/>
      <c r="J10" s="6"/>
      <c r="K10" s="6"/>
      <c r="L10" s="6"/>
    </row>
    <row r="11" spans="1:12" ht="36" customHeight="1" x14ac:dyDescent="0.3">
      <c r="A11" s="76" t="s">
        <v>504</v>
      </c>
      <c r="B11" s="76"/>
      <c r="C11" s="77" t="s">
        <v>505</v>
      </c>
      <c r="D11" s="77"/>
      <c r="E11" s="77"/>
      <c r="F11" s="77"/>
      <c r="G11" s="77"/>
      <c r="H11" s="77"/>
      <c r="I11" s="77"/>
      <c r="J11" s="77"/>
      <c r="K11" s="77"/>
      <c r="L11" s="77"/>
    </row>
    <row r="12" spans="1:12" ht="4.5" customHeight="1" x14ac:dyDescent="0.3">
      <c r="A12" s="9"/>
      <c r="B12" s="9"/>
      <c r="C12" s="9"/>
      <c r="D12" s="9"/>
      <c r="E12" s="9"/>
      <c r="F12" s="9"/>
      <c r="G12" s="9"/>
      <c r="H12" s="9"/>
      <c r="I12" s="9"/>
      <c r="J12" s="9"/>
      <c r="K12" s="9"/>
      <c r="L12" s="9"/>
    </row>
    <row r="13" spans="1:12" ht="15" customHeight="1" x14ac:dyDescent="0.3"/>
    <row r="14" spans="1:12" ht="19.5" customHeight="1" x14ac:dyDescent="0.3">
      <c r="A14" s="95" t="s">
        <v>506</v>
      </c>
      <c r="B14" s="95"/>
      <c r="C14" s="95"/>
      <c r="D14" s="95"/>
      <c r="F14" s="96" t="s">
        <v>507</v>
      </c>
      <c r="G14" s="96"/>
      <c r="H14" s="96"/>
      <c r="I14" s="96"/>
      <c r="K14" s="97" t="s">
        <v>508</v>
      </c>
      <c r="L14" s="97"/>
    </row>
    <row r="15" spans="1:12" ht="27.75" customHeight="1" x14ac:dyDescent="0.3">
      <c r="A15" s="98" t="s">
        <v>245</v>
      </c>
      <c r="B15" s="98"/>
      <c r="C15" s="98"/>
      <c r="D15" s="56">
        <f>COUNTIF('Slutkontrol EL'!K23:K72,"Godkendt")</f>
        <v>0</v>
      </c>
      <c r="F15" s="99" t="s">
        <v>509</v>
      </c>
      <c r="G15" s="99"/>
      <c r="H15" s="99"/>
      <c r="I15" s="57">
        <f>COUNTIF(Afvigelsesrapport!K25:K74,"Åben")</f>
        <v>0</v>
      </c>
      <c r="K15" s="15" t="s">
        <v>510</v>
      </c>
      <c r="L15" s="58">
        <f>COUNTIF(Dokumentstyring!H21:H40,"Aktiv")</f>
        <v>14</v>
      </c>
    </row>
    <row r="16" spans="1:12" ht="27.75" customHeight="1" x14ac:dyDescent="0.3">
      <c r="A16" s="98" t="s">
        <v>246</v>
      </c>
      <c r="B16" s="98"/>
      <c r="C16" s="98"/>
      <c r="D16" s="56">
        <f>COUNTIF('Slutkontrol EL'!K23:K72,"Afvigelse")</f>
        <v>0</v>
      </c>
      <c r="F16" s="99" t="s">
        <v>511</v>
      </c>
      <c r="G16" s="99"/>
      <c r="H16" s="99"/>
      <c r="I16" s="57">
        <f>COUNTIF(Afvigelsesrapport!K25:K74,"Under behandling")</f>
        <v>0</v>
      </c>
      <c r="K16" s="15" t="s">
        <v>512</v>
      </c>
      <c r="L16" s="58">
        <f>COUNTIF(Dokumentstyring!H21:H40,"Udgået")</f>
        <v>0</v>
      </c>
    </row>
    <row r="17" spans="1:12" ht="27.75" customHeight="1" x14ac:dyDescent="0.3">
      <c r="A17" s="98" t="s">
        <v>513</v>
      </c>
      <c r="B17" s="98"/>
      <c r="C17" s="98"/>
      <c r="D17" s="59" t="str">
        <f>IFERROR(COUNTIF('Slutkontrol EL'!K23:K72,"Godkendt")/(COUNTIF('Slutkontrol EL'!K23:K72,"Godkendt")+COUNTIF('Slutkontrol EL'!K23:K72,"Afvigelse")),"N/A")</f>
        <v>N/A</v>
      </c>
      <c r="F17" s="99" t="s">
        <v>514</v>
      </c>
      <c r="G17" s="99"/>
      <c r="H17" s="99"/>
      <c r="I17" s="57">
        <f>COUNTIF(Afvigelsesrapport!K25:K74,"Afsluttet")</f>
        <v>0</v>
      </c>
      <c r="K17" s="15" t="s">
        <v>515</v>
      </c>
      <c r="L17" s="58">
        <f>COUNTIF(Dokumentstyring!H21:H40,"Under revision")</f>
        <v>0</v>
      </c>
    </row>
    <row r="18" spans="1:12" ht="15" customHeight="1" x14ac:dyDescent="0.3"/>
    <row r="19" spans="1:12" ht="21.75" customHeight="1" x14ac:dyDescent="0.3">
      <c r="A19" s="100" t="s">
        <v>516</v>
      </c>
      <c r="B19" s="100"/>
      <c r="C19" s="100"/>
      <c r="D19" s="100"/>
      <c r="E19" s="100"/>
      <c r="F19" s="100"/>
      <c r="G19" s="100"/>
      <c r="H19" s="100"/>
      <c r="I19" s="100"/>
      <c r="J19" s="100"/>
      <c r="K19" s="100"/>
      <c r="L19" s="100"/>
    </row>
    <row r="20" spans="1:12" ht="21.75" customHeight="1" x14ac:dyDescent="0.3">
      <c r="A20" s="101" t="s">
        <v>517</v>
      </c>
      <c r="B20" s="101"/>
      <c r="C20" s="101"/>
      <c r="D20" s="101"/>
      <c r="E20" s="101"/>
      <c r="F20" s="101"/>
      <c r="G20" s="101"/>
      <c r="H20" s="102" t="str">
        <f>Forside!C13</f>
        <v>Udfyldes første gang KLS godkendes. Udløb = altid præcis 2 år frem. Når I fornyer, opdateres begge datoer. Dashboard viser automatisk advarsel ved udløb.</v>
      </c>
      <c r="I20" s="102"/>
      <c r="J20" s="102"/>
      <c r="K20" s="102"/>
      <c r="L20" s="102"/>
    </row>
    <row r="21" spans="1:12" ht="21.75" customHeight="1" x14ac:dyDescent="0.3">
      <c r="A21" s="101" t="s">
        <v>518</v>
      </c>
      <c r="B21" s="101"/>
      <c r="C21" s="101"/>
      <c r="D21" s="101"/>
      <c r="E21" s="101"/>
      <c r="F21" s="101"/>
      <c r="G21" s="101"/>
      <c r="H21" s="103">
        <f>Forside!C14</f>
        <v>0</v>
      </c>
      <c r="I21" s="103"/>
      <c r="J21" s="103"/>
      <c r="K21" s="103"/>
      <c r="L21" s="103"/>
    </row>
    <row r="22" spans="1:12" ht="15" customHeight="1" x14ac:dyDescent="0.3"/>
    <row r="23" spans="1:12" ht="21.75" customHeight="1" x14ac:dyDescent="0.3">
      <c r="A23" s="2" t="s">
        <v>519</v>
      </c>
      <c r="B23" s="2"/>
      <c r="C23" s="2"/>
      <c r="D23" s="2"/>
      <c r="E23" s="2"/>
      <c r="F23" s="2"/>
      <c r="G23" s="2"/>
      <c r="H23" s="2"/>
      <c r="I23" s="2"/>
      <c r="J23" s="2"/>
      <c r="K23" s="2"/>
      <c r="L23" s="2"/>
    </row>
    <row r="24" spans="1:12" ht="19.5" customHeight="1" x14ac:dyDescent="0.3">
      <c r="A24" s="65" t="s">
        <v>520</v>
      </c>
      <c r="B24" s="65"/>
      <c r="C24" s="65"/>
      <c r="D24" s="65"/>
      <c r="E24" s="65"/>
      <c r="F24" s="65"/>
      <c r="G24" s="65"/>
      <c r="H24" s="65"/>
      <c r="I24" s="65"/>
      <c r="J24" s="60" t="s">
        <v>521</v>
      </c>
      <c r="K24" s="61"/>
      <c r="L24" s="16"/>
    </row>
    <row r="25" spans="1:12" ht="19.5" customHeight="1" x14ac:dyDescent="0.3">
      <c r="A25" s="1" t="s">
        <v>522</v>
      </c>
      <c r="B25" s="1"/>
      <c r="C25" s="1"/>
      <c r="D25" s="1"/>
      <c r="E25" s="1"/>
      <c r="F25" s="1"/>
      <c r="G25" s="1"/>
      <c r="H25" s="1"/>
      <c r="I25" s="1"/>
      <c r="J25" s="60" t="s">
        <v>521</v>
      </c>
      <c r="K25" s="62"/>
      <c r="L25" s="46"/>
    </row>
    <row r="26" spans="1:12" ht="19.5" customHeight="1" x14ac:dyDescent="0.3">
      <c r="A26" s="65" t="s">
        <v>523</v>
      </c>
      <c r="B26" s="65"/>
      <c r="C26" s="65"/>
      <c r="D26" s="65"/>
      <c r="E26" s="65"/>
      <c r="F26" s="65"/>
      <c r="G26" s="65"/>
      <c r="H26" s="65"/>
      <c r="I26" s="65"/>
      <c r="J26" s="60" t="s">
        <v>521</v>
      </c>
      <c r="K26" s="61"/>
      <c r="L26" s="16"/>
    </row>
    <row r="27" spans="1:12" ht="19.5" customHeight="1" x14ac:dyDescent="0.3">
      <c r="A27" s="1" t="s">
        <v>524</v>
      </c>
      <c r="B27" s="1"/>
      <c r="C27" s="1"/>
      <c r="D27" s="1"/>
      <c r="E27" s="1"/>
      <c r="F27" s="1"/>
      <c r="G27" s="1"/>
      <c r="H27" s="1"/>
      <c r="I27" s="1"/>
      <c r="J27" s="63" t="s">
        <v>525</v>
      </c>
      <c r="K27" s="62"/>
      <c r="L27" s="46"/>
    </row>
    <row r="28" spans="1:12" ht="19.5" customHeight="1" x14ac:dyDescent="0.3">
      <c r="A28" s="65" t="s">
        <v>526</v>
      </c>
      <c r="B28" s="65"/>
      <c r="C28" s="65"/>
      <c r="D28" s="65"/>
      <c r="E28" s="65"/>
      <c r="F28" s="65"/>
      <c r="G28" s="65"/>
      <c r="H28" s="65"/>
      <c r="I28" s="65"/>
      <c r="J28" s="60" t="s">
        <v>521</v>
      </c>
      <c r="K28" s="61"/>
      <c r="L28" s="16"/>
    </row>
    <row r="29" spans="1:12" ht="19.5" customHeight="1" x14ac:dyDescent="0.3">
      <c r="A29" s="1" t="s">
        <v>527</v>
      </c>
      <c r="B29" s="1"/>
      <c r="C29" s="1"/>
      <c r="D29" s="1"/>
      <c r="E29" s="1"/>
      <c r="F29" s="1"/>
      <c r="G29" s="1"/>
      <c r="H29" s="1"/>
      <c r="I29" s="1"/>
      <c r="J29" s="63" t="s">
        <v>525</v>
      </c>
      <c r="K29" s="62"/>
      <c r="L29" s="46"/>
    </row>
    <row r="30" spans="1:12" ht="19.5" customHeight="1" x14ac:dyDescent="0.3">
      <c r="A30" s="65" t="s">
        <v>528</v>
      </c>
      <c r="B30" s="65"/>
      <c r="C30" s="65"/>
      <c r="D30" s="65"/>
      <c r="E30" s="65"/>
      <c r="F30" s="65"/>
      <c r="G30" s="65"/>
      <c r="H30" s="65"/>
      <c r="I30" s="65"/>
      <c r="J30" s="60" t="s">
        <v>521</v>
      </c>
      <c r="K30" s="61"/>
      <c r="L30" s="16"/>
    </row>
    <row r="31" spans="1:12" ht="19.5" customHeight="1" x14ac:dyDescent="0.3">
      <c r="A31" s="1" t="s">
        <v>529</v>
      </c>
      <c r="B31" s="1"/>
      <c r="C31" s="1"/>
      <c r="D31" s="1"/>
      <c r="E31" s="1"/>
      <c r="F31" s="1"/>
      <c r="G31" s="1"/>
      <c r="H31" s="1"/>
      <c r="I31" s="1"/>
      <c r="J31" s="63" t="s">
        <v>525</v>
      </c>
      <c r="K31" s="62"/>
      <c r="L31" s="46"/>
    </row>
  </sheetData>
  <mergeCells count="37">
    <mergeCell ref="A28:I28"/>
    <mergeCell ref="A29:I29"/>
    <mergeCell ref="A30:I30"/>
    <mergeCell ref="A31:I31"/>
    <mergeCell ref="A23:L23"/>
    <mergeCell ref="A24:I24"/>
    <mergeCell ref="A25:I25"/>
    <mergeCell ref="A26:I26"/>
    <mergeCell ref="A27:I27"/>
    <mergeCell ref="A19:L19"/>
    <mergeCell ref="A20:G20"/>
    <mergeCell ref="H20:L20"/>
    <mergeCell ref="A21:G21"/>
    <mergeCell ref="H21:L21"/>
    <mergeCell ref="A15:C15"/>
    <mergeCell ref="F15:H15"/>
    <mergeCell ref="A16:C16"/>
    <mergeCell ref="F16:H16"/>
    <mergeCell ref="A17:C17"/>
    <mergeCell ref="F17:H17"/>
    <mergeCell ref="A11:B11"/>
    <mergeCell ref="C11:L11"/>
    <mergeCell ref="A12:L12"/>
    <mergeCell ref="A14:D14"/>
    <mergeCell ref="F14:I14"/>
    <mergeCell ref="K14:L14"/>
    <mergeCell ref="A7:L7"/>
    <mergeCell ref="A8:L8"/>
    <mergeCell ref="A9:B9"/>
    <mergeCell ref="C9:L9"/>
    <mergeCell ref="A10:B10"/>
    <mergeCell ref="C10:L10"/>
    <mergeCell ref="A1:L1"/>
    <mergeCell ref="A2:L2"/>
    <mergeCell ref="A4:L4"/>
    <mergeCell ref="A5:L5"/>
    <mergeCell ref="A6:L6"/>
  </mergeCells>
  <dataValidations count="1">
    <dataValidation type="list" allowBlank="1" showErrorMessage="1" errorTitle="Ugyldig" error="Vælg fra listen." sqref="K24:K31" xr:uid="{00000000-0002-0000-0D00-000000000000}">
      <formula1>"Ja ✓,Nej ✗,N/A"</formula1>
      <formula2>0</formula2>
    </dataValidation>
  </dataValidations>
  <pageMargins left="0.5" right="0.5" top="0.75" bottom="0.75" header="0.5" footer="0.5"/>
  <pageSetup orientation="landscape" horizontalDpi="300" verticalDpi="300"/>
  <headerFooter>
    <oddHeader>&amp;CKLS — Dashboard</oddHeader>
    <oddFooter>&amp;CKLS Kvalitetsledelsessystem  ·  Side &amp;P af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Regneark</vt:lpstr>
      </vt:variant>
      <vt:variant>
        <vt:i4>14</vt:i4>
      </vt:variant>
    </vt:vector>
  </HeadingPairs>
  <TitlesOfParts>
    <vt:vector size="14" baseType="lpstr">
      <vt:lpstr>Forside</vt:lpstr>
      <vt:lpstr>Kvalitetspolitik</vt:lpstr>
      <vt:lpstr>Organisation</vt:lpstr>
      <vt:lpstr>Procedurer</vt:lpstr>
      <vt:lpstr>Slutkontrol EL</vt:lpstr>
      <vt:lpstr>Slutkontrol VVS</vt:lpstr>
      <vt:lpstr>Slutkontrol Kloak</vt:lpstr>
      <vt:lpstr>Afvigelsesrapport</vt:lpstr>
      <vt:lpstr>Intern Efterprøvning</vt:lpstr>
      <vt:lpstr>Kompetenceskema</vt:lpstr>
      <vt:lpstr>Måleudstyr</vt:lpstr>
      <vt:lpstr>Tilsyn</vt:lpstr>
      <vt:lpstr>Dokumentstyring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Shahram Ajloo (2017350)</cp:lastModifiedBy>
  <cp:revision>0</cp:revision>
  <dcterms:created xsi:type="dcterms:W3CDTF">2026-06-02T02:30:16Z</dcterms:created>
  <dcterms:modified xsi:type="dcterms:W3CDTF">2026-06-02T11:18:12Z</dcterms:modified>
  <dc:language>en-US</dc:language>
</cp:coreProperties>
</file>